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agree\Downloads\"/>
    </mc:Choice>
  </mc:AlternateContent>
  <xr:revisionPtr revIDLastSave="0" documentId="13_ncr:1_{2F4EC8EC-EC5E-4105-B445-7470AB55F0AA}" xr6:coauthVersionLast="47" xr6:coauthVersionMax="47" xr10:uidLastSave="{00000000-0000-0000-0000-000000000000}"/>
  <bookViews>
    <workbookView xWindow="-110" yWindow="-110" windowWidth="19420" windowHeight="10300" tabRatio="500" firstSheet="4" activeTab="4" xr2:uid="{00000000-000D-0000-FFFF-FFFF00000000}"/>
  </bookViews>
  <sheets>
    <sheet name="Task Brief" sheetId="1" r:id="rId1"/>
    <sheet name="Claims" sheetId="2" r:id="rId2"/>
    <sheet name="Policy Rules" sheetId="3" r:id="rId3"/>
    <sheet name="Data Dictionary" sheetId="4" r:id="rId4"/>
    <sheet name="AI Use Log" sheetId="5" r:id="rId5"/>
    <sheet name="Parameters" sheetId="6" r:id="rId6"/>
    <sheet name="Checker" sheetId="7" r:id="rId7"/>
    <sheet name="Summary" sheetId="8" r:id="rId8"/>
    <sheet name="Analytics" sheetId="9" r:id="rId9"/>
    <sheet name="CFO_Summary" sheetId="10" r:id="rId10"/>
    <sheet name="Verification" sheetId="11" r:id="rId11"/>
    <sheet name="Audit" sheetId="12" r:id="rId12"/>
    <sheet name="Test_Cases" sheetId="13" r:id="rId13"/>
    <sheet name="Final_Results" sheetId="14" r:id="rId14"/>
  </sheets>
  <definedNames>
    <definedName name="_xlnm._FilterDatabase" localSheetId="6" hidden="1">Checker!$A$5:$W$405</definedName>
    <definedName name="_xlnm._FilterDatabase" localSheetId="1" hidden="1">Claims!$A$1:$N$401</definedName>
    <definedName name="_xlnm._FilterDatabase" localSheetId="2" hidden="1">'Policy Rules'!$A$1:$C$16</definedName>
    <definedName name="Biz_Permitted">Parameters!$D$6:$D$10</definedName>
    <definedName name="Caps_Grade">Parameters!$A$6:$A$10</definedName>
    <definedName name="Caps_Metro">Parameters!$B$6:$B$10</definedName>
    <definedName name="Caps_NonMetro">Parameters!$C$6:$C$10</definedName>
    <definedName name="Expired_Days">Parameters!$B$22</definedName>
    <definedName name="Late_Days">Parameters!$B$21</definedName>
    <definedName name="Lbl_Alcohol">Parameters!$B$29</definedName>
    <definedName name="Lbl_Assumption">Parameters!$B$41</definedName>
    <definedName name="Lbl_BizNo">Parameters!$B$34</definedName>
    <definedName name="Lbl_Business">Parameters!$B$32</definedName>
    <definedName name="Lbl_Comp">Parameters!$B$36</definedName>
    <definedName name="Lbl_Definite">Parameters!$B$40</definedName>
    <definedName name="Lbl_Expired">Parameters!$B$39</definedName>
    <definedName name="Lbl_Flight">Parameters!$B$26</definedName>
    <definedName name="Lbl_Hotel">Parameters!$B$27</definedName>
    <definedName name="Lbl_Late">Parameters!$B$38</definedName>
    <definedName name="Lbl_Meals">Parameters!$B$28</definedName>
    <definedName name="Lbl_Metro">Parameters!$B$30</definedName>
    <definedName name="Lbl_NA">Parameters!$B$37</definedName>
    <definedName name="Lbl_NeedApproval">Parameters!$B$58</definedName>
    <definedName name="Lbl_NeedDays">Parameters!$B$57</definedName>
    <definedName name="Lbl_NeedNights">Parameters!$B$56</definedName>
    <definedName name="Lbl_NonMetro">Parameters!$B$31</definedName>
    <definedName name="Lbl_NoReceipt">Parameters!$B$33</definedName>
    <definedName name="Lbl_Viol">Parameters!$B$35</definedName>
    <definedName name="Limit_Metro">Parameters!$B$14</definedName>
    <definedName name="Limit_NonMetro">Parameters!$B$15</definedName>
    <definedName name="Min_Days_Booked">Parameters!$B$19</definedName>
    <definedName name="_xlnm.Print_Area" localSheetId="9">CFO_Summary!$A$1:$G$34</definedName>
    <definedName name="Receipt_Threshold">Parameters!$B$20</definedName>
    <definedName name="Rule_Basis">Parameters!$B$45:$B$52</definedName>
    <definedName name="Rule_IDs">Parameters!$A$45:$A$52</definedName>
    <definedName name="Test_Synth">Test_Cases!$D$3</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J66" i="12" l="1"/>
  <c r="I66" i="12"/>
  <c r="H66" i="12"/>
  <c r="G66" i="12"/>
  <c r="F66" i="12"/>
  <c r="E66" i="12"/>
  <c r="D66" i="12"/>
  <c r="C66" i="12"/>
  <c r="B66" i="12"/>
  <c r="J65" i="12"/>
  <c r="I65" i="12"/>
  <c r="H65" i="12"/>
  <c r="G65" i="12"/>
  <c r="F65" i="12"/>
  <c r="E65" i="12"/>
  <c r="D65" i="12"/>
  <c r="C65" i="12"/>
  <c r="B65" i="12"/>
  <c r="J64" i="12"/>
  <c r="I64" i="12"/>
  <c r="H64" i="12"/>
  <c r="G64" i="12"/>
  <c r="F64" i="12"/>
  <c r="E64" i="12"/>
  <c r="D64" i="12"/>
  <c r="C64" i="12"/>
  <c r="B64" i="12"/>
  <c r="J63" i="12"/>
  <c r="I63" i="12"/>
  <c r="H63" i="12"/>
  <c r="G63" i="12"/>
  <c r="F63" i="12"/>
  <c r="E63" i="12"/>
  <c r="D63" i="12"/>
  <c r="C63" i="12"/>
  <c r="B63" i="12"/>
  <c r="J62" i="12"/>
  <c r="I62" i="12"/>
  <c r="H62" i="12"/>
  <c r="G62" i="12"/>
  <c r="F62" i="12"/>
  <c r="E62" i="12"/>
  <c r="D62" i="12"/>
  <c r="C62" i="12"/>
  <c r="B62" i="12"/>
  <c r="J61" i="12"/>
  <c r="I61" i="12"/>
  <c r="H61" i="12"/>
  <c r="G61" i="12"/>
  <c r="F61" i="12"/>
  <c r="E61" i="12"/>
  <c r="D61" i="12"/>
  <c r="C61" i="12"/>
  <c r="B61" i="12"/>
  <c r="J60" i="12"/>
  <c r="I60" i="12"/>
  <c r="H60" i="12"/>
  <c r="G60" i="12"/>
  <c r="F60" i="12"/>
  <c r="E60" i="12"/>
  <c r="D60" i="12"/>
  <c r="C60" i="12"/>
  <c r="B60" i="12"/>
  <c r="J59" i="12"/>
  <c r="J67" i="12" s="1"/>
  <c r="I59" i="12"/>
  <c r="I67" i="12" s="1"/>
  <c r="H59" i="12"/>
  <c r="H67" i="12" s="1"/>
  <c r="G59" i="12"/>
  <c r="G67" i="12" s="1"/>
  <c r="F59" i="12"/>
  <c r="F67" i="12" s="1"/>
  <c r="E23" i="10" s="1"/>
  <c r="E59" i="12"/>
  <c r="E67" i="12" s="1"/>
  <c r="D59" i="12"/>
  <c r="D67" i="12" s="1"/>
  <c r="C59" i="12"/>
  <c r="C67" i="12" s="1"/>
  <c r="B59" i="12"/>
  <c r="B67" i="12" s="1"/>
  <c r="B53" i="12"/>
  <c r="D52" i="12"/>
  <c r="F51" i="12"/>
  <c r="G51" i="12" s="1"/>
  <c r="F50" i="12"/>
  <c r="G50" i="12" s="1"/>
  <c r="F49" i="12"/>
  <c r="G49" i="12" s="1"/>
  <c r="F48" i="12"/>
  <c r="G48" i="12" s="1"/>
  <c r="F47" i="12"/>
  <c r="G47" i="12" s="1"/>
  <c r="F46" i="12"/>
  <c r="G46" i="12" s="1"/>
  <c r="F45" i="12"/>
  <c r="G45" i="12" s="1"/>
  <c r="F44" i="12"/>
  <c r="F52" i="12" s="1"/>
  <c r="G52" i="12" s="1"/>
  <c r="Q34" i="12"/>
  <c r="O34" i="12"/>
  <c r="N34" i="12"/>
  <c r="M34" i="12"/>
  <c r="L34" i="12"/>
  <c r="K34" i="12"/>
  <c r="J34" i="12"/>
  <c r="I34" i="12"/>
  <c r="H34" i="12"/>
  <c r="G34" i="12"/>
  <c r="F34" i="12"/>
  <c r="E34" i="12"/>
  <c r="D34" i="12"/>
  <c r="C34" i="12"/>
  <c r="Q33" i="12"/>
  <c r="O33" i="12"/>
  <c r="N33" i="12"/>
  <c r="M33" i="12"/>
  <c r="L33" i="12"/>
  <c r="K33" i="12"/>
  <c r="J33" i="12"/>
  <c r="I33" i="12"/>
  <c r="H33" i="12"/>
  <c r="G33" i="12"/>
  <c r="F33" i="12"/>
  <c r="E33" i="12"/>
  <c r="D33" i="12"/>
  <c r="C33" i="12"/>
  <c r="Q32" i="12"/>
  <c r="O32" i="12"/>
  <c r="N32" i="12"/>
  <c r="M32" i="12"/>
  <c r="L32" i="12"/>
  <c r="K32" i="12"/>
  <c r="J32" i="12"/>
  <c r="I32" i="12"/>
  <c r="H32" i="12"/>
  <c r="G32" i="12"/>
  <c r="F32" i="12"/>
  <c r="E32" i="12"/>
  <c r="D32" i="12"/>
  <c r="C32" i="12"/>
  <c r="Q31" i="12"/>
  <c r="O31" i="12"/>
  <c r="N31" i="12"/>
  <c r="M31" i="12"/>
  <c r="L31" i="12"/>
  <c r="K31" i="12"/>
  <c r="J31" i="12"/>
  <c r="I31" i="12"/>
  <c r="H31" i="12"/>
  <c r="G31" i="12"/>
  <c r="F31" i="12"/>
  <c r="E31" i="12"/>
  <c r="D31" i="12"/>
  <c r="C31" i="12"/>
  <c r="Q30" i="12"/>
  <c r="O30" i="12"/>
  <c r="N30" i="12"/>
  <c r="M30" i="12"/>
  <c r="L30" i="12"/>
  <c r="K30" i="12"/>
  <c r="J30" i="12"/>
  <c r="I30" i="12"/>
  <c r="H30" i="12"/>
  <c r="G30" i="12"/>
  <c r="F30" i="12"/>
  <c r="E30" i="12"/>
  <c r="D30" i="12"/>
  <c r="C30" i="12"/>
  <c r="Q29" i="12"/>
  <c r="O29" i="12"/>
  <c r="N29" i="12"/>
  <c r="M29" i="12"/>
  <c r="L29" i="12"/>
  <c r="K29" i="12"/>
  <c r="J29" i="12"/>
  <c r="I29" i="12"/>
  <c r="H29" i="12"/>
  <c r="G29" i="12"/>
  <c r="F29" i="12"/>
  <c r="E29" i="12"/>
  <c r="D29" i="12"/>
  <c r="C29" i="12"/>
  <c r="Q28" i="12"/>
  <c r="O28" i="12"/>
  <c r="N28" i="12"/>
  <c r="M28" i="12"/>
  <c r="L28" i="12"/>
  <c r="K28" i="12"/>
  <c r="J28" i="12"/>
  <c r="I28" i="12"/>
  <c r="H28" i="12"/>
  <c r="G28" i="12"/>
  <c r="F28" i="12"/>
  <c r="E28" i="12"/>
  <c r="D28" i="12"/>
  <c r="C28" i="12"/>
  <c r="Q27" i="12"/>
  <c r="O27" i="12"/>
  <c r="N27" i="12"/>
  <c r="M27" i="12"/>
  <c r="L27" i="12"/>
  <c r="K27" i="12"/>
  <c r="J27" i="12"/>
  <c r="I27" i="12"/>
  <c r="H27" i="12"/>
  <c r="G27" i="12"/>
  <c r="F27" i="12"/>
  <c r="E27" i="12"/>
  <c r="D27" i="12"/>
  <c r="C27" i="12"/>
  <c r="Q26" i="12"/>
  <c r="O26" i="12"/>
  <c r="N26" i="12"/>
  <c r="M26" i="12"/>
  <c r="L26" i="12"/>
  <c r="K26" i="12"/>
  <c r="J26" i="12"/>
  <c r="I26" i="12"/>
  <c r="H26" i="12"/>
  <c r="G26" i="12"/>
  <c r="F26" i="12"/>
  <c r="E26" i="12"/>
  <c r="D26" i="12"/>
  <c r="C26" i="12"/>
  <c r="Q25" i="12"/>
  <c r="O25" i="12"/>
  <c r="N25" i="12"/>
  <c r="M25" i="12"/>
  <c r="L25" i="12"/>
  <c r="K25" i="12"/>
  <c r="J25" i="12"/>
  <c r="I25" i="12"/>
  <c r="H25" i="12"/>
  <c r="G25" i="12"/>
  <c r="F25" i="12"/>
  <c r="E25" i="12"/>
  <c r="D25" i="12"/>
  <c r="C25" i="12"/>
  <c r="Q24" i="12"/>
  <c r="O24" i="12"/>
  <c r="N24" i="12"/>
  <c r="M24" i="12"/>
  <c r="L24" i="12"/>
  <c r="K24" i="12"/>
  <c r="J24" i="12"/>
  <c r="I24" i="12"/>
  <c r="H24" i="12"/>
  <c r="G24" i="12"/>
  <c r="F24" i="12"/>
  <c r="E24" i="12"/>
  <c r="D24" i="12"/>
  <c r="C24" i="12"/>
  <c r="Q23" i="12"/>
  <c r="O23" i="12"/>
  <c r="N23" i="12"/>
  <c r="M23" i="12"/>
  <c r="L23" i="12"/>
  <c r="K23" i="12"/>
  <c r="J23" i="12"/>
  <c r="I23" i="12"/>
  <c r="H23" i="12"/>
  <c r="G23" i="12"/>
  <c r="F23" i="12"/>
  <c r="E23" i="12"/>
  <c r="D23" i="12"/>
  <c r="C23" i="12"/>
  <c r="Q22" i="12"/>
  <c r="O22" i="12"/>
  <c r="N22" i="12"/>
  <c r="M22" i="12"/>
  <c r="L22" i="12"/>
  <c r="K22" i="12"/>
  <c r="J22" i="12"/>
  <c r="I22" i="12"/>
  <c r="H22" i="12"/>
  <c r="G22" i="12"/>
  <c r="F22" i="12"/>
  <c r="E22" i="12"/>
  <c r="D22" i="12"/>
  <c r="C22" i="12"/>
  <c r="Q21" i="12"/>
  <c r="O21" i="12"/>
  <c r="N21" i="12"/>
  <c r="M21" i="12"/>
  <c r="L21" i="12"/>
  <c r="K21" i="12"/>
  <c r="J21" i="12"/>
  <c r="I21" i="12"/>
  <c r="H21" i="12"/>
  <c r="G21" i="12"/>
  <c r="F21" i="12"/>
  <c r="E21" i="12"/>
  <c r="D21" i="12"/>
  <c r="C21" i="12"/>
  <c r="Q20" i="12"/>
  <c r="O20" i="12"/>
  <c r="N20" i="12"/>
  <c r="M20" i="12"/>
  <c r="L20" i="12"/>
  <c r="K20" i="12"/>
  <c r="J20" i="12"/>
  <c r="I20" i="12"/>
  <c r="H20" i="12"/>
  <c r="G20" i="12"/>
  <c r="F20" i="12"/>
  <c r="E20" i="12"/>
  <c r="D20" i="12"/>
  <c r="C20" i="12"/>
  <c r="Q19" i="12"/>
  <c r="O19" i="12"/>
  <c r="N19" i="12"/>
  <c r="M19" i="12"/>
  <c r="L19" i="12"/>
  <c r="K19" i="12"/>
  <c r="J19" i="12"/>
  <c r="I19" i="12"/>
  <c r="H19" i="12"/>
  <c r="G19" i="12"/>
  <c r="F19" i="12"/>
  <c r="E19" i="12"/>
  <c r="D19" i="12"/>
  <c r="C19" i="12"/>
  <c r="Q18" i="12"/>
  <c r="O18" i="12"/>
  <c r="N18" i="12"/>
  <c r="M18" i="12"/>
  <c r="L18" i="12"/>
  <c r="K18" i="12"/>
  <c r="J18" i="12"/>
  <c r="I18" i="12"/>
  <c r="H18" i="12"/>
  <c r="G18" i="12"/>
  <c r="F18" i="12"/>
  <c r="E18" i="12"/>
  <c r="D18" i="12"/>
  <c r="C18" i="12"/>
  <c r="Q17" i="12"/>
  <c r="O17" i="12"/>
  <c r="N17" i="12"/>
  <c r="M17" i="12"/>
  <c r="L17" i="12"/>
  <c r="K17" i="12"/>
  <c r="J17" i="12"/>
  <c r="I17" i="12"/>
  <c r="H17" i="12"/>
  <c r="G17" i="12"/>
  <c r="F17" i="12"/>
  <c r="E17" i="12"/>
  <c r="D17" i="12"/>
  <c r="C17" i="12"/>
  <c r="Q16" i="12"/>
  <c r="O16" i="12"/>
  <c r="N16" i="12"/>
  <c r="M16" i="12"/>
  <c r="L16" i="12"/>
  <c r="K16" i="12"/>
  <c r="J16" i="12"/>
  <c r="I16" i="12"/>
  <c r="H16" i="12"/>
  <c r="G16" i="12"/>
  <c r="F16" i="12"/>
  <c r="E16" i="12"/>
  <c r="D16" i="12"/>
  <c r="C16" i="12"/>
  <c r="Q15" i="12"/>
  <c r="O15" i="12"/>
  <c r="N15" i="12"/>
  <c r="M15" i="12"/>
  <c r="L15" i="12"/>
  <c r="K15" i="12"/>
  <c r="J15" i="12"/>
  <c r="I15" i="12"/>
  <c r="H15" i="12"/>
  <c r="G15" i="12"/>
  <c r="F15" i="12"/>
  <c r="E15" i="12"/>
  <c r="D15" i="12"/>
  <c r="C15" i="12"/>
  <c r="Q14" i="12"/>
  <c r="O14" i="12"/>
  <c r="N14" i="12"/>
  <c r="M14" i="12"/>
  <c r="L14" i="12"/>
  <c r="K14" i="12"/>
  <c r="J14" i="12"/>
  <c r="I14" i="12"/>
  <c r="H14" i="12"/>
  <c r="G14" i="12"/>
  <c r="F14" i="12"/>
  <c r="E14" i="12"/>
  <c r="D14" i="12"/>
  <c r="C14" i="12"/>
  <c r="Q13" i="12"/>
  <c r="O13" i="12"/>
  <c r="N13" i="12"/>
  <c r="M13" i="12"/>
  <c r="L13" i="12"/>
  <c r="K13" i="12"/>
  <c r="J13" i="12"/>
  <c r="I13" i="12"/>
  <c r="H13" i="12"/>
  <c r="G13" i="12"/>
  <c r="F13" i="12"/>
  <c r="E13" i="12"/>
  <c r="D13" i="12"/>
  <c r="C13" i="12"/>
  <c r="Q12" i="12"/>
  <c r="O12" i="12"/>
  <c r="N12" i="12"/>
  <c r="M12" i="12"/>
  <c r="L12" i="12"/>
  <c r="K12" i="12"/>
  <c r="J12" i="12"/>
  <c r="I12" i="12"/>
  <c r="H12" i="12"/>
  <c r="G12" i="12"/>
  <c r="F12" i="12"/>
  <c r="E12" i="12"/>
  <c r="D12" i="12"/>
  <c r="C12" i="12"/>
  <c r="Q11" i="12"/>
  <c r="O11" i="12"/>
  <c r="N11" i="12"/>
  <c r="M11" i="12"/>
  <c r="L11" i="12"/>
  <c r="K11" i="12"/>
  <c r="J11" i="12"/>
  <c r="I11" i="12"/>
  <c r="H11" i="12"/>
  <c r="G11" i="12"/>
  <c r="F11" i="12"/>
  <c r="E11" i="12"/>
  <c r="D11" i="12"/>
  <c r="C11" i="12"/>
  <c r="Q10" i="12"/>
  <c r="O10" i="12"/>
  <c r="N10" i="12"/>
  <c r="M10" i="12"/>
  <c r="L10" i="12"/>
  <c r="K10" i="12"/>
  <c r="J10" i="12"/>
  <c r="I10" i="12"/>
  <c r="H10" i="12"/>
  <c r="G10" i="12"/>
  <c r="F10" i="12"/>
  <c r="E10" i="12"/>
  <c r="D10" i="12"/>
  <c r="C10" i="12"/>
  <c r="Q9" i="12"/>
  <c r="O9" i="12"/>
  <c r="N9" i="12"/>
  <c r="M9" i="12"/>
  <c r="L9" i="12"/>
  <c r="K9" i="12"/>
  <c r="J9" i="12"/>
  <c r="I9" i="12"/>
  <c r="H9" i="12"/>
  <c r="G9" i="12"/>
  <c r="F9" i="12"/>
  <c r="E9" i="12"/>
  <c r="D9" i="12"/>
  <c r="C9" i="12"/>
  <c r="Q8" i="12"/>
  <c r="O8" i="12"/>
  <c r="N8" i="12"/>
  <c r="M8" i="12"/>
  <c r="L8" i="12"/>
  <c r="K8" i="12"/>
  <c r="J8" i="12"/>
  <c r="I8" i="12"/>
  <c r="H8" i="12"/>
  <c r="G8" i="12"/>
  <c r="F8" i="12"/>
  <c r="E8" i="12"/>
  <c r="D8" i="12"/>
  <c r="C8" i="12"/>
  <c r="Q7" i="12"/>
  <c r="O7" i="12"/>
  <c r="N7" i="12"/>
  <c r="M7" i="12"/>
  <c r="L7" i="12"/>
  <c r="K7" i="12"/>
  <c r="J7" i="12"/>
  <c r="I7" i="12"/>
  <c r="H7" i="12"/>
  <c r="G7" i="12"/>
  <c r="F7" i="12"/>
  <c r="E7" i="12"/>
  <c r="D7" i="12"/>
  <c r="C7" i="12"/>
  <c r="Q6" i="12"/>
  <c r="O6" i="12"/>
  <c r="N6" i="12"/>
  <c r="M6" i="12"/>
  <c r="L6" i="12"/>
  <c r="K6" i="12"/>
  <c r="J6" i="12"/>
  <c r="I6" i="12"/>
  <c r="H6" i="12"/>
  <c r="G6" i="12"/>
  <c r="F6" i="12"/>
  <c r="E6" i="12"/>
  <c r="D6" i="12"/>
  <c r="C6" i="12"/>
  <c r="Q5" i="12"/>
  <c r="O5" i="12"/>
  <c r="N5" i="12"/>
  <c r="M5" i="12"/>
  <c r="L5" i="12"/>
  <c r="K5" i="12"/>
  <c r="J5" i="12"/>
  <c r="I5" i="12"/>
  <c r="H5" i="12"/>
  <c r="G5" i="12"/>
  <c r="F5" i="12"/>
  <c r="E5" i="12"/>
  <c r="D5" i="12"/>
  <c r="C5" i="12"/>
  <c r="B17" i="11"/>
  <c r="B16" i="11"/>
  <c r="B20" i="11" s="1"/>
  <c r="B14" i="11"/>
  <c r="B13" i="11"/>
  <c r="B12" i="11"/>
  <c r="A12" i="11"/>
  <c r="B11" i="11"/>
  <c r="A11" i="11"/>
  <c r="B10" i="11"/>
  <c r="A10" i="11"/>
  <c r="B9" i="11"/>
  <c r="A9" i="11"/>
  <c r="B8" i="11"/>
  <c r="A8" i="11"/>
  <c r="B7" i="11"/>
  <c r="A7" i="11"/>
  <c r="B6" i="11"/>
  <c r="A6" i="11"/>
  <c r="B5" i="11"/>
  <c r="B15" i="11" s="1"/>
  <c r="A5" i="11"/>
  <c r="A34" i="10"/>
  <c r="A32" i="10"/>
  <c r="A18" i="10"/>
  <c r="A17" i="10"/>
  <c r="A16" i="10"/>
  <c r="A15" i="10"/>
  <c r="A14" i="10"/>
  <c r="A13" i="10"/>
  <c r="A12" i="10"/>
  <c r="A11" i="10"/>
  <c r="B53" i="9"/>
  <c r="B52" i="9"/>
  <c r="B51" i="9"/>
  <c r="B50" i="9"/>
  <c r="A44" i="9"/>
  <c r="A43" i="9"/>
  <c r="A36" i="9"/>
  <c r="A27" i="9"/>
  <c r="A26" i="9"/>
  <c r="A25" i="9"/>
  <c r="A24" i="9"/>
  <c r="A20" i="9"/>
  <c r="B60" i="8"/>
  <c r="A60" i="8"/>
  <c r="B59" i="8"/>
  <c r="A59" i="8"/>
  <c r="B58" i="8"/>
  <c r="A58" i="8"/>
  <c r="B57" i="8"/>
  <c r="A57" i="8"/>
  <c r="B56" i="8"/>
  <c r="A56" i="8"/>
  <c r="B55" i="8"/>
  <c r="A55" i="8"/>
  <c r="B54" i="8"/>
  <c r="A54" i="8"/>
  <c r="A48" i="8"/>
  <c r="A47" i="8"/>
  <c r="A46" i="8"/>
  <c r="A45" i="8"/>
  <c r="A44" i="8"/>
  <c r="A34" i="8"/>
  <c r="A33" i="8"/>
  <c r="A32" i="8"/>
  <c r="A31" i="8"/>
  <c r="O405" i="7"/>
  <c r="N405" i="7"/>
  <c r="M405" i="7"/>
  <c r="L405" i="7"/>
  <c r="W405" i="7" s="1"/>
  <c r="J405" i="7"/>
  <c r="I405" i="7"/>
  <c r="Q405" i="7" s="1"/>
  <c r="T405" i="7" s="1"/>
  <c r="H405" i="7"/>
  <c r="G405" i="7"/>
  <c r="F405" i="7"/>
  <c r="E405" i="7"/>
  <c r="P405" i="7" s="1"/>
  <c r="D405" i="7"/>
  <c r="C405" i="7"/>
  <c r="K405" i="7" s="1"/>
  <c r="B405" i="7"/>
  <c r="A405" i="7"/>
  <c r="T404" i="7"/>
  <c r="P404" i="7"/>
  <c r="O404" i="7"/>
  <c r="N404" i="7"/>
  <c r="I404" i="7"/>
  <c r="Q404" i="7" s="1"/>
  <c r="H404" i="7"/>
  <c r="G404" i="7"/>
  <c r="F404" i="7"/>
  <c r="E404" i="7"/>
  <c r="D404" i="7"/>
  <c r="C404" i="7"/>
  <c r="B404" i="7"/>
  <c r="A404" i="7"/>
  <c r="Q403" i="7"/>
  <c r="T403" i="7" s="1"/>
  <c r="I403" i="7"/>
  <c r="H403" i="7"/>
  <c r="G403" i="7"/>
  <c r="F403" i="7"/>
  <c r="E403" i="7"/>
  <c r="D403" i="7"/>
  <c r="C403" i="7"/>
  <c r="B403" i="7"/>
  <c r="A403" i="7"/>
  <c r="V402" i="7"/>
  <c r="N402" i="7"/>
  <c r="M402" i="7"/>
  <c r="L402" i="7"/>
  <c r="W402" i="7" s="1"/>
  <c r="K402" i="7"/>
  <c r="J402" i="7"/>
  <c r="I402" i="7"/>
  <c r="Q402" i="7" s="1"/>
  <c r="T402" i="7" s="1"/>
  <c r="H402" i="7"/>
  <c r="G402" i="7"/>
  <c r="F402" i="7"/>
  <c r="P402" i="7" s="1"/>
  <c r="E402" i="7"/>
  <c r="D402" i="7"/>
  <c r="C402" i="7"/>
  <c r="O402" i="7" s="1"/>
  <c r="B402" i="7"/>
  <c r="A402" i="7"/>
  <c r="Q401" i="7"/>
  <c r="T401" i="7" s="1"/>
  <c r="O401" i="7"/>
  <c r="M401" i="7"/>
  <c r="I401" i="7"/>
  <c r="H401" i="7"/>
  <c r="G401" i="7"/>
  <c r="F401" i="7"/>
  <c r="P401" i="7" s="1"/>
  <c r="E401" i="7"/>
  <c r="D401" i="7"/>
  <c r="C401" i="7"/>
  <c r="B401" i="7"/>
  <c r="A401" i="7"/>
  <c r="T400" i="7"/>
  <c r="Q400" i="7"/>
  <c r="P400" i="7"/>
  <c r="N400" i="7"/>
  <c r="K400" i="7"/>
  <c r="J400" i="7"/>
  <c r="I400" i="7"/>
  <c r="H400" i="7"/>
  <c r="G400" i="7"/>
  <c r="F400" i="7"/>
  <c r="E400" i="7"/>
  <c r="D400" i="7"/>
  <c r="L400" i="7" s="1"/>
  <c r="C400" i="7"/>
  <c r="O400" i="7" s="1"/>
  <c r="B400" i="7"/>
  <c r="A400" i="7"/>
  <c r="O399" i="7"/>
  <c r="M399" i="7"/>
  <c r="K399" i="7"/>
  <c r="J399" i="7"/>
  <c r="I399" i="7"/>
  <c r="Q399" i="7" s="1"/>
  <c r="T399" i="7" s="1"/>
  <c r="H399" i="7"/>
  <c r="G399" i="7"/>
  <c r="F399" i="7"/>
  <c r="P399" i="7" s="1"/>
  <c r="E399" i="7"/>
  <c r="D399" i="7"/>
  <c r="C399" i="7"/>
  <c r="B399" i="7"/>
  <c r="A399" i="7"/>
  <c r="T398" i="7"/>
  <c r="Q398" i="7"/>
  <c r="I398" i="7"/>
  <c r="H398" i="7"/>
  <c r="G398" i="7"/>
  <c r="F398" i="7"/>
  <c r="E398" i="7"/>
  <c r="D398" i="7"/>
  <c r="C398" i="7"/>
  <c r="B398" i="7"/>
  <c r="A398" i="7"/>
  <c r="Q397" i="7"/>
  <c r="T397" i="7" s="1"/>
  <c r="P397" i="7"/>
  <c r="K397" i="7"/>
  <c r="I397" i="7"/>
  <c r="H397" i="7"/>
  <c r="G397" i="7"/>
  <c r="F397" i="7"/>
  <c r="E397" i="7"/>
  <c r="D397" i="7"/>
  <c r="C397" i="7"/>
  <c r="O397" i="7" s="1"/>
  <c r="B397" i="7"/>
  <c r="A397" i="7"/>
  <c r="T396" i="7"/>
  <c r="Q396" i="7"/>
  <c r="O396" i="7"/>
  <c r="M396" i="7"/>
  <c r="L396" i="7"/>
  <c r="K396" i="7"/>
  <c r="J396" i="7"/>
  <c r="I396" i="7"/>
  <c r="H396" i="7"/>
  <c r="G396" i="7"/>
  <c r="F396" i="7"/>
  <c r="E396" i="7"/>
  <c r="D396" i="7"/>
  <c r="C396" i="7"/>
  <c r="N396" i="7" s="1"/>
  <c r="B396" i="7"/>
  <c r="A396" i="7"/>
  <c r="O395" i="7"/>
  <c r="J395" i="7"/>
  <c r="I395" i="7"/>
  <c r="Q395" i="7" s="1"/>
  <c r="T395" i="7" s="1"/>
  <c r="H395" i="7"/>
  <c r="G395" i="7"/>
  <c r="F395" i="7"/>
  <c r="P395" i="7" s="1"/>
  <c r="E395" i="7"/>
  <c r="D395" i="7"/>
  <c r="C395" i="7"/>
  <c r="B395" i="7"/>
  <c r="A395" i="7"/>
  <c r="Q394" i="7"/>
  <c r="T394" i="7" s="1"/>
  <c r="P394" i="7"/>
  <c r="I394" i="7"/>
  <c r="H394" i="7"/>
  <c r="G394" i="7"/>
  <c r="F394" i="7"/>
  <c r="E394" i="7"/>
  <c r="D394" i="7"/>
  <c r="C394" i="7"/>
  <c r="B394" i="7"/>
  <c r="A394" i="7"/>
  <c r="P393" i="7"/>
  <c r="O393" i="7"/>
  <c r="L393" i="7"/>
  <c r="J393" i="7"/>
  <c r="I393" i="7"/>
  <c r="Q393" i="7" s="1"/>
  <c r="T393" i="7" s="1"/>
  <c r="H393" i="7"/>
  <c r="G393" i="7"/>
  <c r="F393" i="7"/>
  <c r="E393" i="7"/>
  <c r="D393" i="7"/>
  <c r="C393" i="7"/>
  <c r="K393" i="7" s="1"/>
  <c r="B393" i="7"/>
  <c r="A393" i="7"/>
  <c r="P392" i="7"/>
  <c r="L392" i="7"/>
  <c r="K392" i="7"/>
  <c r="I392" i="7"/>
  <c r="Q392" i="7" s="1"/>
  <c r="T392" i="7" s="1"/>
  <c r="H392" i="7"/>
  <c r="G392" i="7"/>
  <c r="F392" i="7"/>
  <c r="E392" i="7"/>
  <c r="D392" i="7"/>
  <c r="C392" i="7"/>
  <c r="B392" i="7"/>
  <c r="A392" i="7"/>
  <c r="T391" i="7"/>
  <c r="Q391" i="7"/>
  <c r="I391" i="7"/>
  <c r="H391" i="7"/>
  <c r="G391" i="7"/>
  <c r="F391" i="7"/>
  <c r="P391" i="7" s="1"/>
  <c r="E391" i="7"/>
  <c r="D391" i="7"/>
  <c r="C391" i="7"/>
  <c r="B391" i="7"/>
  <c r="A391" i="7"/>
  <c r="P390" i="7"/>
  <c r="N390" i="7"/>
  <c r="M390" i="7"/>
  <c r="L390" i="7"/>
  <c r="K390" i="7"/>
  <c r="J390" i="7"/>
  <c r="I390" i="7"/>
  <c r="Q390" i="7" s="1"/>
  <c r="T390" i="7" s="1"/>
  <c r="H390" i="7"/>
  <c r="G390" i="7"/>
  <c r="F390" i="7"/>
  <c r="E390" i="7"/>
  <c r="D390" i="7"/>
  <c r="C390" i="7"/>
  <c r="O390" i="7" s="1"/>
  <c r="B390" i="7"/>
  <c r="A390" i="7"/>
  <c r="W389" i="7"/>
  <c r="V389" i="7"/>
  <c r="T389" i="7"/>
  <c r="O389" i="7"/>
  <c r="M389" i="7"/>
  <c r="L389" i="7"/>
  <c r="K389" i="7"/>
  <c r="J389" i="7"/>
  <c r="I389" i="7"/>
  <c r="Q389" i="7" s="1"/>
  <c r="H389" i="7"/>
  <c r="G389" i="7"/>
  <c r="F389" i="7"/>
  <c r="P389" i="7" s="1"/>
  <c r="E389" i="7"/>
  <c r="D389" i="7"/>
  <c r="C389" i="7"/>
  <c r="N389" i="7" s="1"/>
  <c r="B389" i="7"/>
  <c r="A389" i="7"/>
  <c r="P388" i="7"/>
  <c r="K388" i="7"/>
  <c r="J388" i="7"/>
  <c r="I388" i="7"/>
  <c r="Q388" i="7" s="1"/>
  <c r="T388" i="7" s="1"/>
  <c r="H388" i="7"/>
  <c r="G388" i="7"/>
  <c r="F388" i="7"/>
  <c r="E388" i="7"/>
  <c r="D388" i="7"/>
  <c r="C388" i="7"/>
  <c r="B388" i="7"/>
  <c r="A388" i="7"/>
  <c r="T387" i="7"/>
  <c r="I387" i="7"/>
  <c r="Q387" i="7" s="1"/>
  <c r="H387" i="7"/>
  <c r="G387" i="7"/>
  <c r="F387" i="7"/>
  <c r="E387" i="7"/>
  <c r="D387" i="7"/>
  <c r="C387" i="7"/>
  <c r="B387" i="7"/>
  <c r="A387" i="7"/>
  <c r="Q386" i="7"/>
  <c r="T386" i="7" s="1"/>
  <c r="P386" i="7"/>
  <c r="O386" i="7"/>
  <c r="N386" i="7"/>
  <c r="M386" i="7"/>
  <c r="L386" i="7"/>
  <c r="J386" i="7"/>
  <c r="I386" i="7"/>
  <c r="H386" i="7"/>
  <c r="G386" i="7"/>
  <c r="F386" i="7"/>
  <c r="E386" i="7"/>
  <c r="D386" i="7"/>
  <c r="C386" i="7"/>
  <c r="K386" i="7" s="1"/>
  <c r="B386" i="7"/>
  <c r="A386" i="7"/>
  <c r="T385" i="7"/>
  <c r="P385" i="7"/>
  <c r="I385" i="7"/>
  <c r="Q385" i="7" s="1"/>
  <c r="H385" i="7"/>
  <c r="G385" i="7"/>
  <c r="F385" i="7"/>
  <c r="E385" i="7"/>
  <c r="D385" i="7"/>
  <c r="C385" i="7"/>
  <c r="B385" i="7"/>
  <c r="A385" i="7"/>
  <c r="Q384" i="7"/>
  <c r="T384" i="7" s="1"/>
  <c r="M384" i="7"/>
  <c r="L384" i="7"/>
  <c r="K384" i="7"/>
  <c r="J384" i="7"/>
  <c r="I384" i="7"/>
  <c r="H384" i="7"/>
  <c r="G384" i="7"/>
  <c r="F384" i="7"/>
  <c r="E384" i="7"/>
  <c r="D384" i="7"/>
  <c r="C384" i="7"/>
  <c r="O384" i="7" s="1"/>
  <c r="B384" i="7"/>
  <c r="A384" i="7"/>
  <c r="K383" i="7"/>
  <c r="J383" i="7"/>
  <c r="I383" i="7"/>
  <c r="Q383" i="7" s="1"/>
  <c r="T383" i="7" s="1"/>
  <c r="H383" i="7"/>
  <c r="G383" i="7"/>
  <c r="F383" i="7"/>
  <c r="E383" i="7"/>
  <c r="D383" i="7"/>
  <c r="C383" i="7"/>
  <c r="O383" i="7" s="1"/>
  <c r="B383" i="7"/>
  <c r="A383" i="7"/>
  <c r="Q382" i="7"/>
  <c r="T382" i="7" s="1"/>
  <c r="P382" i="7"/>
  <c r="O382" i="7"/>
  <c r="N382" i="7"/>
  <c r="I382" i="7"/>
  <c r="H382" i="7"/>
  <c r="G382" i="7"/>
  <c r="F382" i="7"/>
  <c r="E382" i="7"/>
  <c r="D382" i="7"/>
  <c r="C382" i="7"/>
  <c r="B382" i="7"/>
  <c r="A382" i="7"/>
  <c r="T381" i="7"/>
  <c r="Q381" i="7"/>
  <c r="L381" i="7"/>
  <c r="K381" i="7"/>
  <c r="I381" i="7"/>
  <c r="H381" i="7"/>
  <c r="G381" i="7"/>
  <c r="F381" i="7"/>
  <c r="E381" i="7"/>
  <c r="P381" i="7" s="1"/>
  <c r="D381" i="7"/>
  <c r="C381" i="7"/>
  <c r="J381" i="7" s="1"/>
  <c r="B381" i="7"/>
  <c r="A381" i="7"/>
  <c r="P380" i="7"/>
  <c r="O380" i="7"/>
  <c r="I380" i="7"/>
  <c r="Q380" i="7" s="1"/>
  <c r="T380" i="7" s="1"/>
  <c r="H380" i="7"/>
  <c r="G380" i="7"/>
  <c r="F380" i="7"/>
  <c r="E380" i="7"/>
  <c r="D380" i="7"/>
  <c r="C380" i="7"/>
  <c r="B380" i="7"/>
  <c r="A380" i="7"/>
  <c r="N379" i="7"/>
  <c r="M379" i="7"/>
  <c r="L379" i="7"/>
  <c r="V379" i="7" s="1"/>
  <c r="K379" i="7"/>
  <c r="J379" i="7"/>
  <c r="I379" i="7"/>
  <c r="Q379" i="7" s="1"/>
  <c r="T379" i="7" s="1"/>
  <c r="H379" i="7"/>
  <c r="G379" i="7"/>
  <c r="F379" i="7"/>
  <c r="P379" i="7" s="1"/>
  <c r="E379" i="7"/>
  <c r="D379" i="7"/>
  <c r="C379" i="7"/>
  <c r="O379" i="7" s="1"/>
  <c r="B379" i="7"/>
  <c r="A379" i="7"/>
  <c r="K378" i="7"/>
  <c r="J378" i="7"/>
  <c r="I378" i="7"/>
  <c r="Q378" i="7" s="1"/>
  <c r="T378" i="7" s="1"/>
  <c r="H378" i="7"/>
  <c r="G378" i="7"/>
  <c r="F378" i="7"/>
  <c r="E378" i="7"/>
  <c r="N378" i="7" s="1"/>
  <c r="D378" i="7"/>
  <c r="C378" i="7"/>
  <c r="O378" i="7" s="1"/>
  <c r="B378" i="7"/>
  <c r="A378" i="7"/>
  <c r="Q377" i="7"/>
  <c r="T377" i="7" s="1"/>
  <c r="P377" i="7"/>
  <c r="I377" i="7"/>
  <c r="H377" i="7"/>
  <c r="G377" i="7"/>
  <c r="F377" i="7"/>
  <c r="E377" i="7"/>
  <c r="D377" i="7"/>
  <c r="C377" i="7"/>
  <c r="B377" i="7"/>
  <c r="A377" i="7"/>
  <c r="O376" i="7"/>
  <c r="N376" i="7"/>
  <c r="M376" i="7"/>
  <c r="J376" i="7"/>
  <c r="I376" i="7"/>
  <c r="Q376" i="7" s="1"/>
  <c r="T376" i="7" s="1"/>
  <c r="H376" i="7"/>
  <c r="G376" i="7"/>
  <c r="F376" i="7"/>
  <c r="E376" i="7"/>
  <c r="P376" i="7" s="1"/>
  <c r="D376" i="7"/>
  <c r="C376" i="7"/>
  <c r="B376" i="7"/>
  <c r="A376" i="7"/>
  <c r="Q375" i="7"/>
  <c r="T375" i="7" s="1"/>
  <c r="P375" i="7"/>
  <c r="I375" i="7"/>
  <c r="H375" i="7"/>
  <c r="G375" i="7"/>
  <c r="F375" i="7"/>
  <c r="E375" i="7"/>
  <c r="D375" i="7"/>
  <c r="C375" i="7"/>
  <c r="B375" i="7"/>
  <c r="A375" i="7"/>
  <c r="Q374" i="7"/>
  <c r="T374" i="7" s="1"/>
  <c r="P374" i="7"/>
  <c r="O374" i="7"/>
  <c r="L374" i="7"/>
  <c r="K374" i="7"/>
  <c r="I374" i="7"/>
  <c r="H374" i="7"/>
  <c r="G374" i="7"/>
  <c r="F374" i="7"/>
  <c r="E374" i="7"/>
  <c r="D374" i="7"/>
  <c r="C374" i="7"/>
  <c r="B374" i="7"/>
  <c r="A374" i="7"/>
  <c r="W373" i="7"/>
  <c r="V373" i="7"/>
  <c r="Q373" i="7"/>
  <c r="T373" i="7" s="1"/>
  <c r="N373" i="7"/>
  <c r="M373" i="7"/>
  <c r="L373" i="7"/>
  <c r="K373" i="7"/>
  <c r="J373" i="7"/>
  <c r="R373" i="7" s="1"/>
  <c r="U373" i="7" s="1"/>
  <c r="I373" i="7"/>
  <c r="H373" i="7"/>
  <c r="G373" i="7"/>
  <c r="F373" i="7"/>
  <c r="P373" i="7" s="1"/>
  <c r="E373" i="7"/>
  <c r="D373" i="7"/>
  <c r="C373" i="7"/>
  <c r="O373" i="7" s="1"/>
  <c r="B373" i="7"/>
  <c r="A373" i="7"/>
  <c r="P372" i="7"/>
  <c r="K372" i="7"/>
  <c r="J372" i="7"/>
  <c r="I372" i="7"/>
  <c r="Q372" i="7" s="1"/>
  <c r="T372" i="7" s="1"/>
  <c r="H372" i="7"/>
  <c r="G372" i="7"/>
  <c r="F372" i="7"/>
  <c r="E372" i="7"/>
  <c r="N372" i="7" s="1"/>
  <c r="D372" i="7"/>
  <c r="C372" i="7"/>
  <c r="O372" i="7" s="1"/>
  <c r="B372" i="7"/>
  <c r="A372" i="7"/>
  <c r="Q371" i="7"/>
  <c r="T371" i="7" s="1"/>
  <c r="O371" i="7"/>
  <c r="I371" i="7"/>
  <c r="H371" i="7"/>
  <c r="G371" i="7"/>
  <c r="F371" i="7"/>
  <c r="E371" i="7"/>
  <c r="P371" i="7" s="1"/>
  <c r="D371" i="7"/>
  <c r="C371" i="7"/>
  <c r="B371" i="7"/>
  <c r="A371" i="7"/>
  <c r="P370" i="7"/>
  <c r="N370" i="7"/>
  <c r="L370" i="7"/>
  <c r="J370" i="7"/>
  <c r="I370" i="7"/>
  <c r="Q370" i="7" s="1"/>
  <c r="T370" i="7" s="1"/>
  <c r="H370" i="7"/>
  <c r="G370" i="7"/>
  <c r="F370" i="7"/>
  <c r="E370" i="7"/>
  <c r="D370" i="7"/>
  <c r="C370" i="7"/>
  <c r="O370" i="7" s="1"/>
  <c r="B370" i="7"/>
  <c r="A370" i="7"/>
  <c r="N369" i="7"/>
  <c r="M369" i="7"/>
  <c r="L369" i="7"/>
  <c r="W369" i="7" s="1"/>
  <c r="K369" i="7"/>
  <c r="J369" i="7"/>
  <c r="I369" i="7"/>
  <c r="Q369" i="7" s="1"/>
  <c r="T369" i="7" s="1"/>
  <c r="H369" i="7"/>
  <c r="G369" i="7"/>
  <c r="F369" i="7"/>
  <c r="P369" i="7" s="1"/>
  <c r="E369" i="7"/>
  <c r="D369" i="7"/>
  <c r="C369" i="7"/>
  <c r="O369" i="7" s="1"/>
  <c r="B369" i="7"/>
  <c r="A369" i="7"/>
  <c r="T368" i="7"/>
  <c r="M368" i="7"/>
  <c r="L368" i="7"/>
  <c r="K368" i="7"/>
  <c r="J368" i="7"/>
  <c r="I368" i="7"/>
  <c r="Q368" i="7" s="1"/>
  <c r="H368" i="7"/>
  <c r="G368" i="7"/>
  <c r="F368" i="7"/>
  <c r="E368" i="7"/>
  <c r="N368" i="7" s="1"/>
  <c r="D368" i="7"/>
  <c r="C368" i="7"/>
  <c r="O368" i="7" s="1"/>
  <c r="B368" i="7"/>
  <c r="A368" i="7"/>
  <c r="Q367" i="7"/>
  <c r="T367" i="7" s="1"/>
  <c r="P367" i="7"/>
  <c r="K367" i="7"/>
  <c r="J367" i="7"/>
  <c r="I367" i="7"/>
  <c r="H367" i="7"/>
  <c r="G367" i="7"/>
  <c r="F367" i="7"/>
  <c r="E367" i="7"/>
  <c r="D367" i="7"/>
  <c r="C367" i="7"/>
  <c r="O367" i="7" s="1"/>
  <c r="B367" i="7"/>
  <c r="A367" i="7"/>
  <c r="Q366" i="7"/>
  <c r="T366" i="7" s="1"/>
  <c r="P366" i="7"/>
  <c r="I366" i="7"/>
  <c r="H366" i="7"/>
  <c r="G366" i="7"/>
  <c r="F366" i="7"/>
  <c r="E366" i="7"/>
  <c r="D366" i="7"/>
  <c r="C366" i="7"/>
  <c r="B366" i="7"/>
  <c r="A366" i="7"/>
  <c r="P365" i="7"/>
  <c r="O365" i="7"/>
  <c r="N365" i="7"/>
  <c r="K365" i="7"/>
  <c r="J365" i="7"/>
  <c r="I365" i="7"/>
  <c r="Q365" i="7" s="1"/>
  <c r="T365" i="7" s="1"/>
  <c r="H365" i="7"/>
  <c r="G365" i="7"/>
  <c r="F365" i="7"/>
  <c r="E365" i="7"/>
  <c r="D365" i="7"/>
  <c r="C365" i="7"/>
  <c r="B365" i="7"/>
  <c r="A365" i="7"/>
  <c r="Q364" i="7"/>
  <c r="T364" i="7" s="1"/>
  <c r="I364" i="7"/>
  <c r="H364" i="7"/>
  <c r="G364" i="7"/>
  <c r="F364" i="7"/>
  <c r="P364" i="7" s="1"/>
  <c r="E364" i="7"/>
  <c r="D364" i="7"/>
  <c r="C364" i="7"/>
  <c r="B364" i="7"/>
  <c r="A364" i="7"/>
  <c r="Q363" i="7"/>
  <c r="T363" i="7" s="1"/>
  <c r="P363" i="7"/>
  <c r="I363" i="7"/>
  <c r="H363" i="7"/>
  <c r="G363" i="7"/>
  <c r="F363" i="7"/>
  <c r="E363" i="7"/>
  <c r="D363" i="7"/>
  <c r="C363" i="7"/>
  <c r="B363" i="7"/>
  <c r="A363" i="7"/>
  <c r="T362" i="7"/>
  <c r="Q362" i="7"/>
  <c r="N362" i="7"/>
  <c r="M362" i="7"/>
  <c r="L362" i="7"/>
  <c r="K362" i="7"/>
  <c r="I362" i="7"/>
  <c r="H362" i="7"/>
  <c r="G362" i="7"/>
  <c r="F362" i="7"/>
  <c r="P362" i="7" s="1"/>
  <c r="E362" i="7"/>
  <c r="D362" i="7"/>
  <c r="C362" i="7"/>
  <c r="J362" i="7" s="1"/>
  <c r="B362" i="7"/>
  <c r="A362" i="7"/>
  <c r="Q361" i="7"/>
  <c r="T361" i="7" s="1"/>
  <c r="P361" i="7"/>
  <c r="I361" i="7"/>
  <c r="H361" i="7"/>
  <c r="G361" i="7"/>
  <c r="F361" i="7"/>
  <c r="E361" i="7"/>
  <c r="D361" i="7"/>
  <c r="C361" i="7"/>
  <c r="B361" i="7"/>
  <c r="A361" i="7"/>
  <c r="Q360" i="7"/>
  <c r="T360" i="7" s="1"/>
  <c r="O360" i="7"/>
  <c r="M360" i="7"/>
  <c r="L360" i="7"/>
  <c r="I360" i="7"/>
  <c r="H360" i="7"/>
  <c r="G360" i="7"/>
  <c r="F360" i="7"/>
  <c r="P360" i="7" s="1"/>
  <c r="E360" i="7"/>
  <c r="D360" i="7"/>
  <c r="C360" i="7"/>
  <c r="N360" i="7" s="1"/>
  <c r="B360" i="7"/>
  <c r="A360" i="7"/>
  <c r="P359" i="7"/>
  <c r="K359" i="7"/>
  <c r="I359" i="7"/>
  <c r="Q359" i="7" s="1"/>
  <c r="T359" i="7" s="1"/>
  <c r="H359" i="7"/>
  <c r="G359" i="7"/>
  <c r="F359" i="7"/>
  <c r="E359" i="7"/>
  <c r="D359" i="7"/>
  <c r="N359" i="7" s="1"/>
  <c r="C359" i="7"/>
  <c r="O359" i="7" s="1"/>
  <c r="B359" i="7"/>
  <c r="A359" i="7"/>
  <c r="W358" i="7"/>
  <c r="V358" i="7"/>
  <c r="N358" i="7"/>
  <c r="M358" i="7"/>
  <c r="L358" i="7"/>
  <c r="K358" i="7"/>
  <c r="J358" i="7"/>
  <c r="I358" i="7"/>
  <c r="Q358" i="7" s="1"/>
  <c r="T358" i="7" s="1"/>
  <c r="H358" i="7"/>
  <c r="G358" i="7"/>
  <c r="F358" i="7"/>
  <c r="P358" i="7" s="1"/>
  <c r="E358" i="7"/>
  <c r="D358" i="7"/>
  <c r="C358" i="7"/>
  <c r="O358" i="7" s="1"/>
  <c r="B358" i="7"/>
  <c r="A358" i="7"/>
  <c r="T357" i="7"/>
  <c r="L357" i="7"/>
  <c r="K357" i="7"/>
  <c r="J357" i="7"/>
  <c r="I357" i="7"/>
  <c r="Q357" i="7" s="1"/>
  <c r="H357" i="7"/>
  <c r="G357" i="7"/>
  <c r="F357" i="7"/>
  <c r="P357" i="7" s="1"/>
  <c r="E357" i="7"/>
  <c r="D357" i="7"/>
  <c r="M357" i="7" s="1"/>
  <c r="C357" i="7"/>
  <c r="O357" i="7" s="1"/>
  <c r="B357" i="7"/>
  <c r="A357" i="7"/>
  <c r="O356" i="7"/>
  <c r="L356" i="7"/>
  <c r="K356" i="7"/>
  <c r="J356" i="7"/>
  <c r="I356" i="7"/>
  <c r="Q356" i="7" s="1"/>
  <c r="T356" i="7" s="1"/>
  <c r="H356" i="7"/>
  <c r="G356" i="7"/>
  <c r="F356" i="7"/>
  <c r="E356" i="7"/>
  <c r="D356" i="7"/>
  <c r="C356" i="7"/>
  <c r="B356" i="7"/>
  <c r="A356" i="7"/>
  <c r="N355" i="7"/>
  <c r="K355" i="7"/>
  <c r="J355" i="7"/>
  <c r="I355" i="7"/>
  <c r="Q355" i="7" s="1"/>
  <c r="T355" i="7" s="1"/>
  <c r="H355" i="7"/>
  <c r="G355" i="7"/>
  <c r="F355" i="7"/>
  <c r="P355" i="7" s="1"/>
  <c r="E355" i="7"/>
  <c r="D355" i="7"/>
  <c r="C355" i="7"/>
  <c r="O355" i="7" s="1"/>
  <c r="B355" i="7"/>
  <c r="A355" i="7"/>
  <c r="Q354" i="7"/>
  <c r="T354" i="7" s="1"/>
  <c r="P354" i="7"/>
  <c r="M354" i="7"/>
  <c r="J354" i="7"/>
  <c r="I354" i="7"/>
  <c r="H354" i="7"/>
  <c r="G354" i="7"/>
  <c r="F354" i="7"/>
  <c r="E354" i="7"/>
  <c r="D354" i="7"/>
  <c r="C354" i="7"/>
  <c r="B354" i="7"/>
  <c r="A354" i="7"/>
  <c r="O353" i="7"/>
  <c r="L353" i="7"/>
  <c r="I353" i="7"/>
  <c r="Q353" i="7" s="1"/>
  <c r="T353" i="7" s="1"/>
  <c r="H353" i="7"/>
  <c r="G353" i="7"/>
  <c r="F353" i="7"/>
  <c r="P353" i="7" s="1"/>
  <c r="E353" i="7"/>
  <c r="D353" i="7"/>
  <c r="C353" i="7"/>
  <c r="N353" i="7" s="1"/>
  <c r="B353" i="7"/>
  <c r="A353" i="7"/>
  <c r="Q352" i="7"/>
  <c r="T352" i="7" s="1"/>
  <c r="M352" i="7"/>
  <c r="I352" i="7"/>
  <c r="H352" i="7"/>
  <c r="G352" i="7"/>
  <c r="F352" i="7"/>
  <c r="E352" i="7"/>
  <c r="P352" i="7" s="1"/>
  <c r="D352" i="7"/>
  <c r="C352" i="7"/>
  <c r="N352" i="7" s="1"/>
  <c r="B352" i="7"/>
  <c r="A352" i="7"/>
  <c r="Q351" i="7"/>
  <c r="T351" i="7" s="1"/>
  <c r="O351" i="7"/>
  <c r="M351" i="7"/>
  <c r="V351" i="7" s="1"/>
  <c r="L351" i="7"/>
  <c r="J351" i="7"/>
  <c r="I351" i="7"/>
  <c r="H351" i="7"/>
  <c r="G351" i="7"/>
  <c r="F351" i="7"/>
  <c r="P351" i="7" s="1"/>
  <c r="E351" i="7"/>
  <c r="D351" i="7"/>
  <c r="C351" i="7"/>
  <c r="N351" i="7" s="1"/>
  <c r="B351" i="7"/>
  <c r="A351" i="7"/>
  <c r="Q350" i="7"/>
  <c r="T350" i="7" s="1"/>
  <c r="O350" i="7"/>
  <c r="N350" i="7"/>
  <c r="I350" i="7"/>
  <c r="H350" i="7"/>
  <c r="G350" i="7"/>
  <c r="F350" i="7"/>
  <c r="E350" i="7"/>
  <c r="D350" i="7"/>
  <c r="C350" i="7"/>
  <c r="J350" i="7" s="1"/>
  <c r="B350" i="7"/>
  <c r="A350" i="7"/>
  <c r="Q349" i="7"/>
  <c r="T349" i="7" s="1"/>
  <c r="N349" i="7"/>
  <c r="M349" i="7"/>
  <c r="J349" i="7"/>
  <c r="I349" i="7"/>
  <c r="H349" i="7"/>
  <c r="G349" i="7"/>
  <c r="F349" i="7"/>
  <c r="E349" i="7"/>
  <c r="P349" i="7" s="1"/>
  <c r="D349" i="7"/>
  <c r="C349" i="7"/>
  <c r="O349" i="7" s="1"/>
  <c r="B349" i="7"/>
  <c r="A349" i="7"/>
  <c r="P348" i="7"/>
  <c r="M348" i="7"/>
  <c r="K348" i="7"/>
  <c r="J348" i="7"/>
  <c r="I348" i="7"/>
  <c r="Q348" i="7" s="1"/>
  <c r="T348" i="7" s="1"/>
  <c r="H348" i="7"/>
  <c r="G348" i="7"/>
  <c r="F348" i="7"/>
  <c r="E348" i="7"/>
  <c r="D348" i="7"/>
  <c r="C348" i="7"/>
  <c r="O348" i="7" s="1"/>
  <c r="B348" i="7"/>
  <c r="A348" i="7"/>
  <c r="T347" i="7"/>
  <c r="O347" i="7"/>
  <c r="I347" i="7"/>
  <c r="Q347" i="7" s="1"/>
  <c r="H347" i="7"/>
  <c r="G347" i="7"/>
  <c r="F347" i="7"/>
  <c r="P347" i="7" s="1"/>
  <c r="E347" i="7"/>
  <c r="D347" i="7"/>
  <c r="C347" i="7"/>
  <c r="B347" i="7"/>
  <c r="A347" i="7"/>
  <c r="Q346" i="7"/>
  <c r="T346" i="7" s="1"/>
  <c r="N346" i="7"/>
  <c r="M346" i="7"/>
  <c r="L346" i="7"/>
  <c r="K346" i="7"/>
  <c r="I346" i="7"/>
  <c r="H346" i="7"/>
  <c r="G346" i="7"/>
  <c r="F346" i="7"/>
  <c r="E346" i="7"/>
  <c r="D346" i="7"/>
  <c r="C346" i="7"/>
  <c r="O346" i="7" s="1"/>
  <c r="B346" i="7"/>
  <c r="J346" i="7" s="1"/>
  <c r="A346" i="7"/>
  <c r="M345" i="7"/>
  <c r="K345" i="7"/>
  <c r="J345" i="7"/>
  <c r="I345" i="7"/>
  <c r="Q345" i="7" s="1"/>
  <c r="T345" i="7" s="1"/>
  <c r="H345" i="7"/>
  <c r="G345" i="7"/>
  <c r="F345" i="7"/>
  <c r="P345" i="7" s="1"/>
  <c r="E345" i="7"/>
  <c r="D345" i="7"/>
  <c r="L345" i="7" s="1"/>
  <c r="C345" i="7"/>
  <c r="O345" i="7" s="1"/>
  <c r="B345" i="7"/>
  <c r="A345" i="7"/>
  <c r="Q344" i="7"/>
  <c r="T344" i="7" s="1"/>
  <c r="O344" i="7"/>
  <c r="I344" i="7"/>
  <c r="H344" i="7"/>
  <c r="G344" i="7"/>
  <c r="F344" i="7"/>
  <c r="P344" i="7" s="1"/>
  <c r="E344" i="7"/>
  <c r="D344" i="7"/>
  <c r="C344" i="7"/>
  <c r="B344" i="7"/>
  <c r="A344" i="7"/>
  <c r="Q343" i="7"/>
  <c r="T343" i="7" s="1"/>
  <c r="P343" i="7"/>
  <c r="N343" i="7"/>
  <c r="K343" i="7"/>
  <c r="J343" i="7"/>
  <c r="I343" i="7"/>
  <c r="H343" i="7"/>
  <c r="G343" i="7"/>
  <c r="F343" i="7"/>
  <c r="E343" i="7"/>
  <c r="D343" i="7"/>
  <c r="C343" i="7"/>
  <c r="O343" i="7" s="1"/>
  <c r="B343" i="7"/>
  <c r="A343" i="7"/>
  <c r="T342" i="7"/>
  <c r="O342" i="7"/>
  <c r="J342" i="7"/>
  <c r="I342" i="7"/>
  <c r="Q342" i="7" s="1"/>
  <c r="H342" i="7"/>
  <c r="G342" i="7"/>
  <c r="F342" i="7"/>
  <c r="P342" i="7" s="1"/>
  <c r="E342" i="7"/>
  <c r="D342" i="7"/>
  <c r="C342" i="7"/>
  <c r="B342" i="7"/>
  <c r="A342" i="7"/>
  <c r="Q341" i="7"/>
  <c r="T341" i="7" s="1"/>
  <c r="P341" i="7"/>
  <c r="N341" i="7"/>
  <c r="L341" i="7"/>
  <c r="I341" i="7"/>
  <c r="H341" i="7"/>
  <c r="G341" i="7"/>
  <c r="F341" i="7"/>
  <c r="E341" i="7"/>
  <c r="D341" i="7"/>
  <c r="C341" i="7"/>
  <c r="O341" i="7" s="1"/>
  <c r="B341" i="7"/>
  <c r="A341" i="7"/>
  <c r="T340" i="7"/>
  <c r="Q340" i="7"/>
  <c r="O340" i="7"/>
  <c r="M340" i="7"/>
  <c r="L340" i="7"/>
  <c r="K340" i="7"/>
  <c r="I340" i="7"/>
  <c r="H340" i="7"/>
  <c r="G340" i="7"/>
  <c r="F340" i="7"/>
  <c r="P340" i="7" s="1"/>
  <c r="E340" i="7"/>
  <c r="D340" i="7"/>
  <c r="C340" i="7"/>
  <c r="J340" i="7" s="1"/>
  <c r="B340" i="7"/>
  <c r="A340" i="7"/>
  <c r="Q339" i="7"/>
  <c r="T339" i="7" s="1"/>
  <c r="I339" i="7"/>
  <c r="H339" i="7"/>
  <c r="G339" i="7"/>
  <c r="F339" i="7"/>
  <c r="E339" i="7"/>
  <c r="D339" i="7"/>
  <c r="C339" i="7"/>
  <c r="B339" i="7"/>
  <c r="A339" i="7"/>
  <c r="Q338" i="7"/>
  <c r="T338" i="7" s="1"/>
  <c r="O338" i="7"/>
  <c r="N338" i="7"/>
  <c r="M338" i="7"/>
  <c r="I338" i="7"/>
  <c r="H338" i="7"/>
  <c r="G338" i="7"/>
  <c r="F338" i="7"/>
  <c r="P338" i="7" s="1"/>
  <c r="E338" i="7"/>
  <c r="D338" i="7"/>
  <c r="L338" i="7" s="1"/>
  <c r="C338" i="7"/>
  <c r="B338" i="7"/>
  <c r="A338" i="7"/>
  <c r="O337" i="7"/>
  <c r="I337" i="7"/>
  <c r="Q337" i="7" s="1"/>
  <c r="T337" i="7" s="1"/>
  <c r="H337" i="7"/>
  <c r="G337" i="7"/>
  <c r="F337" i="7"/>
  <c r="E337" i="7"/>
  <c r="P337" i="7" s="1"/>
  <c r="D337" i="7"/>
  <c r="C337" i="7"/>
  <c r="B337" i="7"/>
  <c r="A337" i="7"/>
  <c r="P336" i="7"/>
  <c r="N336" i="7"/>
  <c r="L336" i="7"/>
  <c r="K336" i="7"/>
  <c r="J336" i="7"/>
  <c r="I336" i="7"/>
  <c r="Q336" i="7" s="1"/>
  <c r="T336" i="7" s="1"/>
  <c r="H336" i="7"/>
  <c r="G336" i="7"/>
  <c r="F336" i="7"/>
  <c r="E336" i="7"/>
  <c r="D336" i="7"/>
  <c r="C336" i="7"/>
  <c r="O336" i="7" s="1"/>
  <c r="B336" i="7"/>
  <c r="A336" i="7"/>
  <c r="O335" i="7"/>
  <c r="I335" i="7"/>
  <c r="Q335" i="7" s="1"/>
  <c r="T335" i="7" s="1"/>
  <c r="H335" i="7"/>
  <c r="G335" i="7"/>
  <c r="F335" i="7"/>
  <c r="P335" i="7" s="1"/>
  <c r="E335" i="7"/>
  <c r="D335" i="7"/>
  <c r="C335" i="7"/>
  <c r="B335" i="7"/>
  <c r="A335" i="7"/>
  <c r="Q334" i="7"/>
  <c r="T334" i="7" s="1"/>
  <c r="N334" i="7"/>
  <c r="M334" i="7"/>
  <c r="L334" i="7"/>
  <c r="K334" i="7"/>
  <c r="J334" i="7"/>
  <c r="I334" i="7"/>
  <c r="H334" i="7"/>
  <c r="G334" i="7"/>
  <c r="F334" i="7"/>
  <c r="E334" i="7"/>
  <c r="D334" i="7"/>
  <c r="C334" i="7"/>
  <c r="O334" i="7" s="1"/>
  <c r="B334" i="7"/>
  <c r="A334" i="7"/>
  <c r="P333" i="7"/>
  <c r="M333" i="7"/>
  <c r="L333" i="7"/>
  <c r="K333" i="7"/>
  <c r="J333" i="7"/>
  <c r="I333" i="7"/>
  <c r="Q333" i="7" s="1"/>
  <c r="T333" i="7" s="1"/>
  <c r="H333" i="7"/>
  <c r="G333" i="7"/>
  <c r="F333" i="7"/>
  <c r="E333" i="7"/>
  <c r="D333" i="7"/>
  <c r="C333" i="7"/>
  <c r="O333" i="7" s="1"/>
  <c r="B333" i="7"/>
  <c r="A333" i="7"/>
  <c r="T332" i="7"/>
  <c r="L332" i="7"/>
  <c r="K332" i="7"/>
  <c r="J332" i="7"/>
  <c r="I332" i="7"/>
  <c r="Q332" i="7" s="1"/>
  <c r="H332" i="7"/>
  <c r="G332" i="7"/>
  <c r="F332" i="7"/>
  <c r="P332" i="7" s="1"/>
  <c r="E332" i="7"/>
  <c r="D332" i="7"/>
  <c r="C332" i="7"/>
  <c r="O332" i="7" s="1"/>
  <c r="B332" i="7"/>
  <c r="A332" i="7"/>
  <c r="I331" i="7"/>
  <c r="Q331" i="7" s="1"/>
  <c r="T331" i="7" s="1"/>
  <c r="H331" i="7"/>
  <c r="G331" i="7"/>
  <c r="F331" i="7"/>
  <c r="P331" i="7" s="1"/>
  <c r="E331" i="7"/>
  <c r="D331" i="7"/>
  <c r="C331" i="7"/>
  <c r="B331" i="7"/>
  <c r="A331" i="7"/>
  <c r="P330" i="7"/>
  <c r="O330" i="7"/>
  <c r="M330" i="7"/>
  <c r="I330" i="7"/>
  <c r="Q330" i="7" s="1"/>
  <c r="T330" i="7" s="1"/>
  <c r="H330" i="7"/>
  <c r="G330" i="7"/>
  <c r="F330" i="7"/>
  <c r="E330" i="7"/>
  <c r="D330" i="7"/>
  <c r="C330" i="7"/>
  <c r="N330" i="7" s="1"/>
  <c r="B330" i="7"/>
  <c r="A330" i="7"/>
  <c r="N329" i="7"/>
  <c r="M329" i="7"/>
  <c r="L329" i="7"/>
  <c r="I329" i="7"/>
  <c r="Q329" i="7" s="1"/>
  <c r="T329" i="7" s="1"/>
  <c r="H329" i="7"/>
  <c r="G329" i="7"/>
  <c r="F329" i="7"/>
  <c r="P329" i="7" s="1"/>
  <c r="E329" i="7"/>
  <c r="D329" i="7"/>
  <c r="C329" i="7"/>
  <c r="O329" i="7" s="1"/>
  <c r="B329" i="7"/>
  <c r="A329" i="7"/>
  <c r="T328" i="7"/>
  <c r="Q328" i="7"/>
  <c r="I328" i="7"/>
  <c r="H328" i="7"/>
  <c r="G328" i="7"/>
  <c r="F328" i="7"/>
  <c r="P328" i="7" s="1"/>
  <c r="E328" i="7"/>
  <c r="D328" i="7"/>
  <c r="C328" i="7"/>
  <c r="B328" i="7"/>
  <c r="A328" i="7"/>
  <c r="P327" i="7"/>
  <c r="O327" i="7"/>
  <c r="M327" i="7"/>
  <c r="K327" i="7"/>
  <c r="I327" i="7"/>
  <c r="Q327" i="7" s="1"/>
  <c r="T327" i="7" s="1"/>
  <c r="H327" i="7"/>
  <c r="G327" i="7"/>
  <c r="F327" i="7"/>
  <c r="E327" i="7"/>
  <c r="D327" i="7"/>
  <c r="C327" i="7"/>
  <c r="N327" i="7" s="1"/>
  <c r="B327" i="7"/>
  <c r="A327" i="7"/>
  <c r="Q326" i="7"/>
  <c r="T326" i="7" s="1"/>
  <c r="P326" i="7"/>
  <c r="I326" i="7"/>
  <c r="H326" i="7"/>
  <c r="G326" i="7"/>
  <c r="F326" i="7"/>
  <c r="E326" i="7"/>
  <c r="D326" i="7"/>
  <c r="C326" i="7"/>
  <c r="B326" i="7"/>
  <c r="A326" i="7"/>
  <c r="O325" i="7"/>
  <c r="N325" i="7"/>
  <c r="I325" i="7"/>
  <c r="Q325" i="7" s="1"/>
  <c r="T325" i="7" s="1"/>
  <c r="H325" i="7"/>
  <c r="G325" i="7"/>
  <c r="F325" i="7"/>
  <c r="E325" i="7"/>
  <c r="D325" i="7"/>
  <c r="C325" i="7"/>
  <c r="B325" i="7"/>
  <c r="A325" i="7"/>
  <c r="T324" i="7"/>
  <c r="N324" i="7"/>
  <c r="L324" i="7"/>
  <c r="K324" i="7"/>
  <c r="J324" i="7"/>
  <c r="I324" i="7"/>
  <c r="Q324" i="7" s="1"/>
  <c r="H324" i="7"/>
  <c r="G324" i="7"/>
  <c r="F324" i="7"/>
  <c r="P324" i="7" s="1"/>
  <c r="E324" i="7"/>
  <c r="D324" i="7"/>
  <c r="M324" i="7" s="1"/>
  <c r="W324" i="7" s="1"/>
  <c r="C324" i="7"/>
  <c r="O324" i="7" s="1"/>
  <c r="B324" i="7"/>
  <c r="A324" i="7"/>
  <c r="Q323" i="7"/>
  <c r="T323" i="7" s="1"/>
  <c r="O323" i="7"/>
  <c r="M323" i="7"/>
  <c r="I323" i="7"/>
  <c r="H323" i="7"/>
  <c r="G323" i="7"/>
  <c r="F323" i="7"/>
  <c r="P323" i="7" s="1"/>
  <c r="E323" i="7"/>
  <c r="D323" i="7"/>
  <c r="C323" i="7"/>
  <c r="B323" i="7"/>
  <c r="A323" i="7"/>
  <c r="P322" i="7"/>
  <c r="L322" i="7"/>
  <c r="K322" i="7"/>
  <c r="J322" i="7"/>
  <c r="I322" i="7"/>
  <c r="Q322" i="7" s="1"/>
  <c r="T322" i="7" s="1"/>
  <c r="H322" i="7"/>
  <c r="G322" i="7"/>
  <c r="F322" i="7"/>
  <c r="E322" i="7"/>
  <c r="D322" i="7"/>
  <c r="N322" i="7" s="1"/>
  <c r="C322" i="7"/>
  <c r="O322" i="7" s="1"/>
  <c r="B322" i="7"/>
  <c r="A322" i="7"/>
  <c r="K321" i="7"/>
  <c r="J321" i="7"/>
  <c r="I321" i="7"/>
  <c r="Q321" i="7" s="1"/>
  <c r="T321" i="7" s="1"/>
  <c r="H321" i="7"/>
  <c r="G321" i="7"/>
  <c r="F321" i="7"/>
  <c r="E321" i="7"/>
  <c r="D321" i="7"/>
  <c r="C321" i="7"/>
  <c r="O321" i="7" s="1"/>
  <c r="B321" i="7"/>
  <c r="A321" i="7"/>
  <c r="Q320" i="7"/>
  <c r="T320" i="7" s="1"/>
  <c r="P320" i="7"/>
  <c r="N320" i="7"/>
  <c r="L320" i="7"/>
  <c r="J320" i="7"/>
  <c r="I320" i="7"/>
  <c r="H320" i="7"/>
  <c r="G320" i="7"/>
  <c r="F320" i="7"/>
  <c r="E320" i="7"/>
  <c r="D320" i="7"/>
  <c r="C320" i="7"/>
  <c r="O320" i="7" s="1"/>
  <c r="B320" i="7"/>
  <c r="A320" i="7"/>
  <c r="P319" i="7"/>
  <c r="O319" i="7"/>
  <c r="K319" i="7"/>
  <c r="I319" i="7"/>
  <c r="Q319" i="7" s="1"/>
  <c r="T319" i="7" s="1"/>
  <c r="H319" i="7"/>
  <c r="G319" i="7"/>
  <c r="F319" i="7"/>
  <c r="E319" i="7"/>
  <c r="D319" i="7"/>
  <c r="C319" i="7"/>
  <c r="M319" i="7" s="1"/>
  <c r="B319" i="7"/>
  <c r="A319" i="7"/>
  <c r="Q318" i="7"/>
  <c r="T318" i="7" s="1"/>
  <c r="P318" i="7"/>
  <c r="I318" i="7"/>
  <c r="H318" i="7"/>
  <c r="G318" i="7"/>
  <c r="F318" i="7"/>
  <c r="E318" i="7"/>
  <c r="D318" i="7"/>
  <c r="C318" i="7"/>
  <c r="B318" i="7"/>
  <c r="A318" i="7"/>
  <c r="Q317" i="7"/>
  <c r="T317" i="7" s="1"/>
  <c r="P317" i="7"/>
  <c r="N317" i="7"/>
  <c r="I317" i="7"/>
  <c r="H317" i="7"/>
  <c r="G317" i="7"/>
  <c r="F317" i="7"/>
  <c r="E317" i="7"/>
  <c r="D317" i="7"/>
  <c r="C317" i="7"/>
  <c r="B317" i="7"/>
  <c r="A317" i="7"/>
  <c r="T316" i="7"/>
  <c r="Q316" i="7"/>
  <c r="N316" i="7"/>
  <c r="M316" i="7"/>
  <c r="L316" i="7"/>
  <c r="J316" i="7"/>
  <c r="I316" i="7"/>
  <c r="H316" i="7"/>
  <c r="G316" i="7"/>
  <c r="F316" i="7"/>
  <c r="P316" i="7" s="1"/>
  <c r="E316" i="7"/>
  <c r="D316" i="7"/>
  <c r="C316" i="7"/>
  <c r="O316" i="7" s="1"/>
  <c r="B316" i="7"/>
  <c r="A316" i="7"/>
  <c r="Q315" i="7"/>
  <c r="T315" i="7" s="1"/>
  <c r="P315" i="7"/>
  <c r="N315" i="7"/>
  <c r="K315" i="7"/>
  <c r="J315" i="7"/>
  <c r="I315" i="7"/>
  <c r="H315" i="7"/>
  <c r="G315" i="7"/>
  <c r="F315" i="7"/>
  <c r="E315" i="7"/>
  <c r="D315" i="7"/>
  <c r="C315" i="7"/>
  <c r="O315" i="7" s="1"/>
  <c r="B315" i="7"/>
  <c r="A315" i="7"/>
  <c r="T314" i="7"/>
  <c r="I314" i="7"/>
  <c r="Q314" i="7" s="1"/>
  <c r="H314" i="7"/>
  <c r="G314" i="7"/>
  <c r="F314" i="7"/>
  <c r="P314" i="7" s="1"/>
  <c r="E314" i="7"/>
  <c r="D314" i="7"/>
  <c r="C314" i="7"/>
  <c r="B314" i="7"/>
  <c r="A314" i="7"/>
  <c r="Q313" i="7"/>
  <c r="T313" i="7" s="1"/>
  <c r="L313" i="7"/>
  <c r="K313" i="7"/>
  <c r="J313" i="7"/>
  <c r="I313" i="7"/>
  <c r="H313" i="7"/>
  <c r="G313" i="7"/>
  <c r="F313" i="7"/>
  <c r="E313" i="7"/>
  <c r="D313" i="7"/>
  <c r="C313" i="7"/>
  <c r="N313" i="7" s="1"/>
  <c r="B313" i="7"/>
  <c r="A313" i="7"/>
  <c r="N312" i="7"/>
  <c r="M312" i="7"/>
  <c r="L312" i="7"/>
  <c r="K312" i="7"/>
  <c r="J312" i="7"/>
  <c r="I312" i="7"/>
  <c r="Q312" i="7" s="1"/>
  <c r="T312" i="7" s="1"/>
  <c r="H312" i="7"/>
  <c r="G312" i="7"/>
  <c r="F312" i="7"/>
  <c r="P312" i="7" s="1"/>
  <c r="E312" i="7"/>
  <c r="D312" i="7"/>
  <c r="C312" i="7"/>
  <c r="O312" i="7" s="1"/>
  <c r="B312" i="7"/>
  <c r="A312" i="7"/>
  <c r="T311" i="7"/>
  <c r="O311" i="7"/>
  <c r="K311" i="7"/>
  <c r="J311" i="7"/>
  <c r="I311" i="7"/>
  <c r="Q311" i="7" s="1"/>
  <c r="H311" i="7"/>
  <c r="G311" i="7"/>
  <c r="F311" i="7"/>
  <c r="E311" i="7"/>
  <c r="D311" i="7"/>
  <c r="C311" i="7"/>
  <c r="N311" i="7" s="1"/>
  <c r="B311" i="7"/>
  <c r="A311" i="7"/>
  <c r="Q310" i="7"/>
  <c r="T310" i="7" s="1"/>
  <c r="N310" i="7"/>
  <c r="K310" i="7"/>
  <c r="J310" i="7"/>
  <c r="I310" i="7"/>
  <c r="H310" i="7"/>
  <c r="G310" i="7"/>
  <c r="F310" i="7"/>
  <c r="P310" i="7" s="1"/>
  <c r="E310" i="7"/>
  <c r="D310" i="7"/>
  <c r="L310" i="7" s="1"/>
  <c r="C310" i="7"/>
  <c r="O310" i="7" s="1"/>
  <c r="B310" i="7"/>
  <c r="A310" i="7"/>
  <c r="Q309" i="7"/>
  <c r="T309" i="7" s="1"/>
  <c r="O309" i="7"/>
  <c r="M309" i="7"/>
  <c r="I309" i="7"/>
  <c r="H309" i="7"/>
  <c r="G309" i="7"/>
  <c r="F309" i="7"/>
  <c r="P309" i="7" s="1"/>
  <c r="E309" i="7"/>
  <c r="D309" i="7"/>
  <c r="C309" i="7"/>
  <c r="B309" i="7"/>
  <c r="A309" i="7"/>
  <c r="O308" i="7"/>
  <c r="N308" i="7"/>
  <c r="L308" i="7"/>
  <c r="J308" i="7"/>
  <c r="I308" i="7"/>
  <c r="Q308" i="7" s="1"/>
  <c r="T308" i="7" s="1"/>
  <c r="H308" i="7"/>
  <c r="G308" i="7"/>
  <c r="F308" i="7"/>
  <c r="P308" i="7" s="1"/>
  <c r="E308" i="7"/>
  <c r="D308" i="7"/>
  <c r="C308" i="7"/>
  <c r="B308" i="7"/>
  <c r="A308" i="7"/>
  <c r="Q307" i="7"/>
  <c r="T307" i="7" s="1"/>
  <c r="P307" i="7"/>
  <c r="N307" i="7"/>
  <c r="I307" i="7"/>
  <c r="H307" i="7"/>
  <c r="G307" i="7"/>
  <c r="F307" i="7"/>
  <c r="E307" i="7"/>
  <c r="D307" i="7"/>
  <c r="C307" i="7"/>
  <c r="B307" i="7"/>
  <c r="A307" i="7"/>
  <c r="Q306" i="7"/>
  <c r="T306" i="7" s="1"/>
  <c r="P306" i="7"/>
  <c r="I306" i="7"/>
  <c r="H306" i="7"/>
  <c r="G306" i="7"/>
  <c r="F306" i="7"/>
  <c r="E306" i="7"/>
  <c r="D306" i="7"/>
  <c r="C306" i="7"/>
  <c r="B306" i="7"/>
  <c r="A306" i="7"/>
  <c r="N305" i="7"/>
  <c r="M305" i="7"/>
  <c r="L305" i="7"/>
  <c r="J305" i="7"/>
  <c r="I305" i="7"/>
  <c r="Q305" i="7" s="1"/>
  <c r="T305" i="7" s="1"/>
  <c r="H305" i="7"/>
  <c r="G305" i="7"/>
  <c r="F305" i="7"/>
  <c r="P305" i="7" s="1"/>
  <c r="E305" i="7"/>
  <c r="D305" i="7"/>
  <c r="C305" i="7"/>
  <c r="O305" i="7" s="1"/>
  <c r="B305" i="7"/>
  <c r="A305" i="7"/>
  <c r="Q304" i="7"/>
  <c r="T304" i="7" s="1"/>
  <c r="O304" i="7"/>
  <c r="K304" i="7"/>
  <c r="I304" i="7"/>
  <c r="H304" i="7"/>
  <c r="G304" i="7"/>
  <c r="F304" i="7"/>
  <c r="P304" i="7" s="1"/>
  <c r="E304" i="7"/>
  <c r="D304" i="7"/>
  <c r="C304" i="7"/>
  <c r="B304" i="7"/>
  <c r="A304" i="7"/>
  <c r="Q303" i="7"/>
  <c r="T303" i="7" s="1"/>
  <c r="I303" i="7"/>
  <c r="H303" i="7"/>
  <c r="G303" i="7"/>
  <c r="F303" i="7"/>
  <c r="E303" i="7"/>
  <c r="P303" i="7" s="1"/>
  <c r="D303" i="7"/>
  <c r="C303" i="7"/>
  <c r="B303" i="7"/>
  <c r="A303" i="7"/>
  <c r="T302" i="7"/>
  <c r="P302" i="7"/>
  <c r="O302" i="7"/>
  <c r="N302" i="7"/>
  <c r="M302" i="7"/>
  <c r="K302" i="7"/>
  <c r="I302" i="7"/>
  <c r="Q302" i="7" s="1"/>
  <c r="H302" i="7"/>
  <c r="G302" i="7"/>
  <c r="F302" i="7"/>
  <c r="E302" i="7"/>
  <c r="D302" i="7"/>
  <c r="C302" i="7"/>
  <c r="B302" i="7"/>
  <c r="A302" i="7"/>
  <c r="Q301" i="7"/>
  <c r="T301" i="7" s="1"/>
  <c r="N301" i="7"/>
  <c r="M301" i="7"/>
  <c r="L301" i="7"/>
  <c r="K301" i="7"/>
  <c r="J301" i="7"/>
  <c r="I301" i="7"/>
  <c r="H301" i="7"/>
  <c r="G301" i="7"/>
  <c r="F301" i="7"/>
  <c r="E301" i="7"/>
  <c r="D301" i="7"/>
  <c r="C301" i="7"/>
  <c r="O301" i="7" s="1"/>
  <c r="B301" i="7"/>
  <c r="A301" i="7"/>
  <c r="W300" i="7"/>
  <c r="P300" i="7"/>
  <c r="N300" i="7"/>
  <c r="L300" i="7"/>
  <c r="V300" i="7" s="1"/>
  <c r="K300" i="7"/>
  <c r="J300" i="7"/>
  <c r="I300" i="7"/>
  <c r="Q300" i="7" s="1"/>
  <c r="T300" i="7" s="1"/>
  <c r="H300" i="7"/>
  <c r="G300" i="7"/>
  <c r="F300" i="7"/>
  <c r="E300" i="7"/>
  <c r="D300" i="7"/>
  <c r="M300" i="7" s="1"/>
  <c r="C300" i="7"/>
  <c r="O300" i="7" s="1"/>
  <c r="B300" i="7"/>
  <c r="A300" i="7"/>
  <c r="T299" i="7"/>
  <c r="O299" i="7"/>
  <c r="M299" i="7"/>
  <c r="L299" i="7"/>
  <c r="J299" i="7"/>
  <c r="I299" i="7"/>
  <c r="Q299" i="7" s="1"/>
  <c r="H299" i="7"/>
  <c r="G299" i="7"/>
  <c r="F299" i="7"/>
  <c r="P299" i="7" s="1"/>
  <c r="E299" i="7"/>
  <c r="D299" i="7"/>
  <c r="C299" i="7"/>
  <c r="K299" i="7" s="1"/>
  <c r="B299" i="7"/>
  <c r="A299" i="7"/>
  <c r="N298" i="7"/>
  <c r="K298" i="7"/>
  <c r="J298" i="7"/>
  <c r="I298" i="7"/>
  <c r="Q298" i="7" s="1"/>
  <c r="T298" i="7" s="1"/>
  <c r="H298" i="7"/>
  <c r="G298" i="7"/>
  <c r="F298" i="7"/>
  <c r="P298" i="7" s="1"/>
  <c r="E298" i="7"/>
  <c r="D298" i="7"/>
  <c r="M298" i="7" s="1"/>
  <c r="C298" i="7"/>
  <c r="O298" i="7" s="1"/>
  <c r="B298" i="7"/>
  <c r="A298" i="7"/>
  <c r="Q297" i="7"/>
  <c r="T297" i="7" s="1"/>
  <c r="O297" i="7"/>
  <c r="I297" i="7"/>
  <c r="H297" i="7"/>
  <c r="G297" i="7"/>
  <c r="F297" i="7"/>
  <c r="P297" i="7" s="1"/>
  <c r="E297" i="7"/>
  <c r="D297" i="7"/>
  <c r="C297" i="7"/>
  <c r="B297" i="7"/>
  <c r="A297" i="7"/>
  <c r="N296" i="7"/>
  <c r="K296" i="7"/>
  <c r="J296" i="7"/>
  <c r="I296" i="7"/>
  <c r="Q296" i="7" s="1"/>
  <c r="T296" i="7" s="1"/>
  <c r="H296" i="7"/>
  <c r="G296" i="7"/>
  <c r="F296" i="7"/>
  <c r="P296" i="7" s="1"/>
  <c r="E296" i="7"/>
  <c r="D296" i="7"/>
  <c r="L296" i="7" s="1"/>
  <c r="C296" i="7"/>
  <c r="O296" i="7" s="1"/>
  <c r="B296" i="7"/>
  <c r="A296" i="7"/>
  <c r="Q295" i="7"/>
  <c r="T295" i="7" s="1"/>
  <c r="P295" i="7"/>
  <c r="O295" i="7"/>
  <c r="M295" i="7"/>
  <c r="I295" i="7"/>
  <c r="H295" i="7"/>
  <c r="G295" i="7"/>
  <c r="F295" i="7"/>
  <c r="E295" i="7"/>
  <c r="D295" i="7"/>
  <c r="C295" i="7"/>
  <c r="B295" i="7"/>
  <c r="A295" i="7"/>
  <c r="I294" i="7"/>
  <c r="Q294" i="7" s="1"/>
  <c r="T294" i="7" s="1"/>
  <c r="H294" i="7"/>
  <c r="G294" i="7"/>
  <c r="F294" i="7"/>
  <c r="E294" i="7"/>
  <c r="P294" i="7" s="1"/>
  <c r="D294" i="7"/>
  <c r="C294" i="7"/>
  <c r="B294" i="7"/>
  <c r="A294" i="7"/>
  <c r="P293" i="7"/>
  <c r="O293" i="7"/>
  <c r="N293" i="7"/>
  <c r="M293" i="7"/>
  <c r="K293" i="7"/>
  <c r="I293" i="7"/>
  <c r="Q293" i="7" s="1"/>
  <c r="T293" i="7" s="1"/>
  <c r="H293" i="7"/>
  <c r="G293" i="7"/>
  <c r="F293" i="7"/>
  <c r="E293" i="7"/>
  <c r="D293" i="7"/>
  <c r="C293" i="7"/>
  <c r="B293" i="7"/>
  <c r="A293" i="7"/>
  <c r="Q292" i="7"/>
  <c r="T292" i="7" s="1"/>
  <c r="I292" i="7"/>
  <c r="H292" i="7"/>
  <c r="G292" i="7"/>
  <c r="F292" i="7"/>
  <c r="E292" i="7"/>
  <c r="D292" i="7"/>
  <c r="C292" i="7"/>
  <c r="B292" i="7"/>
  <c r="A292" i="7"/>
  <c r="Q291" i="7"/>
  <c r="T291" i="7" s="1"/>
  <c r="N291" i="7"/>
  <c r="M291" i="7"/>
  <c r="L291" i="7"/>
  <c r="K291" i="7"/>
  <c r="J291" i="7"/>
  <c r="I291" i="7"/>
  <c r="H291" i="7"/>
  <c r="G291" i="7"/>
  <c r="F291" i="7"/>
  <c r="E291" i="7"/>
  <c r="P291" i="7" s="1"/>
  <c r="D291" i="7"/>
  <c r="C291" i="7"/>
  <c r="O291" i="7" s="1"/>
  <c r="B291" i="7"/>
  <c r="A291" i="7"/>
  <c r="T290" i="7"/>
  <c r="Q290" i="7"/>
  <c r="I290" i="7"/>
  <c r="H290" i="7"/>
  <c r="G290" i="7"/>
  <c r="F290" i="7"/>
  <c r="E290" i="7"/>
  <c r="P290" i="7" s="1"/>
  <c r="D290" i="7"/>
  <c r="C290" i="7"/>
  <c r="O290" i="7" s="1"/>
  <c r="B290" i="7"/>
  <c r="A290" i="7"/>
  <c r="P289" i="7"/>
  <c r="N289" i="7"/>
  <c r="I289" i="7"/>
  <c r="Q289" i="7" s="1"/>
  <c r="T289" i="7" s="1"/>
  <c r="H289" i="7"/>
  <c r="G289" i="7"/>
  <c r="F289" i="7"/>
  <c r="E289" i="7"/>
  <c r="D289" i="7"/>
  <c r="L289" i="7" s="1"/>
  <c r="C289" i="7"/>
  <c r="O289" i="7" s="1"/>
  <c r="B289" i="7"/>
  <c r="A289" i="7"/>
  <c r="O288" i="7"/>
  <c r="N288" i="7"/>
  <c r="M288" i="7"/>
  <c r="V288" i="7" s="1"/>
  <c r="K288" i="7"/>
  <c r="W288" i="7" s="1"/>
  <c r="J288" i="7"/>
  <c r="I288" i="7"/>
  <c r="Q288" i="7" s="1"/>
  <c r="T288" i="7" s="1"/>
  <c r="H288" i="7"/>
  <c r="G288" i="7"/>
  <c r="F288" i="7"/>
  <c r="P288" i="7" s="1"/>
  <c r="E288" i="7"/>
  <c r="D288" i="7"/>
  <c r="C288" i="7"/>
  <c r="L288" i="7" s="1"/>
  <c r="B288" i="7"/>
  <c r="A288" i="7"/>
  <c r="Q287" i="7"/>
  <c r="T287" i="7" s="1"/>
  <c r="N287" i="7"/>
  <c r="M287" i="7"/>
  <c r="L287" i="7"/>
  <c r="J287" i="7"/>
  <c r="I287" i="7"/>
  <c r="H287" i="7"/>
  <c r="G287" i="7"/>
  <c r="F287" i="7"/>
  <c r="E287" i="7"/>
  <c r="D287" i="7"/>
  <c r="C287" i="7"/>
  <c r="O287" i="7" s="1"/>
  <c r="B287" i="7"/>
  <c r="A287" i="7"/>
  <c r="P286" i="7"/>
  <c r="N286" i="7"/>
  <c r="M286" i="7"/>
  <c r="L286" i="7"/>
  <c r="K286" i="7"/>
  <c r="J286" i="7"/>
  <c r="I286" i="7"/>
  <c r="Q286" i="7" s="1"/>
  <c r="T286" i="7" s="1"/>
  <c r="H286" i="7"/>
  <c r="G286" i="7"/>
  <c r="F286" i="7"/>
  <c r="E286" i="7"/>
  <c r="D286" i="7"/>
  <c r="C286" i="7"/>
  <c r="O286" i="7" s="1"/>
  <c r="B286" i="7"/>
  <c r="A286" i="7"/>
  <c r="T285" i="7"/>
  <c r="Q285" i="7"/>
  <c r="K285" i="7"/>
  <c r="J285" i="7"/>
  <c r="I285" i="7"/>
  <c r="H285" i="7"/>
  <c r="G285" i="7"/>
  <c r="F285" i="7"/>
  <c r="P285" i="7" s="1"/>
  <c r="E285" i="7"/>
  <c r="D285" i="7"/>
  <c r="C285" i="7"/>
  <c r="O285" i="7" s="1"/>
  <c r="B285" i="7"/>
  <c r="A285" i="7"/>
  <c r="Q284" i="7"/>
  <c r="T284" i="7" s="1"/>
  <c r="P284" i="7"/>
  <c r="N284" i="7"/>
  <c r="K284" i="7"/>
  <c r="J284" i="7"/>
  <c r="I284" i="7"/>
  <c r="H284" i="7"/>
  <c r="G284" i="7"/>
  <c r="F284" i="7"/>
  <c r="E284" i="7"/>
  <c r="D284" i="7"/>
  <c r="L284" i="7" s="1"/>
  <c r="C284" i="7"/>
  <c r="O284" i="7" s="1"/>
  <c r="B284" i="7"/>
  <c r="A284" i="7"/>
  <c r="I283" i="7"/>
  <c r="Q283" i="7" s="1"/>
  <c r="T283" i="7" s="1"/>
  <c r="H283" i="7"/>
  <c r="G283" i="7"/>
  <c r="F283" i="7"/>
  <c r="E283" i="7"/>
  <c r="D283" i="7"/>
  <c r="C283" i="7"/>
  <c r="O283" i="7" s="1"/>
  <c r="B283" i="7"/>
  <c r="A283" i="7"/>
  <c r="Q282" i="7"/>
  <c r="T282" i="7" s="1"/>
  <c r="P282" i="7"/>
  <c r="O282" i="7"/>
  <c r="N282" i="7"/>
  <c r="L282" i="7"/>
  <c r="I282" i="7"/>
  <c r="H282" i="7"/>
  <c r="G282" i="7"/>
  <c r="F282" i="7"/>
  <c r="E282" i="7"/>
  <c r="D282" i="7"/>
  <c r="C282" i="7"/>
  <c r="B282" i="7"/>
  <c r="A282" i="7"/>
  <c r="T281" i="7"/>
  <c r="K281" i="7"/>
  <c r="I281" i="7"/>
  <c r="Q281" i="7" s="1"/>
  <c r="H281" i="7"/>
  <c r="G281" i="7"/>
  <c r="F281" i="7"/>
  <c r="P281" i="7" s="1"/>
  <c r="E281" i="7"/>
  <c r="D281" i="7"/>
  <c r="M281" i="7" s="1"/>
  <c r="C281" i="7"/>
  <c r="O281" i="7" s="1"/>
  <c r="B281" i="7"/>
  <c r="A281" i="7"/>
  <c r="Q280" i="7"/>
  <c r="T280" i="7" s="1"/>
  <c r="O280" i="7"/>
  <c r="N280" i="7"/>
  <c r="M280" i="7"/>
  <c r="L280" i="7"/>
  <c r="J280" i="7"/>
  <c r="I280" i="7"/>
  <c r="H280" i="7"/>
  <c r="G280" i="7"/>
  <c r="F280" i="7"/>
  <c r="E280" i="7"/>
  <c r="D280" i="7"/>
  <c r="C280" i="7"/>
  <c r="K280" i="7" s="1"/>
  <c r="B280" i="7"/>
  <c r="A280" i="7"/>
  <c r="N279" i="7"/>
  <c r="K279" i="7"/>
  <c r="I279" i="7"/>
  <c r="Q279" i="7" s="1"/>
  <c r="T279" i="7" s="1"/>
  <c r="H279" i="7"/>
  <c r="G279" i="7"/>
  <c r="F279" i="7"/>
  <c r="E279" i="7"/>
  <c r="D279" i="7"/>
  <c r="C279" i="7"/>
  <c r="B279" i="7"/>
  <c r="A279" i="7"/>
  <c r="T278" i="7"/>
  <c r="Q278" i="7"/>
  <c r="P278" i="7"/>
  <c r="M278" i="7"/>
  <c r="L278" i="7"/>
  <c r="I278" i="7"/>
  <c r="H278" i="7"/>
  <c r="G278" i="7"/>
  <c r="F278" i="7"/>
  <c r="E278" i="7"/>
  <c r="D278" i="7"/>
  <c r="C278" i="7"/>
  <c r="O278" i="7" s="1"/>
  <c r="B278" i="7"/>
  <c r="A278" i="7"/>
  <c r="P277" i="7"/>
  <c r="K277" i="7"/>
  <c r="J277" i="7"/>
  <c r="I277" i="7"/>
  <c r="Q277" i="7" s="1"/>
  <c r="T277" i="7" s="1"/>
  <c r="H277" i="7"/>
  <c r="G277" i="7"/>
  <c r="F277" i="7"/>
  <c r="E277" i="7"/>
  <c r="D277" i="7"/>
  <c r="N277" i="7" s="1"/>
  <c r="C277" i="7"/>
  <c r="O277" i="7" s="1"/>
  <c r="B277" i="7"/>
  <c r="A277" i="7"/>
  <c r="T276" i="7"/>
  <c r="I276" i="7"/>
  <c r="Q276" i="7" s="1"/>
  <c r="H276" i="7"/>
  <c r="G276" i="7"/>
  <c r="F276" i="7"/>
  <c r="P276" i="7" s="1"/>
  <c r="E276" i="7"/>
  <c r="D276" i="7"/>
  <c r="C276" i="7"/>
  <c r="B276" i="7"/>
  <c r="A276" i="7"/>
  <c r="N275" i="7"/>
  <c r="L275" i="7"/>
  <c r="J275" i="7"/>
  <c r="I275" i="7"/>
  <c r="Q275" i="7" s="1"/>
  <c r="T275" i="7" s="1"/>
  <c r="H275" i="7"/>
  <c r="G275" i="7"/>
  <c r="F275" i="7"/>
  <c r="E275" i="7"/>
  <c r="M275" i="7" s="1"/>
  <c r="D275" i="7"/>
  <c r="C275" i="7"/>
  <c r="O275" i="7" s="1"/>
  <c r="B275" i="7"/>
  <c r="A275" i="7"/>
  <c r="T274" i="7"/>
  <c r="N274" i="7"/>
  <c r="K274" i="7"/>
  <c r="J274" i="7"/>
  <c r="I274" i="7"/>
  <c r="Q274" i="7" s="1"/>
  <c r="H274" i="7"/>
  <c r="G274" i="7"/>
  <c r="F274" i="7"/>
  <c r="P274" i="7" s="1"/>
  <c r="E274" i="7"/>
  <c r="D274" i="7"/>
  <c r="C274" i="7"/>
  <c r="O274" i="7" s="1"/>
  <c r="B274" i="7"/>
  <c r="A274" i="7"/>
  <c r="Q273" i="7"/>
  <c r="T273" i="7" s="1"/>
  <c r="O273" i="7"/>
  <c r="L273" i="7"/>
  <c r="K273" i="7"/>
  <c r="J273" i="7"/>
  <c r="I273" i="7"/>
  <c r="H273" i="7"/>
  <c r="G273" i="7"/>
  <c r="F273" i="7"/>
  <c r="E273" i="7"/>
  <c r="D273" i="7"/>
  <c r="C273" i="7"/>
  <c r="B273" i="7"/>
  <c r="A273" i="7"/>
  <c r="N272" i="7"/>
  <c r="J272" i="7"/>
  <c r="I272" i="7"/>
  <c r="Q272" i="7" s="1"/>
  <c r="T272" i="7" s="1"/>
  <c r="H272" i="7"/>
  <c r="G272" i="7"/>
  <c r="K272" i="7" s="1"/>
  <c r="F272" i="7"/>
  <c r="E272" i="7"/>
  <c r="D272" i="7"/>
  <c r="L272" i="7" s="1"/>
  <c r="C272" i="7"/>
  <c r="O272" i="7" s="1"/>
  <c r="B272" i="7"/>
  <c r="A272" i="7"/>
  <c r="Q271" i="7"/>
  <c r="T271" i="7" s="1"/>
  <c r="P271" i="7"/>
  <c r="I271" i="7"/>
  <c r="H271" i="7"/>
  <c r="G271" i="7"/>
  <c r="F271" i="7"/>
  <c r="E271" i="7"/>
  <c r="D271" i="7"/>
  <c r="C271" i="7"/>
  <c r="B271" i="7"/>
  <c r="A271" i="7"/>
  <c r="T270" i="7"/>
  <c r="Q270" i="7"/>
  <c r="I270" i="7"/>
  <c r="H270" i="7"/>
  <c r="G270" i="7"/>
  <c r="F270" i="7"/>
  <c r="E270" i="7"/>
  <c r="D270" i="7"/>
  <c r="L270" i="7" s="1"/>
  <c r="C270" i="7"/>
  <c r="O270" i="7" s="1"/>
  <c r="B270" i="7"/>
  <c r="A270" i="7"/>
  <c r="T269" i="7"/>
  <c r="P269" i="7"/>
  <c r="O269" i="7"/>
  <c r="N269" i="7"/>
  <c r="M269" i="7"/>
  <c r="K269" i="7"/>
  <c r="I269" i="7"/>
  <c r="Q269" i="7" s="1"/>
  <c r="H269" i="7"/>
  <c r="G269" i="7"/>
  <c r="F269" i="7"/>
  <c r="E269" i="7"/>
  <c r="D269" i="7"/>
  <c r="C269" i="7"/>
  <c r="B269" i="7"/>
  <c r="A269" i="7"/>
  <c r="Q268" i="7"/>
  <c r="T268" i="7" s="1"/>
  <c r="O268" i="7"/>
  <c r="L268" i="7"/>
  <c r="J268" i="7"/>
  <c r="I268" i="7"/>
  <c r="H268" i="7"/>
  <c r="G268" i="7"/>
  <c r="F268" i="7"/>
  <c r="P268" i="7" s="1"/>
  <c r="E268" i="7"/>
  <c r="D268" i="7"/>
  <c r="C268" i="7"/>
  <c r="K268" i="7" s="1"/>
  <c r="B268" i="7"/>
  <c r="A268" i="7"/>
  <c r="Q267" i="7"/>
  <c r="T267" i="7" s="1"/>
  <c r="P267" i="7"/>
  <c r="I267" i="7"/>
  <c r="H267" i="7"/>
  <c r="G267" i="7"/>
  <c r="F267" i="7"/>
  <c r="E267" i="7"/>
  <c r="D267" i="7"/>
  <c r="C267" i="7"/>
  <c r="B267" i="7"/>
  <c r="A267" i="7"/>
  <c r="T266" i="7"/>
  <c r="Q266" i="7"/>
  <c r="M266" i="7"/>
  <c r="L266" i="7"/>
  <c r="K266" i="7"/>
  <c r="I266" i="7"/>
  <c r="H266" i="7"/>
  <c r="J266" i="7" s="1"/>
  <c r="G266" i="7"/>
  <c r="F266" i="7"/>
  <c r="P266" i="7" s="1"/>
  <c r="E266" i="7"/>
  <c r="D266" i="7"/>
  <c r="C266" i="7"/>
  <c r="O266" i="7" s="1"/>
  <c r="B266" i="7"/>
  <c r="A266" i="7"/>
  <c r="I265" i="7"/>
  <c r="Q265" i="7" s="1"/>
  <c r="T265" i="7" s="1"/>
  <c r="H265" i="7"/>
  <c r="G265" i="7"/>
  <c r="F265" i="7"/>
  <c r="E265" i="7"/>
  <c r="P265" i="7" s="1"/>
  <c r="D265" i="7"/>
  <c r="C265" i="7"/>
  <c r="O265" i="7" s="1"/>
  <c r="B265" i="7"/>
  <c r="A265" i="7"/>
  <c r="T264" i="7"/>
  <c r="O264" i="7"/>
  <c r="N264" i="7"/>
  <c r="I264" i="7"/>
  <c r="Q264" i="7" s="1"/>
  <c r="H264" i="7"/>
  <c r="G264" i="7"/>
  <c r="F264" i="7"/>
  <c r="P264" i="7" s="1"/>
  <c r="E264" i="7"/>
  <c r="D264" i="7"/>
  <c r="C264" i="7"/>
  <c r="B264" i="7"/>
  <c r="A264" i="7"/>
  <c r="Q263" i="7"/>
  <c r="T263" i="7" s="1"/>
  <c r="O263" i="7"/>
  <c r="N263" i="7"/>
  <c r="M263" i="7"/>
  <c r="L263" i="7"/>
  <c r="I263" i="7"/>
  <c r="H263" i="7"/>
  <c r="G263" i="7"/>
  <c r="F263" i="7"/>
  <c r="E263" i="7"/>
  <c r="D263" i="7"/>
  <c r="C263" i="7"/>
  <c r="B263" i="7"/>
  <c r="A263" i="7"/>
  <c r="Q262" i="7"/>
  <c r="T262" i="7" s="1"/>
  <c r="P262" i="7"/>
  <c r="N262" i="7"/>
  <c r="M262" i="7"/>
  <c r="W262" i="7" s="1"/>
  <c r="L262" i="7"/>
  <c r="K262" i="7"/>
  <c r="J262" i="7"/>
  <c r="I262" i="7"/>
  <c r="H262" i="7"/>
  <c r="G262" i="7"/>
  <c r="F262" i="7"/>
  <c r="E262" i="7"/>
  <c r="D262" i="7"/>
  <c r="C262" i="7"/>
  <c r="O262" i="7" s="1"/>
  <c r="B262" i="7"/>
  <c r="A262" i="7"/>
  <c r="M261" i="7"/>
  <c r="L261" i="7"/>
  <c r="K261" i="7"/>
  <c r="I261" i="7"/>
  <c r="Q261" i="7" s="1"/>
  <c r="T261" i="7" s="1"/>
  <c r="H261" i="7"/>
  <c r="J261" i="7" s="1"/>
  <c r="G261" i="7"/>
  <c r="F261" i="7"/>
  <c r="P261" i="7" s="1"/>
  <c r="E261" i="7"/>
  <c r="D261" i="7"/>
  <c r="C261" i="7"/>
  <c r="N261" i="7" s="1"/>
  <c r="B261" i="7"/>
  <c r="A261" i="7"/>
  <c r="T260" i="7"/>
  <c r="N260" i="7"/>
  <c r="K260" i="7"/>
  <c r="J260" i="7"/>
  <c r="I260" i="7"/>
  <c r="Q260" i="7" s="1"/>
  <c r="H260" i="7"/>
  <c r="G260" i="7"/>
  <c r="F260" i="7"/>
  <c r="P260" i="7" s="1"/>
  <c r="E260" i="7"/>
  <c r="D260" i="7"/>
  <c r="L260" i="7" s="1"/>
  <c r="C260" i="7"/>
  <c r="O260" i="7" s="1"/>
  <c r="B260" i="7"/>
  <c r="A260" i="7"/>
  <c r="T259" i="7"/>
  <c r="Q259" i="7"/>
  <c r="O259" i="7"/>
  <c r="K259" i="7"/>
  <c r="J259" i="7"/>
  <c r="I259" i="7"/>
  <c r="H259" i="7"/>
  <c r="G259" i="7"/>
  <c r="F259" i="7"/>
  <c r="E259" i="7"/>
  <c r="D259" i="7"/>
  <c r="C259" i="7"/>
  <c r="N259" i="7" s="1"/>
  <c r="B259" i="7"/>
  <c r="A259" i="7"/>
  <c r="Q258" i="7"/>
  <c r="T258" i="7" s="1"/>
  <c r="P258" i="7"/>
  <c r="O258" i="7"/>
  <c r="N258" i="7"/>
  <c r="L258" i="7"/>
  <c r="I258" i="7"/>
  <c r="H258" i="7"/>
  <c r="G258" i="7"/>
  <c r="F258" i="7"/>
  <c r="E258" i="7"/>
  <c r="D258" i="7"/>
  <c r="C258" i="7"/>
  <c r="B258" i="7"/>
  <c r="A258" i="7"/>
  <c r="Q257" i="7"/>
  <c r="T257" i="7" s="1"/>
  <c r="P257" i="7"/>
  <c r="O257" i="7"/>
  <c r="N257" i="7"/>
  <c r="M257" i="7"/>
  <c r="L257" i="7"/>
  <c r="K257" i="7"/>
  <c r="I257" i="7"/>
  <c r="H257" i="7"/>
  <c r="G257" i="7"/>
  <c r="F257" i="7"/>
  <c r="E257" i="7"/>
  <c r="D257" i="7"/>
  <c r="C257" i="7"/>
  <c r="J257" i="7" s="1"/>
  <c r="B257" i="7"/>
  <c r="A257" i="7"/>
  <c r="T256" i="7"/>
  <c r="Q256" i="7"/>
  <c r="M256" i="7"/>
  <c r="L256" i="7"/>
  <c r="K256" i="7"/>
  <c r="J256" i="7"/>
  <c r="I256" i="7"/>
  <c r="H256" i="7"/>
  <c r="G256" i="7"/>
  <c r="F256" i="7"/>
  <c r="P256" i="7" s="1"/>
  <c r="E256" i="7"/>
  <c r="D256" i="7"/>
  <c r="C256" i="7"/>
  <c r="O256" i="7" s="1"/>
  <c r="B256" i="7"/>
  <c r="A256" i="7"/>
  <c r="P255" i="7"/>
  <c r="K255" i="7"/>
  <c r="J255" i="7"/>
  <c r="I255" i="7"/>
  <c r="Q255" i="7" s="1"/>
  <c r="T255" i="7" s="1"/>
  <c r="H255" i="7"/>
  <c r="G255" i="7"/>
  <c r="F255" i="7"/>
  <c r="E255" i="7"/>
  <c r="D255" i="7"/>
  <c r="C255" i="7"/>
  <c r="O255" i="7" s="1"/>
  <c r="B255" i="7"/>
  <c r="A255" i="7"/>
  <c r="J254" i="7"/>
  <c r="I254" i="7"/>
  <c r="Q254" i="7" s="1"/>
  <c r="T254" i="7" s="1"/>
  <c r="H254" i="7"/>
  <c r="G254" i="7"/>
  <c r="F254" i="7"/>
  <c r="P254" i="7" s="1"/>
  <c r="E254" i="7"/>
  <c r="D254" i="7"/>
  <c r="C254" i="7"/>
  <c r="B254" i="7"/>
  <c r="A254" i="7"/>
  <c r="P253" i="7"/>
  <c r="N253" i="7"/>
  <c r="K253" i="7"/>
  <c r="J253" i="7"/>
  <c r="I253" i="7"/>
  <c r="Q253" i="7" s="1"/>
  <c r="T253" i="7" s="1"/>
  <c r="H253" i="7"/>
  <c r="G253" i="7"/>
  <c r="F253" i="7"/>
  <c r="E253" i="7"/>
  <c r="D253" i="7"/>
  <c r="C253" i="7"/>
  <c r="O253" i="7" s="1"/>
  <c r="B253" i="7"/>
  <c r="A253" i="7"/>
  <c r="Q252" i="7"/>
  <c r="T252" i="7" s="1"/>
  <c r="I252" i="7"/>
  <c r="H252" i="7"/>
  <c r="G252" i="7"/>
  <c r="F252" i="7"/>
  <c r="E252" i="7"/>
  <c r="D252" i="7"/>
  <c r="C252" i="7"/>
  <c r="B252" i="7"/>
  <c r="A252" i="7"/>
  <c r="Q251" i="7"/>
  <c r="T251" i="7" s="1"/>
  <c r="P251" i="7"/>
  <c r="O251" i="7"/>
  <c r="N251" i="7"/>
  <c r="L251" i="7"/>
  <c r="I251" i="7"/>
  <c r="H251" i="7"/>
  <c r="G251" i="7"/>
  <c r="F251" i="7"/>
  <c r="E251" i="7"/>
  <c r="D251" i="7"/>
  <c r="C251" i="7"/>
  <c r="B251" i="7"/>
  <c r="A251" i="7"/>
  <c r="Q250" i="7"/>
  <c r="T250" i="7" s="1"/>
  <c r="I250" i="7"/>
  <c r="H250" i="7"/>
  <c r="G250" i="7"/>
  <c r="F250" i="7"/>
  <c r="E250" i="7"/>
  <c r="D250" i="7"/>
  <c r="C250" i="7"/>
  <c r="B250" i="7"/>
  <c r="A250" i="7"/>
  <c r="Q249" i="7"/>
  <c r="T249" i="7" s="1"/>
  <c r="O249" i="7"/>
  <c r="N249" i="7"/>
  <c r="M249" i="7"/>
  <c r="L249" i="7"/>
  <c r="J249" i="7"/>
  <c r="I249" i="7"/>
  <c r="H249" i="7"/>
  <c r="G249" i="7"/>
  <c r="F249" i="7"/>
  <c r="P249" i="7" s="1"/>
  <c r="E249" i="7"/>
  <c r="D249" i="7"/>
  <c r="C249" i="7"/>
  <c r="B249" i="7"/>
  <c r="A249" i="7"/>
  <c r="P248" i="7"/>
  <c r="O248" i="7"/>
  <c r="I248" i="7"/>
  <c r="Q248" i="7" s="1"/>
  <c r="T248" i="7" s="1"/>
  <c r="H248" i="7"/>
  <c r="G248" i="7"/>
  <c r="F248" i="7"/>
  <c r="E248" i="7"/>
  <c r="D248" i="7"/>
  <c r="C248" i="7"/>
  <c r="B248" i="7"/>
  <c r="A248" i="7"/>
  <c r="Q247" i="7"/>
  <c r="T247" i="7" s="1"/>
  <c r="P247" i="7"/>
  <c r="I247" i="7"/>
  <c r="H247" i="7"/>
  <c r="G247" i="7"/>
  <c r="F247" i="7"/>
  <c r="E247" i="7"/>
  <c r="D247" i="7"/>
  <c r="C247" i="7"/>
  <c r="B247" i="7"/>
  <c r="A247" i="7"/>
  <c r="P246" i="7"/>
  <c r="N246" i="7"/>
  <c r="M246" i="7"/>
  <c r="L246" i="7"/>
  <c r="K246" i="7"/>
  <c r="J246" i="7"/>
  <c r="I246" i="7"/>
  <c r="Q246" i="7" s="1"/>
  <c r="T246" i="7" s="1"/>
  <c r="H246" i="7"/>
  <c r="G246" i="7"/>
  <c r="F246" i="7"/>
  <c r="E246" i="7"/>
  <c r="D246" i="7"/>
  <c r="C246" i="7"/>
  <c r="O246" i="7" s="1"/>
  <c r="B246" i="7"/>
  <c r="A246" i="7"/>
  <c r="T245" i="7"/>
  <c r="I245" i="7"/>
  <c r="Q245" i="7" s="1"/>
  <c r="H245" i="7"/>
  <c r="G245" i="7"/>
  <c r="F245" i="7"/>
  <c r="P245" i="7" s="1"/>
  <c r="E245" i="7"/>
  <c r="D245" i="7"/>
  <c r="C245" i="7"/>
  <c r="B245" i="7"/>
  <c r="A245" i="7"/>
  <c r="T244" i="7"/>
  <c r="Q244" i="7"/>
  <c r="N244" i="7"/>
  <c r="M244" i="7"/>
  <c r="L244" i="7"/>
  <c r="K244" i="7"/>
  <c r="J244" i="7"/>
  <c r="I244" i="7"/>
  <c r="H244" i="7"/>
  <c r="G244" i="7"/>
  <c r="F244" i="7"/>
  <c r="E244" i="7"/>
  <c r="D244" i="7"/>
  <c r="C244" i="7"/>
  <c r="O244" i="7" s="1"/>
  <c r="B244" i="7"/>
  <c r="A244" i="7"/>
  <c r="M243" i="7"/>
  <c r="L243" i="7"/>
  <c r="K243" i="7"/>
  <c r="J243" i="7"/>
  <c r="I243" i="7"/>
  <c r="Q243" i="7" s="1"/>
  <c r="T243" i="7" s="1"/>
  <c r="H243" i="7"/>
  <c r="G243" i="7"/>
  <c r="F243" i="7"/>
  <c r="P243" i="7" s="1"/>
  <c r="E243" i="7"/>
  <c r="D243" i="7"/>
  <c r="C243" i="7"/>
  <c r="O243" i="7" s="1"/>
  <c r="B243" i="7"/>
  <c r="A243" i="7"/>
  <c r="T242" i="7"/>
  <c r="Q242" i="7"/>
  <c r="I242" i="7"/>
  <c r="H242" i="7"/>
  <c r="G242" i="7"/>
  <c r="F242" i="7"/>
  <c r="E242" i="7"/>
  <c r="D242" i="7"/>
  <c r="C242" i="7"/>
  <c r="B242" i="7"/>
  <c r="A242" i="7"/>
  <c r="Q241" i="7"/>
  <c r="T241" i="7" s="1"/>
  <c r="P241" i="7"/>
  <c r="N241" i="7"/>
  <c r="K241" i="7"/>
  <c r="J241" i="7"/>
  <c r="I241" i="7"/>
  <c r="H241" i="7"/>
  <c r="G241" i="7"/>
  <c r="F241" i="7"/>
  <c r="E241" i="7"/>
  <c r="D241" i="7"/>
  <c r="C241" i="7"/>
  <c r="O241" i="7" s="1"/>
  <c r="B241" i="7"/>
  <c r="A241" i="7"/>
  <c r="T240" i="7"/>
  <c r="O240" i="7"/>
  <c r="M240" i="7"/>
  <c r="J240" i="7"/>
  <c r="I240" i="7"/>
  <c r="Q240" i="7" s="1"/>
  <c r="H240" i="7"/>
  <c r="G240" i="7"/>
  <c r="F240" i="7"/>
  <c r="P240" i="7" s="1"/>
  <c r="E240" i="7"/>
  <c r="D240" i="7"/>
  <c r="C240" i="7"/>
  <c r="B240" i="7"/>
  <c r="A240" i="7"/>
  <c r="T239" i="7"/>
  <c r="Q239" i="7"/>
  <c r="I239" i="7"/>
  <c r="H239" i="7"/>
  <c r="G239" i="7"/>
  <c r="F239" i="7"/>
  <c r="P239" i="7" s="1"/>
  <c r="E239" i="7"/>
  <c r="D239" i="7"/>
  <c r="C239" i="7"/>
  <c r="B239" i="7"/>
  <c r="A239" i="7"/>
  <c r="T238" i="7"/>
  <c r="Q238" i="7"/>
  <c r="O238" i="7"/>
  <c r="N238" i="7"/>
  <c r="M238" i="7"/>
  <c r="K238" i="7"/>
  <c r="I238" i="7"/>
  <c r="H238" i="7"/>
  <c r="G238" i="7"/>
  <c r="F238" i="7"/>
  <c r="P238" i="7" s="1"/>
  <c r="E238" i="7"/>
  <c r="D238" i="7"/>
  <c r="C238" i="7"/>
  <c r="B238" i="7"/>
  <c r="A238" i="7"/>
  <c r="Q237" i="7"/>
  <c r="T237" i="7" s="1"/>
  <c r="P237" i="7"/>
  <c r="O237" i="7"/>
  <c r="N237" i="7"/>
  <c r="I237" i="7"/>
  <c r="H237" i="7"/>
  <c r="G237" i="7"/>
  <c r="F237" i="7"/>
  <c r="E237" i="7"/>
  <c r="D237" i="7"/>
  <c r="C237" i="7"/>
  <c r="B237" i="7"/>
  <c r="A237" i="7"/>
  <c r="P236" i="7"/>
  <c r="O236" i="7"/>
  <c r="N236" i="7"/>
  <c r="I236" i="7"/>
  <c r="Q236" i="7" s="1"/>
  <c r="T236" i="7" s="1"/>
  <c r="H236" i="7"/>
  <c r="G236" i="7"/>
  <c r="F236" i="7"/>
  <c r="E236" i="7"/>
  <c r="D236" i="7"/>
  <c r="C236" i="7"/>
  <c r="B236" i="7"/>
  <c r="A236" i="7"/>
  <c r="L235" i="7"/>
  <c r="K235" i="7"/>
  <c r="J235" i="7"/>
  <c r="I235" i="7"/>
  <c r="Q235" i="7" s="1"/>
  <c r="T235" i="7" s="1"/>
  <c r="H235" i="7"/>
  <c r="G235" i="7"/>
  <c r="F235" i="7"/>
  <c r="E235" i="7"/>
  <c r="P235" i="7" s="1"/>
  <c r="D235" i="7"/>
  <c r="M235" i="7" s="1"/>
  <c r="C235" i="7"/>
  <c r="O235" i="7" s="1"/>
  <c r="B235" i="7"/>
  <c r="A235" i="7"/>
  <c r="T234" i="7"/>
  <c r="P234" i="7"/>
  <c r="O234" i="7"/>
  <c r="I234" i="7"/>
  <c r="Q234" i="7" s="1"/>
  <c r="H234" i="7"/>
  <c r="G234" i="7"/>
  <c r="F234" i="7"/>
  <c r="E234" i="7"/>
  <c r="D234" i="7"/>
  <c r="C234" i="7"/>
  <c r="B234" i="7"/>
  <c r="A234" i="7"/>
  <c r="T233" i="7"/>
  <c r="Q233" i="7"/>
  <c r="O233" i="7"/>
  <c r="N233" i="7"/>
  <c r="M233" i="7"/>
  <c r="I233" i="7"/>
  <c r="H233" i="7"/>
  <c r="G233" i="7"/>
  <c r="F233" i="7"/>
  <c r="E233" i="7"/>
  <c r="L233" i="7" s="1"/>
  <c r="D233" i="7"/>
  <c r="C233" i="7"/>
  <c r="B233" i="7"/>
  <c r="A233" i="7"/>
  <c r="Q232" i="7"/>
  <c r="T232" i="7" s="1"/>
  <c r="P232" i="7"/>
  <c r="N232" i="7"/>
  <c r="L232" i="7"/>
  <c r="K232" i="7"/>
  <c r="J232" i="7"/>
  <c r="I232" i="7"/>
  <c r="H232" i="7"/>
  <c r="G232" i="7"/>
  <c r="F232" i="7"/>
  <c r="E232" i="7"/>
  <c r="D232" i="7"/>
  <c r="M232" i="7" s="1"/>
  <c r="C232" i="7"/>
  <c r="O232" i="7" s="1"/>
  <c r="B232" i="7"/>
  <c r="A232" i="7"/>
  <c r="W231" i="7"/>
  <c r="V231" i="7"/>
  <c r="P231" i="7"/>
  <c r="O231" i="7"/>
  <c r="M231" i="7"/>
  <c r="L231" i="7"/>
  <c r="K231" i="7"/>
  <c r="J231" i="7"/>
  <c r="I231" i="7"/>
  <c r="Q231" i="7" s="1"/>
  <c r="T231" i="7" s="1"/>
  <c r="H231" i="7"/>
  <c r="G231" i="7"/>
  <c r="F231" i="7"/>
  <c r="E231" i="7"/>
  <c r="D231" i="7"/>
  <c r="C231" i="7"/>
  <c r="N231" i="7" s="1"/>
  <c r="B231" i="7"/>
  <c r="A231" i="7"/>
  <c r="T230" i="7"/>
  <c r="O230" i="7"/>
  <c r="N230" i="7"/>
  <c r="L230" i="7"/>
  <c r="K230" i="7"/>
  <c r="J230" i="7"/>
  <c r="I230" i="7"/>
  <c r="Q230" i="7" s="1"/>
  <c r="H230" i="7"/>
  <c r="G230" i="7"/>
  <c r="F230" i="7"/>
  <c r="P230" i="7" s="1"/>
  <c r="E230" i="7"/>
  <c r="D230" i="7"/>
  <c r="C230" i="7"/>
  <c r="M230" i="7" s="1"/>
  <c r="B230" i="7"/>
  <c r="A230" i="7"/>
  <c r="J229" i="7"/>
  <c r="I229" i="7"/>
  <c r="Q229" i="7" s="1"/>
  <c r="T229" i="7" s="1"/>
  <c r="H229" i="7"/>
  <c r="G229" i="7"/>
  <c r="K229" i="7" s="1"/>
  <c r="F229" i="7"/>
  <c r="E229" i="7"/>
  <c r="D229" i="7"/>
  <c r="C229" i="7"/>
  <c r="O229" i="7" s="1"/>
  <c r="B229" i="7"/>
  <c r="A229" i="7"/>
  <c r="T228" i="7"/>
  <c r="Q228" i="7"/>
  <c r="P228" i="7"/>
  <c r="O228" i="7"/>
  <c r="N228" i="7"/>
  <c r="I228" i="7"/>
  <c r="H228" i="7"/>
  <c r="G228" i="7"/>
  <c r="F228" i="7"/>
  <c r="E228" i="7"/>
  <c r="D228" i="7"/>
  <c r="C228" i="7"/>
  <c r="B228" i="7"/>
  <c r="A228" i="7"/>
  <c r="Q227" i="7"/>
  <c r="T227" i="7" s="1"/>
  <c r="I227" i="7"/>
  <c r="H227" i="7"/>
  <c r="G227" i="7"/>
  <c r="F227" i="7"/>
  <c r="E227" i="7"/>
  <c r="P227" i="7" s="1"/>
  <c r="D227" i="7"/>
  <c r="C227" i="7"/>
  <c r="B227" i="7"/>
  <c r="A227" i="7"/>
  <c r="T226" i="7"/>
  <c r="Q226" i="7"/>
  <c r="P226" i="7"/>
  <c r="O226" i="7"/>
  <c r="M226" i="7"/>
  <c r="K226" i="7"/>
  <c r="I226" i="7"/>
  <c r="H226" i="7"/>
  <c r="G226" i="7"/>
  <c r="F226" i="7"/>
  <c r="E226" i="7"/>
  <c r="D226" i="7"/>
  <c r="C226" i="7"/>
  <c r="L226" i="7" s="1"/>
  <c r="B226" i="7"/>
  <c r="A226" i="7"/>
  <c r="W225" i="7"/>
  <c r="V225" i="7"/>
  <c r="N225" i="7"/>
  <c r="M225" i="7"/>
  <c r="L225" i="7"/>
  <c r="K225" i="7"/>
  <c r="J225" i="7"/>
  <c r="I225" i="7"/>
  <c r="Q225" i="7" s="1"/>
  <c r="T225" i="7" s="1"/>
  <c r="H225" i="7"/>
  <c r="G225" i="7"/>
  <c r="F225" i="7"/>
  <c r="P225" i="7" s="1"/>
  <c r="E225" i="7"/>
  <c r="D225" i="7"/>
  <c r="C225" i="7"/>
  <c r="O225" i="7" s="1"/>
  <c r="B225" i="7"/>
  <c r="A225" i="7"/>
  <c r="Q224" i="7"/>
  <c r="T224" i="7" s="1"/>
  <c r="P224" i="7"/>
  <c r="K224" i="7"/>
  <c r="J224" i="7"/>
  <c r="I224" i="7"/>
  <c r="H224" i="7"/>
  <c r="G224" i="7"/>
  <c r="F224" i="7"/>
  <c r="E224" i="7"/>
  <c r="D224" i="7"/>
  <c r="C224" i="7"/>
  <c r="O224" i="7" s="1"/>
  <c r="B224" i="7"/>
  <c r="A224" i="7"/>
  <c r="O223" i="7"/>
  <c r="N223" i="7"/>
  <c r="I223" i="7"/>
  <c r="Q223" i="7" s="1"/>
  <c r="T223" i="7" s="1"/>
  <c r="H223" i="7"/>
  <c r="G223" i="7"/>
  <c r="F223" i="7"/>
  <c r="E223" i="7"/>
  <c r="P223" i="7" s="1"/>
  <c r="D223" i="7"/>
  <c r="C223" i="7"/>
  <c r="B223" i="7"/>
  <c r="A223" i="7"/>
  <c r="T222" i="7"/>
  <c r="P222" i="7"/>
  <c r="N222" i="7"/>
  <c r="M222" i="7"/>
  <c r="L222" i="7"/>
  <c r="I222" i="7"/>
  <c r="Q222" i="7" s="1"/>
  <c r="H222" i="7"/>
  <c r="G222" i="7"/>
  <c r="F222" i="7"/>
  <c r="E222" i="7"/>
  <c r="D222" i="7"/>
  <c r="C222" i="7"/>
  <c r="O222" i="7" s="1"/>
  <c r="B222" i="7"/>
  <c r="A222" i="7"/>
  <c r="W221" i="7"/>
  <c r="Q221" i="7"/>
  <c r="T221" i="7" s="1"/>
  <c r="N221" i="7"/>
  <c r="M221" i="7"/>
  <c r="L221" i="7"/>
  <c r="K221" i="7"/>
  <c r="J221" i="7"/>
  <c r="I221" i="7"/>
  <c r="H221" i="7"/>
  <c r="G221" i="7"/>
  <c r="F221" i="7"/>
  <c r="E221" i="7"/>
  <c r="D221" i="7"/>
  <c r="C221" i="7"/>
  <c r="O221" i="7" s="1"/>
  <c r="B221" i="7"/>
  <c r="A221" i="7"/>
  <c r="P220" i="7"/>
  <c r="N220" i="7"/>
  <c r="M220" i="7"/>
  <c r="L220" i="7"/>
  <c r="K220" i="7"/>
  <c r="I220" i="7"/>
  <c r="Q220" i="7" s="1"/>
  <c r="T220" i="7" s="1"/>
  <c r="H220" i="7"/>
  <c r="G220" i="7"/>
  <c r="F220" i="7"/>
  <c r="E220" i="7"/>
  <c r="D220" i="7"/>
  <c r="C220" i="7"/>
  <c r="O220" i="7" s="1"/>
  <c r="B220" i="7"/>
  <c r="J220" i="7" s="1"/>
  <c r="A220" i="7"/>
  <c r="O219" i="7"/>
  <c r="M219" i="7"/>
  <c r="L219" i="7"/>
  <c r="K219" i="7"/>
  <c r="J219" i="7"/>
  <c r="I219" i="7"/>
  <c r="Q219" i="7" s="1"/>
  <c r="T219" i="7" s="1"/>
  <c r="H219" i="7"/>
  <c r="G219" i="7"/>
  <c r="F219" i="7"/>
  <c r="P219" i="7" s="1"/>
  <c r="E219" i="7"/>
  <c r="D219" i="7"/>
  <c r="C219" i="7"/>
  <c r="B219" i="7"/>
  <c r="A219" i="7"/>
  <c r="Q218" i="7"/>
  <c r="T218" i="7" s="1"/>
  <c r="K218" i="7"/>
  <c r="J218" i="7"/>
  <c r="I218" i="7"/>
  <c r="H218" i="7"/>
  <c r="G218" i="7"/>
  <c r="F218" i="7"/>
  <c r="E218" i="7"/>
  <c r="D218" i="7"/>
  <c r="C218" i="7"/>
  <c r="O218" i="7" s="1"/>
  <c r="B218" i="7"/>
  <c r="A218" i="7"/>
  <c r="O217" i="7"/>
  <c r="I217" i="7"/>
  <c r="Q217" i="7" s="1"/>
  <c r="T217" i="7" s="1"/>
  <c r="H217" i="7"/>
  <c r="G217" i="7"/>
  <c r="F217" i="7"/>
  <c r="P217" i="7" s="1"/>
  <c r="E217" i="7"/>
  <c r="D217" i="7"/>
  <c r="C217" i="7"/>
  <c r="B217" i="7"/>
  <c r="A217" i="7"/>
  <c r="Q216" i="7"/>
  <c r="T216" i="7" s="1"/>
  <c r="P216" i="7"/>
  <c r="N216" i="7"/>
  <c r="M216" i="7"/>
  <c r="I216" i="7"/>
  <c r="H216" i="7"/>
  <c r="G216" i="7"/>
  <c r="F216" i="7"/>
  <c r="E216" i="7"/>
  <c r="D216" i="7"/>
  <c r="C216" i="7"/>
  <c r="O216" i="7" s="1"/>
  <c r="B216" i="7"/>
  <c r="A216" i="7"/>
  <c r="Q215" i="7"/>
  <c r="T215" i="7" s="1"/>
  <c r="P215" i="7"/>
  <c r="I215" i="7"/>
  <c r="H215" i="7"/>
  <c r="G215" i="7"/>
  <c r="F215" i="7"/>
  <c r="E215" i="7"/>
  <c r="D215" i="7"/>
  <c r="C215" i="7"/>
  <c r="B215" i="7"/>
  <c r="A215" i="7"/>
  <c r="Q214" i="7"/>
  <c r="T214" i="7" s="1"/>
  <c r="O214" i="7"/>
  <c r="N214" i="7"/>
  <c r="M214" i="7"/>
  <c r="L214" i="7"/>
  <c r="K214" i="7"/>
  <c r="I214" i="7"/>
  <c r="H214" i="7"/>
  <c r="G214" i="7"/>
  <c r="F214" i="7"/>
  <c r="E214" i="7"/>
  <c r="P214" i="7" s="1"/>
  <c r="D214" i="7"/>
  <c r="C214" i="7"/>
  <c r="J214" i="7" s="1"/>
  <c r="B214" i="7"/>
  <c r="A214" i="7"/>
  <c r="Q213" i="7"/>
  <c r="T213" i="7" s="1"/>
  <c r="I213" i="7"/>
  <c r="H213" i="7"/>
  <c r="G213" i="7"/>
  <c r="F213" i="7"/>
  <c r="E213" i="7"/>
  <c r="P213" i="7" s="1"/>
  <c r="D213" i="7"/>
  <c r="C213" i="7"/>
  <c r="B213" i="7"/>
  <c r="A213" i="7"/>
  <c r="P212" i="7"/>
  <c r="N212" i="7"/>
  <c r="L212" i="7"/>
  <c r="K212" i="7"/>
  <c r="J212" i="7"/>
  <c r="I212" i="7"/>
  <c r="Q212" i="7" s="1"/>
  <c r="T212" i="7" s="1"/>
  <c r="H212" i="7"/>
  <c r="G212" i="7"/>
  <c r="F212" i="7"/>
  <c r="E212" i="7"/>
  <c r="D212" i="7"/>
  <c r="C212" i="7"/>
  <c r="O212" i="7" s="1"/>
  <c r="B212" i="7"/>
  <c r="A212" i="7"/>
  <c r="P211" i="7"/>
  <c r="L211" i="7"/>
  <c r="K211" i="7"/>
  <c r="I211" i="7"/>
  <c r="Q211" i="7" s="1"/>
  <c r="T211" i="7" s="1"/>
  <c r="H211" i="7"/>
  <c r="J211" i="7" s="1"/>
  <c r="G211" i="7"/>
  <c r="F211" i="7"/>
  <c r="E211" i="7"/>
  <c r="D211" i="7"/>
  <c r="C211" i="7"/>
  <c r="O211" i="7" s="1"/>
  <c r="B211" i="7"/>
  <c r="A211" i="7"/>
  <c r="T210" i="7"/>
  <c r="N210" i="7"/>
  <c r="M210" i="7"/>
  <c r="K210" i="7"/>
  <c r="J210" i="7"/>
  <c r="I210" i="7"/>
  <c r="Q210" i="7" s="1"/>
  <c r="H210" i="7"/>
  <c r="G210" i="7"/>
  <c r="F210" i="7"/>
  <c r="P210" i="7" s="1"/>
  <c r="E210" i="7"/>
  <c r="D210" i="7"/>
  <c r="C210" i="7"/>
  <c r="O210" i="7" s="1"/>
  <c r="B210" i="7"/>
  <c r="L210" i="7" s="1"/>
  <c r="A210" i="7"/>
  <c r="N209" i="7"/>
  <c r="M209" i="7"/>
  <c r="L209" i="7"/>
  <c r="K209" i="7"/>
  <c r="J209" i="7"/>
  <c r="I209" i="7"/>
  <c r="Q209" i="7" s="1"/>
  <c r="T209" i="7" s="1"/>
  <c r="H209" i="7"/>
  <c r="G209" i="7"/>
  <c r="F209" i="7"/>
  <c r="P209" i="7" s="1"/>
  <c r="E209" i="7"/>
  <c r="D209" i="7"/>
  <c r="C209" i="7"/>
  <c r="O209" i="7" s="1"/>
  <c r="B209" i="7"/>
  <c r="A209" i="7"/>
  <c r="V208" i="7"/>
  <c r="N208" i="7"/>
  <c r="L208" i="7"/>
  <c r="K208" i="7"/>
  <c r="W208" i="7" s="1"/>
  <c r="J208" i="7"/>
  <c r="I208" i="7"/>
  <c r="Q208" i="7" s="1"/>
  <c r="T208" i="7" s="1"/>
  <c r="H208" i="7"/>
  <c r="G208" i="7"/>
  <c r="F208" i="7"/>
  <c r="E208" i="7"/>
  <c r="D208" i="7"/>
  <c r="M208" i="7" s="1"/>
  <c r="C208" i="7"/>
  <c r="O208" i="7" s="1"/>
  <c r="B208" i="7"/>
  <c r="A208" i="7"/>
  <c r="Q207" i="7"/>
  <c r="T207" i="7" s="1"/>
  <c r="P207" i="7"/>
  <c r="I207" i="7"/>
  <c r="H207" i="7"/>
  <c r="J207" i="7" s="1"/>
  <c r="G207" i="7"/>
  <c r="K207" i="7" s="1"/>
  <c r="F207" i="7"/>
  <c r="E207" i="7"/>
  <c r="D207" i="7"/>
  <c r="C207" i="7"/>
  <c r="O207" i="7" s="1"/>
  <c r="B207" i="7"/>
  <c r="A207" i="7"/>
  <c r="O206" i="7"/>
  <c r="J206" i="7"/>
  <c r="I206" i="7"/>
  <c r="Q206" i="7" s="1"/>
  <c r="T206" i="7" s="1"/>
  <c r="H206" i="7"/>
  <c r="G206" i="7"/>
  <c r="F206" i="7"/>
  <c r="P206" i="7" s="1"/>
  <c r="E206" i="7"/>
  <c r="D206" i="7"/>
  <c r="C206" i="7"/>
  <c r="B206" i="7"/>
  <c r="A206" i="7"/>
  <c r="Q205" i="7"/>
  <c r="T205" i="7" s="1"/>
  <c r="P205" i="7"/>
  <c r="O205" i="7"/>
  <c r="I205" i="7"/>
  <c r="H205" i="7"/>
  <c r="G205" i="7"/>
  <c r="F205" i="7"/>
  <c r="E205" i="7"/>
  <c r="D205" i="7"/>
  <c r="C205" i="7"/>
  <c r="B205" i="7"/>
  <c r="A205" i="7"/>
  <c r="T204" i="7"/>
  <c r="Q204" i="7"/>
  <c r="O204" i="7"/>
  <c r="N204" i="7"/>
  <c r="I204" i="7"/>
  <c r="H204" i="7"/>
  <c r="G204" i="7"/>
  <c r="F204" i="7"/>
  <c r="P204" i="7" s="1"/>
  <c r="E204" i="7"/>
  <c r="D204" i="7"/>
  <c r="M204" i="7" s="1"/>
  <c r="C204" i="7"/>
  <c r="B204" i="7"/>
  <c r="A204" i="7"/>
  <c r="Q203" i="7"/>
  <c r="T203" i="7" s="1"/>
  <c r="P203" i="7"/>
  <c r="O203" i="7"/>
  <c r="M203" i="7"/>
  <c r="L203" i="7"/>
  <c r="I203" i="7"/>
  <c r="H203" i="7"/>
  <c r="G203" i="7"/>
  <c r="F203" i="7"/>
  <c r="E203" i="7"/>
  <c r="D203" i="7"/>
  <c r="C203" i="7"/>
  <c r="N203" i="7" s="1"/>
  <c r="B203" i="7"/>
  <c r="A203" i="7"/>
  <c r="Q202" i="7"/>
  <c r="T202" i="7" s="1"/>
  <c r="I202" i="7"/>
  <c r="H202" i="7"/>
  <c r="G202" i="7"/>
  <c r="F202" i="7"/>
  <c r="E202" i="7"/>
  <c r="P202" i="7" s="1"/>
  <c r="D202" i="7"/>
  <c r="C202" i="7"/>
  <c r="B202" i="7"/>
  <c r="A202" i="7"/>
  <c r="Q201" i="7"/>
  <c r="T201" i="7" s="1"/>
  <c r="P201" i="7"/>
  <c r="N201" i="7"/>
  <c r="L201" i="7"/>
  <c r="K201" i="7"/>
  <c r="J201" i="7"/>
  <c r="I201" i="7"/>
  <c r="H201" i="7"/>
  <c r="G201" i="7"/>
  <c r="F201" i="7"/>
  <c r="E201" i="7"/>
  <c r="D201" i="7"/>
  <c r="C201" i="7"/>
  <c r="O201" i="7" s="1"/>
  <c r="B201" i="7"/>
  <c r="A201" i="7"/>
  <c r="W200" i="7"/>
  <c r="V200" i="7"/>
  <c r="P200" i="7"/>
  <c r="N200" i="7"/>
  <c r="M200" i="7"/>
  <c r="L200" i="7"/>
  <c r="K200" i="7"/>
  <c r="J200" i="7"/>
  <c r="I200" i="7"/>
  <c r="Q200" i="7" s="1"/>
  <c r="T200" i="7" s="1"/>
  <c r="H200" i="7"/>
  <c r="G200" i="7"/>
  <c r="F200" i="7"/>
  <c r="E200" i="7"/>
  <c r="D200" i="7"/>
  <c r="C200" i="7"/>
  <c r="O200" i="7" s="1"/>
  <c r="B200" i="7"/>
  <c r="A200" i="7"/>
  <c r="T199" i="7"/>
  <c r="P199" i="7"/>
  <c r="O199" i="7"/>
  <c r="N199" i="7"/>
  <c r="M199" i="7"/>
  <c r="I199" i="7"/>
  <c r="Q199" i="7" s="1"/>
  <c r="H199" i="7"/>
  <c r="G199" i="7"/>
  <c r="F199" i="7"/>
  <c r="E199" i="7"/>
  <c r="D199" i="7"/>
  <c r="C199" i="7"/>
  <c r="B199" i="7"/>
  <c r="A199" i="7"/>
  <c r="N198" i="7"/>
  <c r="M198" i="7"/>
  <c r="L198" i="7"/>
  <c r="K198" i="7"/>
  <c r="J198" i="7"/>
  <c r="I198" i="7"/>
  <c r="Q198" i="7" s="1"/>
  <c r="T198" i="7" s="1"/>
  <c r="H198" i="7"/>
  <c r="G198" i="7"/>
  <c r="F198" i="7"/>
  <c r="P198" i="7" s="1"/>
  <c r="E198" i="7"/>
  <c r="D198" i="7"/>
  <c r="C198" i="7"/>
  <c r="O198" i="7" s="1"/>
  <c r="B198" i="7"/>
  <c r="A198" i="7"/>
  <c r="W197" i="7"/>
  <c r="V197" i="7"/>
  <c r="T197" i="7"/>
  <c r="N197" i="7"/>
  <c r="M197" i="7"/>
  <c r="L197" i="7"/>
  <c r="K197" i="7"/>
  <c r="J197" i="7"/>
  <c r="R197" i="7" s="1"/>
  <c r="I197" i="7"/>
  <c r="Q197" i="7" s="1"/>
  <c r="H197" i="7"/>
  <c r="G197" i="7"/>
  <c r="F197" i="7"/>
  <c r="P197" i="7" s="1"/>
  <c r="S197" i="7" s="1"/>
  <c r="E197" i="7"/>
  <c r="D197" i="7"/>
  <c r="C197" i="7"/>
  <c r="O197" i="7" s="1"/>
  <c r="B197" i="7"/>
  <c r="A197" i="7"/>
  <c r="Q196" i="7"/>
  <c r="T196" i="7" s="1"/>
  <c r="L196" i="7"/>
  <c r="K196" i="7"/>
  <c r="J196" i="7"/>
  <c r="I196" i="7"/>
  <c r="H196" i="7"/>
  <c r="G196" i="7"/>
  <c r="F196" i="7"/>
  <c r="E196" i="7"/>
  <c r="D196" i="7"/>
  <c r="M196" i="7" s="1"/>
  <c r="C196" i="7"/>
  <c r="O196" i="7" s="1"/>
  <c r="B196" i="7"/>
  <c r="A196" i="7"/>
  <c r="K195" i="7"/>
  <c r="J195" i="7"/>
  <c r="I195" i="7"/>
  <c r="Q195" i="7" s="1"/>
  <c r="T195" i="7" s="1"/>
  <c r="H195" i="7"/>
  <c r="G195" i="7"/>
  <c r="F195" i="7"/>
  <c r="P195" i="7" s="1"/>
  <c r="E195" i="7"/>
  <c r="D195" i="7"/>
  <c r="C195" i="7"/>
  <c r="O195" i="7" s="1"/>
  <c r="B195" i="7"/>
  <c r="A195" i="7"/>
  <c r="Q194" i="7"/>
  <c r="T194" i="7" s="1"/>
  <c r="P194" i="7"/>
  <c r="I194" i="7"/>
  <c r="H194" i="7"/>
  <c r="G194" i="7"/>
  <c r="F194" i="7"/>
  <c r="E194" i="7"/>
  <c r="D194" i="7"/>
  <c r="C194" i="7"/>
  <c r="B194" i="7"/>
  <c r="A194" i="7"/>
  <c r="O193" i="7"/>
  <c r="N193" i="7"/>
  <c r="I193" i="7"/>
  <c r="Q193" i="7" s="1"/>
  <c r="T193" i="7" s="1"/>
  <c r="H193" i="7"/>
  <c r="G193" i="7"/>
  <c r="F193" i="7"/>
  <c r="E193" i="7"/>
  <c r="D193" i="7"/>
  <c r="C193" i="7"/>
  <c r="B193" i="7"/>
  <c r="A193" i="7"/>
  <c r="Q192" i="7"/>
  <c r="T192" i="7" s="1"/>
  <c r="P192" i="7"/>
  <c r="O192" i="7"/>
  <c r="N192" i="7"/>
  <c r="M192" i="7"/>
  <c r="I192" i="7"/>
  <c r="H192" i="7"/>
  <c r="G192" i="7"/>
  <c r="F192" i="7"/>
  <c r="E192" i="7"/>
  <c r="D192" i="7"/>
  <c r="C192" i="7"/>
  <c r="B192" i="7"/>
  <c r="A192" i="7"/>
  <c r="Q191" i="7"/>
  <c r="T191" i="7" s="1"/>
  <c r="I191" i="7"/>
  <c r="H191" i="7"/>
  <c r="G191" i="7"/>
  <c r="F191" i="7"/>
  <c r="E191" i="7"/>
  <c r="D191" i="7"/>
  <c r="C191" i="7"/>
  <c r="B191" i="7"/>
  <c r="A191" i="7"/>
  <c r="Q190" i="7"/>
  <c r="T190" i="7" s="1"/>
  <c r="P190" i="7"/>
  <c r="O190" i="7"/>
  <c r="N190" i="7"/>
  <c r="L190" i="7"/>
  <c r="K190" i="7"/>
  <c r="I190" i="7"/>
  <c r="H190" i="7"/>
  <c r="G190" i="7"/>
  <c r="F190" i="7"/>
  <c r="E190" i="7"/>
  <c r="D190" i="7"/>
  <c r="C190" i="7"/>
  <c r="J190" i="7" s="1"/>
  <c r="B190" i="7"/>
  <c r="A190" i="7"/>
  <c r="Q189" i="7"/>
  <c r="T189" i="7" s="1"/>
  <c r="P189" i="7"/>
  <c r="N189" i="7"/>
  <c r="K189" i="7"/>
  <c r="J189" i="7"/>
  <c r="I189" i="7"/>
  <c r="H189" i="7"/>
  <c r="G189" i="7"/>
  <c r="F189" i="7"/>
  <c r="E189" i="7"/>
  <c r="D189" i="7"/>
  <c r="C189" i="7"/>
  <c r="O189" i="7" s="1"/>
  <c r="B189" i="7"/>
  <c r="A189" i="7"/>
  <c r="P188" i="7"/>
  <c r="O188" i="7"/>
  <c r="L188" i="7"/>
  <c r="K188" i="7"/>
  <c r="I188" i="7"/>
  <c r="Q188" i="7" s="1"/>
  <c r="T188" i="7" s="1"/>
  <c r="H188" i="7"/>
  <c r="G188" i="7"/>
  <c r="F188" i="7"/>
  <c r="E188" i="7"/>
  <c r="D188" i="7"/>
  <c r="C188" i="7"/>
  <c r="M188" i="7" s="1"/>
  <c r="B188" i="7"/>
  <c r="A188" i="7"/>
  <c r="W187" i="7"/>
  <c r="V187" i="7"/>
  <c r="P187" i="7"/>
  <c r="N187" i="7"/>
  <c r="M187" i="7"/>
  <c r="L187" i="7"/>
  <c r="K187" i="7"/>
  <c r="J187" i="7"/>
  <c r="I187" i="7"/>
  <c r="Q187" i="7" s="1"/>
  <c r="T187" i="7" s="1"/>
  <c r="H187" i="7"/>
  <c r="G187" i="7"/>
  <c r="F187" i="7"/>
  <c r="E187" i="7"/>
  <c r="D187" i="7"/>
  <c r="C187" i="7"/>
  <c r="O187" i="7" s="1"/>
  <c r="B187" i="7"/>
  <c r="A187" i="7"/>
  <c r="V186" i="7"/>
  <c r="T186" i="7"/>
  <c r="N186" i="7"/>
  <c r="W186" i="7" s="1"/>
  <c r="M186" i="7"/>
  <c r="L186" i="7"/>
  <c r="K186" i="7"/>
  <c r="J186" i="7"/>
  <c r="I186" i="7"/>
  <c r="Q186" i="7" s="1"/>
  <c r="H186" i="7"/>
  <c r="G186" i="7"/>
  <c r="F186" i="7"/>
  <c r="P186" i="7" s="1"/>
  <c r="E186" i="7"/>
  <c r="D186" i="7"/>
  <c r="C186" i="7"/>
  <c r="O186" i="7" s="1"/>
  <c r="B186" i="7"/>
  <c r="A186" i="7"/>
  <c r="T185" i="7"/>
  <c r="N185" i="7"/>
  <c r="M185" i="7"/>
  <c r="L185" i="7"/>
  <c r="K185" i="7"/>
  <c r="J185" i="7"/>
  <c r="I185" i="7"/>
  <c r="Q185" i="7" s="1"/>
  <c r="H185" i="7"/>
  <c r="G185" i="7"/>
  <c r="F185" i="7"/>
  <c r="P185" i="7" s="1"/>
  <c r="E185" i="7"/>
  <c r="D185" i="7"/>
  <c r="C185" i="7"/>
  <c r="O185" i="7" s="1"/>
  <c r="B185" i="7"/>
  <c r="A185" i="7"/>
  <c r="W184" i="7"/>
  <c r="V184" i="7"/>
  <c r="N184" i="7"/>
  <c r="L184" i="7"/>
  <c r="K184" i="7"/>
  <c r="J184" i="7"/>
  <c r="I184" i="7"/>
  <c r="Q184" i="7" s="1"/>
  <c r="T184" i="7" s="1"/>
  <c r="H184" i="7"/>
  <c r="G184" i="7"/>
  <c r="F184" i="7"/>
  <c r="P184" i="7" s="1"/>
  <c r="E184" i="7"/>
  <c r="D184" i="7"/>
  <c r="M184" i="7" s="1"/>
  <c r="C184" i="7"/>
  <c r="O184" i="7" s="1"/>
  <c r="B184" i="7"/>
  <c r="A184" i="7"/>
  <c r="Q183" i="7"/>
  <c r="T183" i="7" s="1"/>
  <c r="K183" i="7"/>
  <c r="J183" i="7"/>
  <c r="I183" i="7"/>
  <c r="H183" i="7"/>
  <c r="G183" i="7"/>
  <c r="F183" i="7"/>
  <c r="P183" i="7" s="1"/>
  <c r="E183" i="7"/>
  <c r="D183" i="7"/>
  <c r="C183" i="7"/>
  <c r="O183" i="7" s="1"/>
  <c r="B183" i="7"/>
  <c r="A183" i="7"/>
  <c r="P182" i="7"/>
  <c r="O182" i="7"/>
  <c r="J182" i="7"/>
  <c r="I182" i="7"/>
  <c r="Q182" i="7" s="1"/>
  <c r="T182" i="7" s="1"/>
  <c r="H182" i="7"/>
  <c r="G182" i="7"/>
  <c r="F182" i="7"/>
  <c r="E182" i="7"/>
  <c r="D182" i="7"/>
  <c r="C182" i="7"/>
  <c r="B182" i="7"/>
  <c r="A182" i="7"/>
  <c r="Q181" i="7"/>
  <c r="T181" i="7" s="1"/>
  <c r="P181" i="7"/>
  <c r="I181" i="7"/>
  <c r="H181" i="7"/>
  <c r="G181" i="7"/>
  <c r="F181" i="7"/>
  <c r="E181" i="7"/>
  <c r="D181" i="7"/>
  <c r="C181" i="7"/>
  <c r="B181" i="7"/>
  <c r="A181" i="7"/>
  <c r="T180" i="7"/>
  <c r="Q180" i="7"/>
  <c r="O180" i="7"/>
  <c r="N180" i="7"/>
  <c r="M180" i="7"/>
  <c r="I180" i="7"/>
  <c r="H180" i="7"/>
  <c r="G180" i="7"/>
  <c r="F180" i="7"/>
  <c r="P180" i="7" s="1"/>
  <c r="E180" i="7"/>
  <c r="D180" i="7"/>
  <c r="C180" i="7"/>
  <c r="B180" i="7"/>
  <c r="A180" i="7"/>
  <c r="Q179" i="7"/>
  <c r="T179" i="7" s="1"/>
  <c r="P179" i="7"/>
  <c r="N179" i="7"/>
  <c r="M179" i="7"/>
  <c r="L179" i="7"/>
  <c r="I179" i="7"/>
  <c r="H179" i="7"/>
  <c r="G179" i="7"/>
  <c r="F179" i="7"/>
  <c r="E179" i="7"/>
  <c r="D179" i="7"/>
  <c r="C179" i="7"/>
  <c r="O179" i="7" s="1"/>
  <c r="B179" i="7"/>
  <c r="A179" i="7"/>
  <c r="Q178" i="7"/>
  <c r="T178" i="7" s="1"/>
  <c r="O178" i="7"/>
  <c r="N178" i="7"/>
  <c r="K178" i="7"/>
  <c r="I178" i="7"/>
  <c r="H178" i="7"/>
  <c r="G178" i="7"/>
  <c r="F178" i="7"/>
  <c r="E178" i="7"/>
  <c r="D178" i="7"/>
  <c r="C178" i="7"/>
  <c r="B178" i="7"/>
  <c r="A178" i="7"/>
  <c r="Q177" i="7"/>
  <c r="T177" i="7" s="1"/>
  <c r="P177" i="7"/>
  <c r="O177" i="7"/>
  <c r="M177" i="7"/>
  <c r="L177" i="7"/>
  <c r="K177" i="7"/>
  <c r="I177" i="7"/>
  <c r="H177" i="7"/>
  <c r="G177" i="7"/>
  <c r="F177" i="7"/>
  <c r="E177" i="7"/>
  <c r="D177" i="7"/>
  <c r="C177" i="7"/>
  <c r="B177" i="7"/>
  <c r="A177" i="7"/>
  <c r="P176" i="7"/>
  <c r="L176" i="7"/>
  <c r="K176" i="7"/>
  <c r="J176" i="7"/>
  <c r="I176" i="7"/>
  <c r="Q176" i="7" s="1"/>
  <c r="T176" i="7" s="1"/>
  <c r="H176" i="7"/>
  <c r="G176" i="7"/>
  <c r="F176" i="7"/>
  <c r="E176" i="7"/>
  <c r="D176" i="7"/>
  <c r="C176" i="7"/>
  <c r="O176" i="7" s="1"/>
  <c r="B176" i="7"/>
  <c r="A176" i="7"/>
  <c r="T175" i="7"/>
  <c r="P175" i="7"/>
  <c r="O175" i="7"/>
  <c r="N175" i="7"/>
  <c r="I175" i="7"/>
  <c r="Q175" i="7" s="1"/>
  <c r="H175" i="7"/>
  <c r="G175" i="7"/>
  <c r="F175" i="7"/>
  <c r="E175" i="7"/>
  <c r="D175" i="7"/>
  <c r="C175" i="7"/>
  <c r="B175" i="7"/>
  <c r="A175" i="7"/>
  <c r="N174" i="7"/>
  <c r="M174" i="7"/>
  <c r="L174" i="7"/>
  <c r="W174" i="7" s="1"/>
  <c r="K174" i="7"/>
  <c r="J174" i="7"/>
  <c r="I174" i="7"/>
  <c r="Q174" i="7" s="1"/>
  <c r="T174" i="7" s="1"/>
  <c r="H174" i="7"/>
  <c r="G174" i="7"/>
  <c r="F174" i="7"/>
  <c r="P174" i="7" s="1"/>
  <c r="E174" i="7"/>
  <c r="D174" i="7"/>
  <c r="C174" i="7"/>
  <c r="O174" i="7" s="1"/>
  <c r="B174" i="7"/>
  <c r="A174" i="7"/>
  <c r="V173" i="7"/>
  <c r="N173" i="7"/>
  <c r="M173" i="7"/>
  <c r="L173" i="7"/>
  <c r="K173" i="7"/>
  <c r="W173" i="7" s="1"/>
  <c r="J173" i="7"/>
  <c r="I173" i="7"/>
  <c r="Q173" i="7" s="1"/>
  <c r="T173" i="7" s="1"/>
  <c r="H173" i="7"/>
  <c r="G173" i="7"/>
  <c r="F173" i="7"/>
  <c r="P173" i="7" s="1"/>
  <c r="E173" i="7"/>
  <c r="D173" i="7"/>
  <c r="C173" i="7"/>
  <c r="O173" i="7" s="1"/>
  <c r="B173" i="7"/>
  <c r="A173" i="7"/>
  <c r="Q172" i="7"/>
  <c r="T172" i="7" s="1"/>
  <c r="L172" i="7"/>
  <c r="K172" i="7"/>
  <c r="J172" i="7"/>
  <c r="I172" i="7"/>
  <c r="H172" i="7"/>
  <c r="G172" i="7"/>
  <c r="F172" i="7"/>
  <c r="E172" i="7"/>
  <c r="D172" i="7"/>
  <c r="M172" i="7" s="1"/>
  <c r="C172" i="7"/>
  <c r="O172" i="7" s="1"/>
  <c r="B172" i="7"/>
  <c r="A172" i="7"/>
  <c r="P171" i="7"/>
  <c r="K171" i="7"/>
  <c r="J171" i="7"/>
  <c r="I171" i="7"/>
  <c r="Q171" i="7" s="1"/>
  <c r="T171" i="7" s="1"/>
  <c r="H171" i="7"/>
  <c r="G171" i="7"/>
  <c r="F171" i="7"/>
  <c r="E171" i="7"/>
  <c r="D171" i="7"/>
  <c r="L171" i="7" s="1"/>
  <c r="C171" i="7"/>
  <c r="O171" i="7" s="1"/>
  <c r="B171" i="7"/>
  <c r="A171" i="7"/>
  <c r="Q170" i="7"/>
  <c r="T170" i="7" s="1"/>
  <c r="I170" i="7"/>
  <c r="H170" i="7"/>
  <c r="G170" i="7"/>
  <c r="F170" i="7"/>
  <c r="P170" i="7" s="1"/>
  <c r="E170" i="7"/>
  <c r="D170" i="7"/>
  <c r="C170" i="7"/>
  <c r="B170" i="7"/>
  <c r="A170" i="7"/>
  <c r="O169" i="7"/>
  <c r="N169" i="7"/>
  <c r="I169" i="7"/>
  <c r="Q169" i="7" s="1"/>
  <c r="T169" i="7" s="1"/>
  <c r="H169" i="7"/>
  <c r="G169" i="7"/>
  <c r="F169" i="7"/>
  <c r="P169" i="7" s="1"/>
  <c r="E169" i="7"/>
  <c r="D169" i="7"/>
  <c r="C169" i="7"/>
  <c r="B169" i="7"/>
  <c r="A169" i="7"/>
  <c r="T168" i="7"/>
  <c r="Q168" i="7"/>
  <c r="P168" i="7"/>
  <c r="O168" i="7"/>
  <c r="I168" i="7"/>
  <c r="H168" i="7"/>
  <c r="G168" i="7"/>
  <c r="F168" i="7"/>
  <c r="E168" i="7"/>
  <c r="D168" i="7"/>
  <c r="C168" i="7"/>
  <c r="B168" i="7"/>
  <c r="A168" i="7"/>
  <c r="Q167" i="7"/>
  <c r="T167" i="7" s="1"/>
  <c r="O167" i="7"/>
  <c r="I167" i="7"/>
  <c r="H167" i="7"/>
  <c r="G167" i="7"/>
  <c r="F167" i="7"/>
  <c r="P167" i="7" s="1"/>
  <c r="E167" i="7"/>
  <c r="D167" i="7"/>
  <c r="C167" i="7"/>
  <c r="B167" i="7"/>
  <c r="A167" i="7"/>
  <c r="Q166" i="7"/>
  <c r="T166" i="7" s="1"/>
  <c r="P166" i="7"/>
  <c r="O166" i="7"/>
  <c r="M166" i="7"/>
  <c r="L166" i="7"/>
  <c r="K166" i="7"/>
  <c r="I166" i="7"/>
  <c r="H166" i="7"/>
  <c r="G166" i="7"/>
  <c r="F166" i="7"/>
  <c r="E166" i="7"/>
  <c r="D166" i="7"/>
  <c r="C166" i="7"/>
  <c r="N166" i="7" s="1"/>
  <c r="B166" i="7"/>
  <c r="A166" i="7"/>
  <c r="W165" i="7"/>
  <c r="V165" i="7"/>
  <c r="Q165" i="7"/>
  <c r="T165" i="7" s="1"/>
  <c r="N165" i="7"/>
  <c r="M165" i="7"/>
  <c r="L165" i="7"/>
  <c r="K165" i="7"/>
  <c r="J165" i="7"/>
  <c r="I165" i="7"/>
  <c r="H165" i="7"/>
  <c r="G165" i="7"/>
  <c r="F165" i="7"/>
  <c r="P165" i="7" s="1"/>
  <c r="E165" i="7"/>
  <c r="D165" i="7"/>
  <c r="C165" i="7"/>
  <c r="O165" i="7" s="1"/>
  <c r="B165" i="7"/>
  <c r="A165" i="7"/>
  <c r="Q164" i="7"/>
  <c r="T164" i="7" s="1"/>
  <c r="N164" i="7"/>
  <c r="M164" i="7"/>
  <c r="I164" i="7"/>
  <c r="H164" i="7"/>
  <c r="G164" i="7"/>
  <c r="F164" i="7"/>
  <c r="E164" i="7"/>
  <c r="P164" i="7" s="1"/>
  <c r="D164" i="7"/>
  <c r="C164" i="7"/>
  <c r="O164" i="7" s="1"/>
  <c r="B164" i="7"/>
  <c r="A164" i="7"/>
  <c r="P163" i="7"/>
  <c r="N163" i="7"/>
  <c r="M163" i="7"/>
  <c r="K163" i="7"/>
  <c r="J163" i="7"/>
  <c r="I163" i="7"/>
  <c r="Q163" i="7" s="1"/>
  <c r="T163" i="7" s="1"/>
  <c r="H163" i="7"/>
  <c r="G163" i="7"/>
  <c r="F163" i="7"/>
  <c r="E163" i="7"/>
  <c r="D163" i="7"/>
  <c r="C163" i="7"/>
  <c r="O163" i="7" s="1"/>
  <c r="B163" i="7"/>
  <c r="A163" i="7"/>
  <c r="V162" i="7"/>
  <c r="N162" i="7"/>
  <c r="M162" i="7"/>
  <c r="L162" i="7"/>
  <c r="K162" i="7"/>
  <c r="W162" i="7" s="1"/>
  <c r="J162" i="7"/>
  <c r="I162" i="7"/>
  <c r="Q162" i="7" s="1"/>
  <c r="T162" i="7" s="1"/>
  <c r="H162" i="7"/>
  <c r="G162" i="7"/>
  <c r="F162" i="7"/>
  <c r="P162" i="7" s="1"/>
  <c r="E162" i="7"/>
  <c r="D162" i="7"/>
  <c r="C162" i="7"/>
  <c r="O162" i="7" s="1"/>
  <c r="B162" i="7"/>
  <c r="A162" i="7"/>
  <c r="Q161" i="7"/>
  <c r="T161" i="7" s="1"/>
  <c r="N161" i="7"/>
  <c r="M161" i="7"/>
  <c r="L161" i="7"/>
  <c r="K161" i="7"/>
  <c r="J161" i="7"/>
  <c r="I161" i="7"/>
  <c r="H161" i="7"/>
  <c r="G161" i="7"/>
  <c r="F161" i="7"/>
  <c r="P161" i="7" s="1"/>
  <c r="E161" i="7"/>
  <c r="D161" i="7"/>
  <c r="C161" i="7"/>
  <c r="O161" i="7" s="1"/>
  <c r="B161" i="7"/>
  <c r="A161" i="7"/>
  <c r="Q160" i="7"/>
  <c r="T160" i="7" s="1"/>
  <c r="M160" i="7"/>
  <c r="L160" i="7"/>
  <c r="K160" i="7"/>
  <c r="J160" i="7"/>
  <c r="I160" i="7"/>
  <c r="H160" i="7"/>
  <c r="G160" i="7"/>
  <c r="F160" i="7"/>
  <c r="E160" i="7"/>
  <c r="P160" i="7" s="1"/>
  <c r="D160" i="7"/>
  <c r="C160" i="7"/>
  <c r="O160" i="7" s="1"/>
  <c r="B160" i="7"/>
  <c r="A160" i="7"/>
  <c r="P159" i="7"/>
  <c r="O159" i="7"/>
  <c r="L159" i="7"/>
  <c r="K159" i="7"/>
  <c r="J159" i="7"/>
  <c r="I159" i="7"/>
  <c r="Q159" i="7" s="1"/>
  <c r="T159" i="7" s="1"/>
  <c r="H159" i="7"/>
  <c r="G159" i="7"/>
  <c r="F159" i="7"/>
  <c r="E159" i="7"/>
  <c r="D159" i="7"/>
  <c r="C159" i="7"/>
  <c r="B159" i="7"/>
  <c r="A159" i="7"/>
  <c r="O158" i="7"/>
  <c r="N158" i="7"/>
  <c r="K158" i="7"/>
  <c r="J158" i="7"/>
  <c r="I158" i="7"/>
  <c r="Q158" i="7" s="1"/>
  <c r="T158" i="7" s="1"/>
  <c r="H158" i="7"/>
  <c r="G158" i="7"/>
  <c r="F158" i="7"/>
  <c r="P158" i="7" s="1"/>
  <c r="E158" i="7"/>
  <c r="D158" i="7"/>
  <c r="C158" i="7"/>
  <c r="B158" i="7"/>
  <c r="A158" i="7"/>
  <c r="Q157" i="7"/>
  <c r="T157" i="7" s="1"/>
  <c r="P157" i="7"/>
  <c r="O157" i="7"/>
  <c r="I157" i="7"/>
  <c r="H157" i="7"/>
  <c r="G157" i="7"/>
  <c r="F157" i="7"/>
  <c r="E157" i="7"/>
  <c r="D157" i="7"/>
  <c r="C157" i="7"/>
  <c r="B157" i="7"/>
  <c r="A157" i="7"/>
  <c r="P156" i="7"/>
  <c r="O156" i="7"/>
  <c r="N156" i="7"/>
  <c r="M156" i="7"/>
  <c r="L156" i="7"/>
  <c r="I156" i="7"/>
  <c r="Q156" i="7" s="1"/>
  <c r="T156" i="7" s="1"/>
  <c r="H156" i="7"/>
  <c r="G156" i="7"/>
  <c r="F156" i="7"/>
  <c r="E156" i="7"/>
  <c r="D156" i="7"/>
  <c r="C156" i="7"/>
  <c r="B156" i="7"/>
  <c r="A156" i="7"/>
  <c r="Q155" i="7"/>
  <c r="T155" i="7" s="1"/>
  <c r="O155" i="7"/>
  <c r="N155" i="7"/>
  <c r="K155" i="7"/>
  <c r="I155" i="7"/>
  <c r="H155" i="7"/>
  <c r="G155" i="7"/>
  <c r="F155" i="7"/>
  <c r="E155" i="7"/>
  <c r="D155" i="7"/>
  <c r="C155" i="7"/>
  <c r="B155" i="7"/>
  <c r="A155" i="7"/>
  <c r="Q154" i="7"/>
  <c r="T154" i="7" s="1"/>
  <c r="N154" i="7"/>
  <c r="M154" i="7"/>
  <c r="I154" i="7"/>
  <c r="H154" i="7"/>
  <c r="G154" i="7"/>
  <c r="F154" i="7"/>
  <c r="E154" i="7"/>
  <c r="D154" i="7"/>
  <c r="C154" i="7"/>
  <c r="O154" i="7" s="1"/>
  <c r="B154" i="7"/>
  <c r="A154" i="7"/>
  <c r="Q153" i="7"/>
  <c r="T153" i="7" s="1"/>
  <c r="P153" i="7"/>
  <c r="N153" i="7"/>
  <c r="L153" i="7"/>
  <c r="K153" i="7"/>
  <c r="J153" i="7"/>
  <c r="I153" i="7"/>
  <c r="H153" i="7"/>
  <c r="G153" i="7"/>
  <c r="F153" i="7"/>
  <c r="E153" i="7"/>
  <c r="D153" i="7"/>
  <c r="C153" i="7"/>
  <c r="O153" i="7" s="1"/>
  <c r="B153" i="7"/>
  <c r="A153" i="7"/>
  <c r="W152" i="7"/>
  <c r="V152" i="7"/>
  <c r="P152" i="7"/>
  <c r="N152" i="7"/>
  <c r="M152" i="7"/>
  <c r="L152" i="7"/>
  <c r="K152" i="7"/>
  <c r="I152" i="7"/>
  <c r="Q152" i="7" s="1"/>
  <c r="T152" i="7" s="1"/>
  <c r="H152" i="7"/>
  <c r="J152" i="7" s="1"/>
  <c r="G152" i="7"/>
  <c r="F152" i="7"/>
  <c r="E152" i="7"/>
  <c r="D152" i="7"/>
  <c r="C152" i="7"/>
  <c r="O152" i="7" s="1"/>
  <c r="B152" i="7"/>
  <c r="A152" i="7"/>
  <c r="T151" i="7"/>
  <c r="P151" i="7"/>
  <c r="K151" i="7"/>
  <c r="J151" i="7"/>
  <c r="I151" i="7"/>
  <c r="Q151" i="7" s="1"/>
  <c r="H151" i="7"/>
  <c r="G151" i="7"/>
  <c r="F151" i="7"/>
  <c r="E151" i="7"/>
  <c r="D151" i="7"/>
  <c r="C151" i="7"/>
  <c r="O151" i="7" s="1"/>
  <c r="B151" i="7"/>
  <c r="A151" i="7"/>
  <c r="T150" i="7"/>
  <c r="N150" i="7"/>
  <c r="M150" i="7"/>
  <c r="I150" i="7"/>
  <c r="Q150" i="7" s="1"/>
  <c r="H150" i="7"/>
  <c r="G150" i="7"/>
  <c r="F150" i="7"/>
  <c r="P150" i="7" s="1"/>
  <c r="E150" i="7"/>
  <c r="D150" i="7"/>
  <c r="C150" i="7"/>
  <c r="O150" i="7" s="1"/>
  <c r="B150" i="7"/>
  <c r="A150" i="7"/>
  <c r="Q149" i="7"/>
  <c r="T149" i="7" s="1"/>
  <c r="N149" i="7"/>
  <c r="M149" i="7"/>
  <c r="L149" i="7"/>
  <c r="K149" i="7"/>
  <c r="J149" i="7"/>
  <c r="I149" i="7"/>
  <c r="H149" i="7"/>
  <c r="G149" i="7"/>
  <c r="F149" i="7"/>
  <c r="E149" i="7"/>
  <c r="D149" i="7"/>
  <c r="C149" i="7"/>
  <c r="O149" i="7" s="1"/>
  <c r="B149" i="7"/>
  <c r="A149" i="7"/>
  <c r="P148" i="7"/>
  <c r="M148" i="7"/>
  <c r="L148" i="7"/>
  <c r="K148" i="7"/>
  <c r="I148" i="7"/>
  <c r="Q148" i="7" s="1"/>
  <c r="T148" i="7" s="1"/>
  <c r="H148" i="7"/>
  <c r="J148" i="7" s="1"/>
  <c r="G148" i="7"/>
  <c r="F148" i="7"/>
  <c r="E148" i="7"/>
  <c r="D148" i="7"/>
  <c r="C148" i="7"/>
  <c r="O148" i="7" s="1"/>
  <c r="B148" i="7"/>
  <c r="A148" i="7"/>
  <c r="O147" i="7"/>
  <c r="K147" i="7"/>
  <c r="J147" i="7"/>
  <c r="I147" i="7"/>
  <c r="Q147" i="7" s="1"/>
  <c r="T147" i="7" s="1"/>
  <c r="H147" i="7"/>
  <c r="G147" i="7"/>
  <c r="F147" i="7"/>
  <c r="P147" i="7" s="1"/>
  <c r="E147" i="7"/>
  <c r="D147" i="7"/>
  <c r="L147" i="7" s="1"/>
  <c r="C147" i="7"/>
  <c r="B147" i="7"/>
  <c r="A147" i="7"/>
  <c r="Q146" i="7"/>
  <c r="T146" i="7" s="1"/>
  <c r="O146" i="7"/>
  <c r="I146" i="7"/>
  <c r="H146" i="7"/>
  <c r="G146" i="7"/>
  <c r="F146" i="7"/>
  <c r="E146" i="7"/>
  <c r="P146" i="7" s="1"/>
  <c r="D146" i="7"/>
  <c r="C146" i="7"/>
  <c r="B146" i="7"/>
  <c r="A146" i="7"/>
  <c r="P145" i="7"/>
  <c r="O145" i="7"/>
  <c r="M145" i="7"/>
  <c r="J145" i="7"/>
  <c r="I145" i="7"/>
  <c r="Q145" i="7" s="1"/>
  <c r="T145" i="7" s="1"/>
  <c r="H145" i="7"/>
  <c r="G145" i="7"/>
  <c r="F145" i="7"/>
  <c r="E145" i="7"/>
  <c r="D145" i="7"/>
  <c r="C145" i="7"/>
  <c r="N145" i="7" s="1"/>
  <c r="B145" i="7"/>
  <c r="A145" i="7"/>
  <c r="O144" i="7"/>
  <c r="N144" i="7"/>
  <c r="I144" i="7"/>
  <c r="Q144" i="7" s="1"/>
  <c r="T144" i="7" s="1"/>
  <c r="H144" i="7"/>
  <c r="G144" i="7"/>
  <c r="F144" i="7"/>
  <c r="E144" i="7"/>
  <c r="D144" i="7"/>
  <c r="C144" i="7"/>
  <c r="B144" i="7"/>
  <c r="A144" i="7"/>
  <c r="Q143" i="7"/>
  <c r="T143" i="7" s="1"/>
  <c r="O143" i="7"/>
  <c r="N143" i="7"/>
  <c r="M143" i="7"/>
  <c r="I143" i="7"/>
  <c r="H143" i="7"/>
  <c r="G143" i="7"/>
  <c r="F143" i="7"/>
  <c r="P143" i="7" s="1"/>
  <c r="E143" i="7"/>
  <c r="D143" i="7"/>
  <c r="C143" i="7"/>
  <c r="J143" i="7" s="1"/>
  <c r="B143" i="7"/>
  <c r="A143" i="7"/>
  <c r="Q142" i="7"/>
  <c r="T142" i="7" s="1"/>
  <c r="P142" i="7"/>
  <c r="N142" i="7"/>
  <c r="M142" i="7"/>
  <c r="K142" i="7"/>
  <c r="J142" i="7"/>
  <c r="I142" i="7"/>
  <c r="H142" i="7"/>
  <c r="G142" i="7"/>
  <c r="F142" i="7"/>
  <c r="E142" i="7"/>
  <c r="D142" i="7"/>
  <c r="C142" i="7"/>
  <c r="O142" i="7" s="1"/>
  <c r="B142" i="7"/>
  <c r="A142" i="7"/>
  <c r="V141" i="7"/>
  <c r="N141" i="7"/>
  <c r="M141" i="7"/>
  <c r="L141" i="7"/>
  <c r="W141" i="7" s="1"/>
  <c r="K141" i="7"/>
  <c r="J141" i="7"/>
  <c r="I141" i="7"/>
  <c r="Q141" i="7" s="1"/>
  <c r="T141" i="7" s="1"/>
  <c r="H141" i="7"/>
  <c r="G141" i="7"/>
  <c r="F141" i="7"/>
  <c r="P141" i="7" s="1"/>
  <c r="E141" i="7"/>
  <c r="D141" i="7"/>
  <c r="C141" i="7"/>
  <c r="O141" i="7" s="1"/>
  <c r="B141" i="7"/>
  <c r="A141" i="7"/>
  <c r="Q140" i="7"/>
  <c r="T140" i="7" s="1"/>
  <c r="P140" i="7"/>
  <c r="O140" i="7"/>
  <c r="I140" i="7"/>
  <c r="H140" i="7"/>
  <c r="G140" i="7"/>
  <c r="F140" i="7"/>
  <c r="E140" i="7"/>
  <c r="D140" i="7"/>
  <c r="C140" i="7"/>
  <c r="B140" i="7"/>
  <c r="A140" i="7"/>
  <c r="T139" i="7"/>
  <c r="P139" i="7"/>
  <c r="N139" i="7"/>
  <c r="M139" i="7"/>
  <c r="L139" i="7"/>
  <c r="I139" i="7"/>
  <c r="Q139" i="7" s="1"/>
  <c r="H139" i="7"/>
  <c r="G139" i="7"/>
  <c r="F139" i="7"/>
  <c r="E139" i="7"/>
  <c r="D139" i="7"/>
  <c r="C139" i="7"/>
  <c r="K139" i="7" s="1"/>
  <c r="B139" i="7"/>
  <c r="A139" i="7"/>
  <c r="N138" i="7"/>
  <c r="M138" i="7"/>
  <c r="K138" i="7"/>
  <c r="J138" i="7"/>
  <c r="I138" i="7"/>
  <c r="Q138" i="7" s="1"/>
  <c r="T138" i="7" s="1"/>
  <c r="H138" i="7"/>
  <c r="G138" i="7"/>
  <c r="F138" i="7"/>
  <c r="P138" i="7" s="1"/>
  <c r="E138" i="7"/>
  <c r="D138" i="7"/>
  <c r="C138" i="7"/>
  <c r="O138" i="7" s="1"/>
  <c r="B138" i="7"/>
  <c r="A138" i="7"/>
  <c r="V137" i="7"/>
  <c r="N137" i="7"/>
  <c r="M137" i="7"/>
  <c r="L137" i="7"/>
  <c r="K137" i="7"/>
  <c r="J137" i="7"/>
  <c r="I137" i="7"/>
  <c r="Q137" i="7" s="1"/>
  <c r="T137" i="7" s="1"/>
  <c r="H137" i="7"/>
  <c r="G137" i="7"/>
  <c r="F137" i="7"/>
  <c r="P137" i="7" s="1"/>
  <c r="E137" i="7"/>
  <c r="D137" i="7"/>
  <c r="C137" i="7"/>
  <c r="O137" i="7" s="1"/>
  <c r="B137" i="7"/>
  <c r="A137" i="7"/>
  <c r="Q136" i="7"/>
  <c r="T136" i="7" s="1"/>
  <c r="K136" i="7"/>
  <c r="J136" i="7"/>
  <c r="I136" i="7"/>
  <c r="H136" i="7"/>
  <c r="G136" i="7"/>
  <c r="F136" i="7"/>
  <c r="E136" i="7"/>
  <c r="D136" i="7"/>
  <c r="C136" i="7"/>
  <c r="O136" i="7" s="1"/>
  <c r="B136" i="7"/>
  <c r="A136" i="7"/>
  <c r="T135" i="7"/>
  <c r="Q135" i="7"/>
  <c r="P135" i="7"/>
  <c r="O135" i="7"/>
  <c r="I135" i="7"/>
  <c r="H135" i="7"/>
  <c r="G135" i="7"/>
  <c r="F135" i="7"/>
  <c r="E135" i="7"/>
  <c r="D135" i="7"/>
  <c r="L135" i="7" s="1"/>
  <c r="C135" i="7"/>
  <c r="B135" i="7"/>
  <c r="A135" i="7"/>
  <c r="P134" i="7"/>
  <c r="I134" i="7"/>
  <c r="Q134" i="7" s="1"/>
  <c r="T134" i="7" s="1"/>
  <c r="H134" i="7"/>
  <c r="G134" i="7"/>
  <c r="F134" i="7"/>
  <c r="E134" i="7"/>
  <c r="D134" i="7"/>
  <c r="C134" i="7"/>
  <c r="B134" i="7"/>
  <c r="A134" i="7"/>
  <c r="O133" i="7"/>
  <c r="N133" i="7"/>
  <c r="M133" i="7"/>
  <c r="J133" i="7"/>
  <c r="I133" i="7"/>
  <c r="Q133" i="7" s="1"/>
  <c r="T133" i="7" s="1"/>
  <c r="H133" i="7"/>
  <c r="G133" i="7"/>
  <c r="F133" i="7"/>
  <c r="E133" i="7"/>
  <c r="D133" i="7"/>
  <c r="C133" i="7"/>
  <c r="B133" i="7"/>
  <c r="A133" i="7"/>
  <c r="T132" i="7"/>
  <c r="Q132" i="7"/>
  <c r="P132" i="7"/>
  <c r="O132" i="7"/>
  <c r="N132" i="7"/>
  <c r="I132" i="7"/>
  <c r="H132" i="7"/>
  <c r="G132" i="7"/>
  <c r="F132" i="7"/>
  <c r="E132" i="7"/>
  <c r="D132" i="7"/>
  <c r="C132" i="7"/>
  <c r="B132" i="7"/>
  <c r="A132" i="7"/>
  <c r="W131" i="7"/>
  <c r="Q131" i="7"/>
  <c r="T131" i="7" s="1"/>
  <c r="P131" i="7"/>
  <c r="O131" i="7"/>
  <c r="N131" i="7"/>
  <c r="M131" i="7"/>
  <c r="L131" i="7"/>
  <c r="K131" i="7"/>
  <c r="I131" i="7"/>
  <c r="H131" i="7"/>
  <c r="G131" i="7"/>
  <c r="F131" i="7"/>
  <c r="E131" i="7"/>
  <c r="D131" i="7"/>
  <c r="C131" i="7"/>
  <c r="J131" i="7" s="1"/>
  <c r="B131" i="7"/>
  <c r="A131" i="7"/>
  <c r="Q130" i="7"/>
  <c r="T130" i="7" s="1"/>
  <c r="N130" i="7"/>
  <c r="M130" i="7"/>
  <c r="K130" i="7"/>
  <c r="J130" i="7"/>
  <c r="I130" i="7"/>
  <c r="H130" i="7"/>
  <c r="G130" i="7"/>
  <c r="F130" i="7"/>
  <c r="P130" i="7" s="1"/>
  <c r="E130" i="7"/>
  <c r="L130" i="7" s="1"/>
  <c r="V130" i="7" s="1"/>
  <c r="D130" i="7"/>
  <c r="C130" i="7"/>
  <c r="O130" i="7" s="1"/>
  <c r="B130" i="7"/>
  <c r="A130" i="7"/>
  <c r="Q129" i="7"/>
  <c r="T129" i="7" s="1"/>
  <c r="I129" i="7"/>
  <c r="H129" i="7"/>
  <c r="G129" i="7"/>
  <c r="F129" i="7"/>
  <c r="P129" i="7" s="1"/>
  <c r="E129" i="7"/>
  <c r="D129" i="7"/>
  <c r="C129" i="7"/>
  <c r="B129" i="7"/>
  <c r="A129" i="7"/>
  <c r="Q128" i="7"/>
  <c r="T128" i="7" s="1"/>
  <c r="O128" i="7"/>
  <c r="K128" i="7"/>
  <c r="I128" i="7"/>
  <c r="H128" i="7"/>
  <c r="G128" i="7"/>
  <c r="F128" i="7"/>
  <c r="E128" i="7"/>
  <c r="P128" i="7" s="1"/>
  <c r="D128" i="7"/>
  <c r="C128" i="7"/>
  <c r="B128" i="7"/>
  <c r="A128" i="7"/>
  <c r="P127" i="7"/>
  <c r="N127" i="7"/>
  <c r="M127" i="7"/>
  <c r="K127" i="7"/>
  <c r="J127" i="7"/>
  <c r="I127" i="7"/>
  <c r="Q127" i="7" s="1"/>
  <c r="T127" i="7" s="1"/>
  <c r="H127" i="7"/>
  <c r="G127" i="7"/>
  <c r="F127" i="7"/>
  <c r="E127" i="7"/>
  <c r="D127" i="7"/>
  <c r="C127" i="7"/>
  <c r="O127" i="7" s="1"/>
  <c r="B127" i="7"/>
  <c r="L127" i="7" s="1"/>
  <c r="A127" i="7"/>
  <c r="W126" i="7"/>
  <c r="V126" i="7"/>
  <c r="T126" i="7"/>
  <c r="N126" i="7"/>
  <c r="M126" i="7"/>
  <c r="L126" i="7"/>
  <c r="K126" i="7"/>
  <c r="J126" i="7"/>
  <c r="I126" i="7"/>
  <c r="Q126" i="7" s="1"/>
  <c r="H126" i="7"/>
  <c r="G126" i="7"/>
  <c r="F126" i="7"/>
  <c r="P126" i="7" s="1"/>
  <c r="E126" i="7"/>
  <c r="D126" i="7"/>
  <c r="C126" i="7"/>
  <c r="O126" i="7" s="1"/>
  <c r="B126" i="7"/>
  <c r="A126" i="7"/>
  <c r="Q125" i="7"/>
  <c r="T125" i="7" s="1"/>
  <c r="N125" i="7"/>
  <c r="M125" i="7"/>
  <c r="L125" i="7"/>
  <c r="K125" i="7"/>
  <c r="J125" i="7"/>
  <c r="I125" i="7"/>
  <c r="H125" i="7"/>
  <c r="G125" i="7"/>
  <c r="F125" i="7"/>
  <c r="P125" i="7" s="1"/>
  <c r="E125" i="7"/>
  <c r="D125" i="7"/>
  <c r="C125" i="7"/>
  <c r="O125" i="7" s="1"/>
  <c r="R125" i="7" s="1"/>
  <c r="B125" i="7"/>
  <c r="A125" i="7"/>
  <c r="Q124" i="7"/>
  <c r="T124" i="7" s="1"/>
  <c r="N124" i="7"/>
  <c r="I124" i="7"/>
  <c r="H124" i="7"/>
  <c r="J124" i="7" s="1"/>
  <c r="G124" i="7"/>
  <c r="K124" i="7" s="1"/>
  <c r="F124" i="7"/>
  <c r="P124" i="7" s="1"/>
  <c r="E124" i="7"/>
  <c r="D124" i="7"/>
  <c r="C124" i="7"/>
  <c r="O124" i="7" s="1"/>
  <c r="B124" i="7"/>
  <c r="A124" i="7"/>
  <c r="P123" i="7"/>
  <c r="K123" i="7"/>
  <c r="J123" i="7"/>
  <c r="I123" i="7"/>
  <c r="Q123" i="7" s="1"/>
  <c r="T123" i="7" s="1"/>
  <c r="H123" i="7"/>
  <c r="G123" i="7"/>
  <c r="F123" i="7"/>
  <c r="E123" i="7"/>
  <c r="D123" i="7"/>
  <c r="C123" i="7"/>
  <c r="O123" i="7" s="1"/>
  <c r="B123" i="7"/>
  <c r="A123" i="7"/>
  <c r="O122" i="7"/>
  <c r="N122" i="7"/>
  <c r="K122" i="7"/>
  <c r="J122" i="7"/>
  <c r="I122" i="7"/>
  <c r="Q122" i="7" s="1"/>
  <c r="T122" i="7" s="1"/>
  <c r="H122" i="7"/>
  <c r="G122" i="7"/>
  <c r="F122" i="7"/>
  <c r="P122" i="7" s="1"/>
  <c r="E122" i="7"/>
  <c r="D122" i="7"/>
  <c r="C122" i="7"/>
  <c r="B122" i="7"/>
  <c r="A122" i="7"/>
  <c r="T121" i="7"/>
  <c r="Q121" i="7"/>
  <c r="I121" i="7"/>
  <c r="H121" i="7"/>
  <c r="G121" i="7"/>
  <c r="F121" i="7"/>
  <c r="P121" i="7" s="1"/>
  <c r="E121" i="7"/>
  <c r="D121" i="7"/>
  <c r="C121" i="7"/>
  <c r="B121" i="7"/>
  <c r="A121" i="7"/>
  <c r="Q120" i="7"/>
  <c r="T120" i="7" s="1"/>
  <c r="P120" i="7"/>
  <c r="I120" i="7"/>
  <c r="H120" i="7"/>
  <c r="G120" i="7"/>
  <c r="F120" i="7"/>
  <c r="E120" i="7"/>
  <c r="D120" i="7"/>
  <c r="C120" i="7"/>
  <c r="B120" i="7"/>
  <c r="A120" i="7"/>
  <c r="T119" i="7"/>
  <c r="Q119" i="7"/>
  <c r="O119" i="7"/>
  <c r="N119" i="7"/>
  <c r="M119" i="7"/>
  <c r="L119" i="7"/>
  <c r="K119" i="7"/>
  <c r="I119" i="7"/>
  <c r="H119" i="7"/>
  <c r="G119" i="7"/>
  <c r="F119" i="7"/>
  <c r="E119" i="7"/>
  <c r="D119" i="7"/>
  <c r="C119" i="7"/>
  <c r="J119" i="7" s="1"/>
  <c r="B119" i="7"/>
  <c r="A119" i="7"/>
  <c r="Q118" i="7"/>
  <c r="T118" i="7" s="1"/>
  <c r="P118" i="7"/>
  <c r="I118" i="7"/>
  <c r="H118" i="7"/>
  <c r="G118" i="7"/>
  <c r="F118" i="7"/>
  <c r="E118" i="7"/>
  <c r="D118" i="7"/>
  <c r="C118" i="7"/>
  <c r="B118" i="7"/>
  <c r="A118" i="7"/>
  <c r="T117" i="7"/>
  <c r="Q117" i="7"/>
  <c r="I117" i="7"/>
  <c r="H117" i="7"/>
  <c r="G117" i="7"/>
  <c r="F117" i="7"/>
  <c r="E117" i="7"/>
  <c r="P117" i="7" s="1"/>
  <c r="D117" i="7"/>
  <c r="C117" i="7"/>
  <c r="B117" i="7"/>
  <c r="A117" i="7"/>
  <c r="Q116" i="7"/>
  <c r="T116" i="7" s="1"/>
  <c r="P116" i="7"/>
  <c r="O116" i="7"/>
  <c r="N116" i="7"/>
  <c r="I116" i="7"/>
  <c r="H116" i="7"/>
  <c r="G116" i="7"/>
  <c r="F116" i="7"/>
  <c r="E116" i="7"/>
  <c r="D116" i="7"/>
  <c r="M116" i="7" s="1"/>
  <c r="C116" i="7"/>
  <c r="B116" i="7"/>
  <c r="A116" i="7"/>
  <c r="Q115" i="7"/>
  <c r="T115" i="7" s="1"/>
  <c r="P115" i="7"/>
  <c r="O115" i="7"/>
  <c r="N115" i="7"/>
  <c r="I115" i="7"/>
  <c r="H115" i="7"/>
  <c r="G115" i="7"/>
  <c r="F115" i="7"/>
  <c r="E115" i="7"/>
  <c r="D115" i="7"/>
  <c r="C115" i="7"/>
  <c r="B115" i="7"/>
  <c r="A115" i="7"/>
  <c r="Q114" i="7"/>
  <c r="T114" i="7" s="1"/>
  <c r="M114" i="7"/>
  <c r="L114" i="7"/>
  <c r="K114" i="7"/>
  <c r="I114" i="7"/>
  <c r="H114" i="7"/>
  <c r="G114" i="7"/>
  <c r="F114" i="7"/>
  <c r="P114" i="7" s="1"/>
  <c r="E114" i="7"/>
  <c r="D114" i="7"/>
  <c r="C114" i="7"/>
  <c r="J114" i="7" s="1"/>
  <c r="B114" i="7"/>
  <c r="A114" i="7"/>
  <c r="Q113" i="7"/>
  <c r="T113" i="7" s="1"/>
  <c r="O113" i="7"/>
  <c r="N113" i="7"/>
  <c r="M113" i="7"/>
  <c r="I113" i="7"/>
  <c r="H113" i="7"/>
  <c r="G113" i="7"/>
  <c r="F113" i="7"/>
  <c r="E113" i="7"/>
  <c r="P113" i="7" s="1"/>
  <c r="D113" i="7"/>
  <c r="C113" i="7"/>
  <c r="B113" i="7"/>
  <c r="A113" i="7"/>
  <c r="L17" i="13" s="1"/>
  <c r="P112" i="7"/>
  <c r="N112" i="7"/>
  <c r="M112" i="7"/>
  <c r="L112" i="7"/>
  <c r="K112" i="7"/>
  <c r="J112" i="7"/>
  <c r="I112" i="7"/>
  <c r="Q112" i="7" s="1"/>
  <c r="T112" i="7" s="1"/>
  <c r="H112" i="7"/>
  <c r="G112" i="7"/>
  <c r="F112" i="7"/>
  <c r="E112" i="7"/>
  <c r="D112" i="7"/>
  <c r="C112" i="7"/>
  <c r="O112" i="7" s="1"/>
  <c r="B112" i="7"/>
  <c r="A112" i="7"/>
  <c r="W111" i="7"/>
  <c r="V111" i="7"/>
  <c r="T111" i="7"/>
  <c r="P111" i="7"/>
  <c r="N111" i="7"/>
  <c r="M111" i="7"/>
  <c r="L111" i="7"/>
  <c r="K111" i="7"/>
  <c r="I111" i="7"/>
  <c r="Q111" i="7" s="1"/>
  <c r="H111" i="7"/>
  <c r="J111" i="7" s="1"/>
  <c r="G111" i="7"/>
  <c r="F111" i="7"/>
  <c r="E111" i="7"/>
  <c r="D111" i="7"/>
  <c r="C111" i="7"/>
  <c r="O111" i="7" s="1"/>
  <c r="B111" i="7"/>
  <c r="A111" i="7"/>
  <c r="T110" i="7"/>
  <c r="S110" i="7"/>
  <c r="P110" i="7"/>
  <c r="N110" i="7"/>
  <c r="M110" i="7"/>
  <c r="L110" i="7"/>
  <c r="K110" i="7"/>
  <c r="J110" i="7"/>
  <c r="I110" i="7"/>
  <c r="Q110" i="7" s="1"/>
  <c r="H110" i="7"/>
  <c r="G110" i="7"/>
  <c r="F110" i="7"/>
  <c r="E110" i="7"/>
  <c r="D110" i="7"/>
  <c r="C110" i="7"/>
  <c r="O110" i="7" s="1"/>
  <c r="B110" i="7"/>
  <c r="A110" i="7"/>
  <c r="W109" i="7"/>
  <c r="N109" i="7"/>
  <c r="M109" i="7"/>
  <c r="L109" i="7"/>
  <c r="V109" i="7" s="1"/>
  <c r="K109" i="7"/>
  <c r="J109" i="7"/>
  <c r="I109" i="7"/>
  <c r="Q109" i="7" s="1"/>
  <c r="T109" i="7" s="1"/>
  <c r="H109" i="7"/>
  <c r="G109" i="7"/>
  <c r="F109" i="7"/>
  <c r="P109" i="7" s="1"/>
  <c r="E109" i="7"/>
  <c r="D109" i="7"/>
  <c r="C109" i="7"/>
  <c r="O109" i="7" s="1"/>
  <c r="B109" i="7"/>
  <c r="A109" i="7"/>
  <c r="M108" i="7"/>
  <c r="L108" i="7"/>
  <c r="K108" i="7"/>
  <c r="J108" i="7"/>
  <c r="I108" i="7"/>
  <c r="Q108" i="7" s="1"/>
  <c r="H108" i="7"/>
  <c r="G108" i="7"/>
  <c r="F108" i="7"/>
  <c r="P108" i="7" s="1"/>
  <c r="E108" i="7"/>
  <c r="N108" i="7" s="1"/>
  <c r="V108" i="7" s="1"/>
  <c r="D108" i="7"/>
  <c r="C108" i="7"/>
  <c r="O108" i="7" s="1"/>
  <c r="B108" i="7"/>
  <c r="A108" i="7"/>
  <c r="Q107" i="7"/>
  <c r="T107" i="7" s="1"/>
  <c r="P107" i="7"/>
  <c r="L107" i="7"/>
  <c r="K107" i="7"/>
  <c r="J107" i="7"/>
  <c r="I107" i="7"/>
  <c r="H107" i="7"/>
  <c r="G107" i="7"/>
  <c r="F107" i="7"/>
  <c r="E107" i="7"/>
  <c r="D107" i="7"/>
  <c r="M107" i="7" s="1"/>
  <c r="C107" i="7"/>
  <c r="O107" i="7" s="1"/>
  <c r="B107" i="7"/>
  <c r="A107" i="7"/>
  <c r="P106" i="7"/>
  <c r="O106" i="7"/>
  <c r="K106" i="7"/>
  <c r="J106" i="7"/>
  <c r="I106" i="7"/>
  <c r="Q106" i="7" s="1"/>
  <c r="T106" i="7" s="1"/>
  <c r="H106" i="7"/>
  <c r="G106" i="7"/>
  <c r="F106" i="7"/>
  <c r="E106" i="7"/>
  <c r="D106" i="7"/>
  <c r="C106" i="7"/>
  <c r="B106" i="7"/>
  <c r="A106" i="7"/>
  <c r="I105" i="7"/>
  <c r="Q105" i="7" s="1"/>
  <c r="T105" i="7" s="1"/>
  <c r="H105" i="7"/>
  <c r="G105" i="7"/>
  <c r="F105" i="7"/>
  <c r="E105" i="7"/>
  <c r="D105" i="7"/>
  <c r="C105" i="7"/>
  <c r="B105" i="7"/>
  <c r="A105" i="7"/>
  <c r="P104" i="7"/>
  <c r="N104" i="7"/>
  <c r="M104" i="7"/>
  <c r="I104" i="7"/>
  <c r="Q104" i="7" s="1"/>
  <c r="T104" i="7" s="1"/>
  <c r="H104" i="7"/>
  <c r="G104" i="7"/>
  <c r="F104" i="7"/>
  <c r="E104" i="7"/>
  <c r="D104" i="7"/>
  <c r="C104" i="7"/>
  <c r="O104" i="7" s="1"/>
  <c r="B104" i="7"/>
  <c r="A104" i="7"/>
  <c r="Q103" i="7"/>
  <c r="T103" i="7" s="1"/>
  <c r="I103" i="7"/>
  <c r="H103" i="7"/>
  <c r="G103" i="7"/>
  <c r="F103" i="7"/>
  <c r="P103" i="7" s="1"/>
  <c r="E103" i="7"/>
  <c r="D103" i="7"/>
  <c r="C103" i="7"/>
  <c r="B103" i="7"/>
  <c r="A103" i="7"/>
  <c r="Q102" i="7"/>
  <c r="T102" i="7" s="1"/>
  <c r="P102" i="7"/>
  <c r="O102" i="7"/>
  <c r="M102" i="7"/>
  <c r="L102" i="7"/>
  <c r="K102" i="7"/>
  <c r="I102" i="7"/>
  <c r="H102" i="7"/>
  <c r="G102" i="7"/>
  <c r="F102" i="7"/>
  <c r="E102" i="7"/>
  <c r="D102" i="7"/>
  <c r="C102" i="7"/>
  <c r="J102" i="7" s="1"/>
  <c r="B102" i="7"/>
  <c r="A102" i="7"/>
  <c r="V101" i="7"/>
  <c r="Q101" i="7"/>
  <c r="T101" i="7" s="1"/>
  <c r="N101" i="7"/>
  <c r="M101" i="7"/>
  <c r="L101" i="7"/>
  <c r="K101" i="7"/>
  <c r="J101" i="7"/>
  <c r="I101" i="7"/>
  <c r="H101" i="7"/>
  <c r="G101" i="7"/>
  <c r="F101" i="7"/>
  <c r="E101" i="7"/>
  <c r="P101" i="7" s="1"/>
  <c r="D101" i="7"/>
  <c r="C101" i="7"/>
  <c r="O101" i="7" s="1"/>
  <c r="B101" i="7"/>
  <c r="A101" i="7"/>
  <c r="Q100" i="7"/>
  <c r="T100" i="7" s="1"/>
  <c r="N100" i="7"/>
  <c r="K100" i="7"/>
  <c r="J100" i="7"/>
  <c r="I100" i="7"/>
  <c r="H100" i="7"/>
  <c r="G100" i="7"/>
  <c r="F100" i="7"/>
  <c r="P100" i="7" s="1"/>
  <c r="E100" i="7"/>
  <c r="D100" i="7"/>
  <c r="M100" i="7" s="1"/>
  <c r="C100" i="7"/>
  <c r="O100" i="7" s="1"/>
  <c r="B100" i="7"/>
  <c r="A100" i="7"/>
  <c r="Q99" i="7"/>
  <c r="T99" i="7" s="1"/>
  <c r="O99" i="7"/>
  <c r="N99" i="7"/>
  <c r="I99" i="7"/>
  <c r="H99" i="7"/>
  <c r="G99" i="7"/>
  <c r="F99" i="7"/>
  <c r="E99" i="7"/>
  <c r="D99" i="7"/>
  <c r="C99" i="7"/>
  <c r="B99" i="7"/>
  <c r="A99" i="7"/>
  <c r="P98" i="7"/>
  <c r="N98" i="7"/>
  <c r="L98" i="7"/>
  <c r="K98" i="7"/>
  <c r="J98" i="7"/>
  <c r="I98" i="7"/>
  <c r="Q98" i="7" s="1"/>
  <c r="T98" i="7" s="1"/>
  <c r="H98" i="7"/>
  <c r="G98" i="7"/>
  <c r="F98" i="7"/>
  <c r="E98" i="7"/>
  <c r="D98" i="7"/>
  <c r="C98" i="7"/>
  <c r="O98" i="7" s="1"/>
  <c r="B98" i="7"/>
  <c r="A98" i="7"/>
  <c r="V97" i="7"/>
  <c r="N97" i="7"/>
  <c r="M97" i="7"/>
  <c r="L97" i="7"/>
  <c r="K97" i="7"/>
  <c r="W97" i="7" s="1"/>
  <c r="J97" i="7"/>
  <c r="I97" i="7"/>
  <c r="Q97" i="7" s="1"/>
  <c r="T97" i="7" s="1"/>
  <c r="H97" i="7"/>
  <c r="G97" i="7"/>
  <c r="F97" i="7"/>
  <c r="P97" i="7" s="1"/>
  <c r="E97" i="7"/>
  <c r="D97" i="7"/>
  <c r="C97" i="7"/>
  <c r="O97" i="7" s="1"/>
  <c r="B97" i="7"/>
  <c r="A97" i="7"/>
  <c r="W96" i="7"/>
  <c r="V96" i="7"/>
  <c r="N96" i="7"/>
  <c r="M96" i="7"/>
  <c r="L96" i="7"/>
  <c r="K96" i="7"/>
  <c r="J96" i="7"/>
  <c r="I96" i="7"/>
  <c r="Q96" i="7" s="1"/>
  <c r="T96" i="7" s="1"/>
  <c r="H96" i="7"/>
  <c r="G96" i="7"/>
  <c r="F96" i="7"/>
  <c r="P96" i="7" s="1"/>
  <c r="E96" i="7"/>
  <c r="D96" i="7"/>
  <c r="C96" i="7"/>
  <c r="O96" i="7" s="1"/>
  <c r="B96" i="7"/>
  <c r="A96" i="7"/>
  <c r="Q95" i="7"/>
  <c r="T95" i="7" s="1"/>
  <c r="P95" i="7"/>
  <c r="M95" i="7"/>
  <c r="K95" i="7"/>
  <c r="J95" i="7"/>
  <c r="I95" i="7"/>
  <c r="H95" i="7"/>
  <c r="G95" i="7"/>
  <c r="F95" i="7"/>
  <c r="E95" i="7"/>
  <c r="D95" i="7"/>
  <c r="L95" i="7" s="1"/>
  <c r="C95" i="7"/>
  <c r="O95" i="7" s="1"/>
  <c r="B95" i="7"/>
  <c r="A95" i="7"/>
  <c r="Q94" i="7"/>
  <c r="T94" i="7" s="1"/>
  <c r="P94" i="7"/>
  <c r="L94" i="7"/>
  <c r="K94" i="7"/>
  <c r="J94" i="7"/>
  <c r="I94" i="7"/>
  <c r="H94" i="7"/>
  <c r="G94" i="7"/>
  <c r="F94" i="7"/>
  <c r="E94" i="7"/>
  <c r="D94" i="7"/>
  <c r="C94" i="7"/>
  <c r="O94" i="7" s="1"/>
  <c r="B94" i="7"/>
  <c r="A94" i="7"/>
  <c r="O93" i="7"/>
  <c r="N93" i="7"/>
  <c r="K93" i="7"/>
  <c r="J93" i="7"/>
  <c r="I93" i="7"/>
  <c r="Q93" i="7" s="1"/>
  <c r="T93" i="7" s="1"/>
  <c r="H93" i="7"/>
  <c r="G93" i="7"/>
  <c r="F93" i="7"/>
  <c r="E93" i="7"/>
  <c r="P93" i="7" s="1"/>
  <c r="D93" i="7"/>
  <c r="C93" i="7"/>
  <c r="B93" i="7"/>
  <c r="A93" i="7"/>
  <c r="Q92" i="7"/>
  <c r="T92" i="7" s="1"/>
  <c r="I92" i="7"/>
  <c r="H92" i="7"/>
  <c r="G92" i="7"/>
  <c r="F92" i="7"/>
  <c r="E92" i="7"/>
  <c r="D92" i="7"/>
  <c r="C92" i="7"/>
  <c r="B92" i="7"/>
  <c r="A92" i="7"/>
  <c r="Q91" i="7"/>
  <c r="T91" i="7" s="1"/>
  <c r="P91" i="7"/>
  <c r="N91" i="7"/>
  <c r="M91" i="7"/>
  <c r="L91" i="7"/>
  <c r="I91" i="7"/>
  <c r="H91" i="7"/>
  <c r="G91" i="7"/>
  <c r="F91" i="7"/>
  <c r="E91" i="7"/>
  <c r="D91" i="7"/>
  <c r="C91" i="7"/>
  <c r="O91" i="7" s="1"/>
  <c r="B91" i="7"/>
  <c r="A91" i="7"/>
  <c r="T90" i="7"/>
  <c r="Q90" i="7"/>
  <c r="M90" i="7"/>
  <c r="L90" i="7"/>
  <c r="K90" i="7"/>
  <c r="I90" i="7"/>
  <c r="H90" i="7"/>
  <c r="G90" i="7"/>
  <c r="F90" i="7"/>
  <c r="P90" i="7" s="1"/>
  <c r="E90" i="7"/>
  <c r="D90" i="7"/>
  <c r="C90" i="7"/>
  <c r="J90" i="7" s="1"/>
  <c r="B90" i="7"/>
  <c r="A90" i="7"/>
  <c r="Q89" i="7"/>
  <c r="T89" i="7" s="1"/>
  <c r="P89" i="7"/>
  <c r="I89" i="7"/>
  <c r="H89" i="7"/>
  <c r="G89" i="7"/>
  <c r="F89" i="7"/>
  <c r="E89" i="7"/>
  <c r="D89" i="7"/>
  <c r="C89" i="7"/>
  <c r="B89" i="7"/>
  <c r="A89" i="7"/>
  <c r="Q88" i="7"/>
  <c r="T88" i="7" s="1"/>
  <c r="P88" i="7"/>
  <c r="S30" i="13" s="1"/>
  <c r="I88" i="7"/>
  <c r="H88" i="7"/>
  <c r="G88" i="7"/>
  <c r="F88" i="7"/>
  <c r="E88" i="7"/>
  <c r="D88" i="7"/>
  <c r="C88" i="7"/>
  <c r="K88" i="7" s="1"/>
  <c r="B88" i="7"/>
  <c r="A88" i="7"/>
  <c r="P87" i="7"/>
  <c r="N87" i="7"/>
  <c r="M87" i="7"/>
  <c r="K87" i="7"/>
  <c r="J87" i="7"/>
  <c r="I87" i="7"/>
  <c r="Q87" i="7" s="1"/>
  <c r="T87" i="7" s="1"/>
  <c r="H87" i="7"/>
  <c r="G87" i="7"/>
  <c r="F87" i="7"/>
  <c r="E87" i="7"/>
  <c r="D87" i="7"/>
  <c r="C87" i="7"/>
  <c r="O87" i="7" s="1"/>
  <c r="B87" i="7"/>
  <c r="A87" i="7"/>
  <c r="T86" i="7"/>
  <c r="P86" i="7"/>
  <c r="L86" i="7"/>
  <c r="K86" i="7"/>
  <c r="J86" i="7"/>
  <c r="I86" i="7"/>
  <c r="Q86" i="7" s="1"/>
  <c r="H86" i="7"/>
  <c r="G86" i="7"/>
  <c r="F86" i="7"/>
  <c r="E86" i="7"/>
  <c r="D86" i="7"/>
  <c r="C86" i="7"/>
  <c r="O86" i="7" s="1"/>
  <c r="B86" i="7"/>
  <c r="A86" i="7"/>
  <c r="O85" i="7"/>
  <c r="I85" i="7"/>
  <c r="Q85" i="7" s="1"/>
  <c r="T85" i="7" s="1"/>
  <c r="H85" i="7"/>
  <c r="G85" i="7"/>
  <c r="F85" i="7"/>
  <c r="P85" i="7" s="1"/>
  <c r="E85" i="7"/>
  <c r="D85" i="7"/>
  <c r="C85" i="7"/>
  <c r="B85" i="7"/>
  <c r="A85" i="7"/>
  <c r="T84" i="7"/>
  <c r="Q84" i="7"/>
  <c r="N84" i="7"/>
  <c r="M84" i="7"/>
  <c r="L84" i="7"/>
  <c r="K84" i="7"/>
  <c r="J84" i="7"/>
  <c r="I84" i="7"/>
  <c r="H84" i="7"/>
  <c r="G84" i="7"/>
  <c r="F84" i="7"/>
  <c r="E84" i="7"/>
  <c r="D84" i="7"/>
  <c r="C84" i="7"/>
  <c r="O84" i="7" s="1"/>
  <c r="B84" i="7"/>
  <c r="A84" i="7"/>
  <c r="P83" i="7"/>
  <c r="M83" i="7"/>
  <c r="L83" i="7"/>
  <c r="K83" i="7"/>
  <c r="J83" i="7"/>
  <c r="I83" i="7"/>
  <c r="Q83" i="7" s="1"/>
  <c r="T83" i="7" s="1"/>
  <c r="H83" i="7"/>
  <c r="G83" i="7"/>
  <c r="F83" i="7"/>
  <c r="E83" i="7"/>
  <c r="D83" i="7"/>
  <c r="C83" i="7"/>
  <c r="O83" i="7" s="1"/>
  <c r="B83" i="7"/>
  <c r="A83" i="7"/>
  <c r="L82" i="7"/>
  <c r="K82" i="7"/>
  <c r="J82" i="7"/>
  <c r="I82" i="7"/>
  <c r="Q82" i="7" s="1"/>
  <c r="T82" i="7" s="1"/>
  <c r="H82" i="7"/>
  <c r="G82" i="7"/>
  <c r="F82" i="7"/>
  <c r="P82" i="7" s="1"/>
  <c r="E82" i="7"/>
  <c r="D82" i="7"/>
  <c r="C82" i="7"/>
  <c r="O82" i="7" s="1"/>
  <c r="B82" i="7"/>
  <c r="A82" i="7"/>
  <c r="Q81" i="7"/>
  <c r="T81" i="7" s="1"/>
  <c r="I81" i="7"/>
  <c r="H81" i="7"/>
  <c r="G81" i="7"/>
  <c r="F81" i="7"/>
  <c r="E81" i="7"/>
  <c r="D81" i="7"/>
  <c r="C81" i="7"/>
  <c r="B81" i="7"/>
  <c r="A81" i="7"/>
  <c r="Q80" i="7"/>
  <c r="T80" i="7" s="1"/>
  <c r="O80" i="7"/>
  <c r="N80" i="7"/>
  <c r="M80" i="7"/>
  <c r="I80" i="7"/>
  <c r="H80" i="7"/>
  <c r="G80" i="7"/>
  <c r="F80" i="7"/>
  <c r="E80" i="7"/>
  <c r="P80" i="7" s="1"/>
  <c r="D80" i="7"/>
  <c r="C80" i="7"/>
  <c r="B80" i="7"/>
  <c r="A80" i="7"/>
  <c r="T79" i="7"/>
  <c r="N79" i="7"/>
  <c r="M79" i="7"/>
  <c r="L79" i="7"/>
  <c r="I79" i="7"/>
  <c r="Q79" i="7" s="1"/>
  <c r="H79" i="7"/>
  <c r="G79" i="7"/>
  <c r="F79" i="7"/>
  <c r="P79" i="7" s="1"/>
  <c r="E79" i="7"/>
  <c r="D79" i="7"/>
  <c r="C79" i="7"/>
  <c r="O79" i="7" s="1"/>
  <c r="B79" i="7"/>
  <c r="A79" i="7"/>
  <c r="Q78" i="7"/>
  <c r="T78" i="7" s="1"/>
  <c r="I78" i="7"/>
  <c r="H78" i="7"/>
  <c r="G78" i="7"/>
  <c r="F78" i="7"/>
  <c r="P78" i="7" s="1"/>
  <c r="E78" i="7"/>
  <c r="D78" i="7"/>
  <c r="C78" i="7"/>
  <c r="B78" i="7"/>
  <c r="A78" i="7"/>
  <c r="Q77" i="7"/>
  <c r="T77" i="7" s="1"/>
  <c r="P77" i="7"/>
  <c r="M77" i="7"/>
  <c r="L77" i="7"/>
  <c r="K77" i="7"/>
  <c r="I77" i="7"/>
  <c r="H77" i="7"/>
  <c r="G77" i="7"/>
  <c r="F77" i="7"/>
  <c r="E77" i="7"/>
  <c r="D77" i="7"/>
  <c r="C77" i="7"/>
  <c r="O77" i="7" s="1"/>
  <c r="B77" i="7"/>
  <c r="A77" i="7"/>
  <c r="N76" i="7"/>
  <c r="M76" i="7"/>
  <c r="L76" i="7"/>
  <c r="K76" i="7"/>
  <c r="J76" i="7"/>
  <c r="I76" i="7"/>
  <c r="Q76" i="7" s="1"/>
  <c r="T76" i="7" s="1"/>
  <c r="H76" i="7"/>
  <c r="G76" i="7"/>
  <c r="F76" i="7"/>
  <c r="P76" i="7" s="1"/>
  <c r="E76" i="7"/>
  <c r="D76" i="7"/>
  <c r="C76" i="7"/>
  <c r="O76" i="7" s="1"/>
  <c r="B76" i="7"/>
  <c r="A76" i="7"/>
  <c r="Q75" i="7"/>
  <c r="T75" i="7" s="1"/>
  <c r="K75" i="7"/>
  <c r="J75" i="7"/>
  <c r="I75" i="7"/>
  <c r="H75" i="7"/>
  <c r="G75" i="7"/>
  <c r="F75" i="7"/>
  <c r="E75" i="7"/>
  <c r="P75" i="7" s="1"/>
  <c r="D75" i="7"/>
  <c r="C75" i="7"/>
  <c r="O75" i="7" s="1"/>
  <c r="B75" i="7"/>
  <c r="A75" i="7"/>
  <c r="T74" i="7"/>
  <c r="P74" i="7"/>
  <c r="I74" i="7"/>
  <c r="Q74" i="7" s="1"/>
  <c r="H74" i="7"/>
  <c r="G74" i="7"/>
  <c r="F74" i="7"/>
  <c r="E74" i="7"/>
  <c r="D74" i="7"/>
  <c r="C74" i="7"/>
  <c r="B74" i="7"/>
  <c r="A74" i="7"/>
  <c r="O73" i="7"/>
  <c r="I73" i="7"/>
  <c r="Q73" i="7" s="1"/>
  <c r="T73" i="7" s="1"/>
  <c r="H73" i="7"/>
  <c r="G73" i="7"/>
  <c r="F73" i="7"/>
  <c r="P73" i="7" s="1"/>
  <c r="E73" i="7"/>
  <c r="D73" i="7"/>
  <c r="C73" i="7"/>
  <c r="B73" i="7"/>
  <c r="A73" i="7"/>
  <c r="N72" i="7"/>
  <c r="M72" i="7"/>
  <c r="L72" i="7"/>
  <c r="W72" i="7" s="1"/>
  <c r="K72" i="7"/>
  <c r="J72" i="7"/>
  <c r="I72" i="7"/>
  <c r="Q72" i="7" s="1"/>
  <c r="T72" i="7" s="1"/>
  <c r="H72" i="7"/>
  <c r="G72" i="7"/>
  <c r="F72" i="7"/>
  <c r="P72" i="7" s="1"/>
  <c r="E72" i="7"/>
  <c r="D72" i="7"/>
  <c r="C72" i="7"/>
  <c r="O72" i="7" s="1"/>
  <c r="B72" i="7"/>
  <c r="A72" i="7"/>
  <c r="L71" i="7"/>
  <c r="K71" i="7"/>
  <c r="J71" i="7"/>
  <c r="I71" i="7"/>
  <c r="Q71" i="7" s="1"/>
  <c r="T71" i="7" s="1"/>
  <c r="H71" i="7"/>
  <c r="G71" i="7"/>
  <c r="F71" i="7"/>
  <c r="E71" i="7"/>
  <c r="D71" i="7"/>
  <c r="M71" i="7" s="1"/>
  <c r="C71" i="7"/>
  <c r="O71" i="7" s="1"/>
  <c r="B71" i="7"/>
  <c r="A71" i="7"/>
  <c r="Q70" i="7"/>
  <c r="T70" i="7" s="1"/>
  <c r="P70" i="7"/>
  <c r="I70" i="7"/>
  <c r="H70" i="7"/>
  <c r="G70" i="7"/>
  <c r="F70" i="7"/>
  <c r="E70" i="7"/>
  <c r="D70" i="7"/>
  <c r="C70" i="7"/>
  <c r="B70" i="7"/>
  <c r="A70" i="7"/>
  <c r="Q69" i="7"/>
  <c r="T69" i="7" s="1"/>
  <c r="I69" i="7"/>
  <c r="H69" i="7"/>
  <c r="G69" i="7"/>
  <c r="F69" i="7"/>
  <c r="E69" i="7"/>
  <c r="P69" i="7" s="1"/>
  <c r="D69" i="7"/>
  <c r="C69" i="7"/>
  <c r="O69" i="7" s="1"/>
  <c r="B69" i="7"/>
  <c r="A69" i="7"/>
  <c r="O68" i="7"/>
  <c r="N68" i="7"/>
  <c r="M68" i="7"/>
  <c r="J68" i="7"/>
  <c r="I68" i="7"/>
  <c r="Q68" i="7" s="1"/>
  <c r="T68" i="7" s="1"/>
  <c r="H68" i="7"/>
  <c r="G68" i="7"/>
  <c r="F68" i="7"/>
  <c r="E68" i="7"/>
  <c r="P68" i="7" s="1"/>
  <c r="D68" i="7"/>
  <c r="C68" i="7"/>
  <c r="B68" i="7"/>
  <c r="A68" i="7"/>
  <c r="Q67" i="7"/>
  <c r="T67" i="7" s="1"/>
  <c r="I67" i="7"/>
  <c r="H67" i="7"/>
  <c r="G67" i="7"/>
  <c r="F67" i="7"/>
  <c r="E67" i="7"/>
  <c r="P67" i="7" s="1"/>
  <c r="D67" i="7"/>
  <c r="C67" i="7"/>
  <c r="B67" i="7"/>
  <c r="A67" i="7"/>
  <c r="T66" i="7"/>
  <c r="Q66" i="7"/>
  <c r="O66" i="7"/>
  <c r="N66" i="7"/>
  <c r="I66" i="7"/>
  <c r="H66" i="7"/>
  <c r="G66" i="7"/>
  <c r="F66" i="7"/>
  <c r="P66" i="7" s="1"/>
  <c r="E66" i="7"/>
  <c r="D66" i="7"/>
  <c r="C66" i="7"/>
  <c r="B66" i="7"/>
  <c r="A66" i="7"/>
  <c r="Q65" i="7"/>
  <c r="T65" i="7" s="1"/>
  <c r="N65" i="7"/>
  <c r="M65" i="7"/>
  <c r="I65" i="7"/>
  <c r="H65" i="7"/>
  <c r="G65" i="7"/>
  <c r="F65" i="7"/>
  <c r="P65" i="7" s="1"/>
  <c r="E65" i="7"/>
  <c r="D65" i="7"/>
  <c r="C65" i="7"/>
  <c r="O65" i="7" s="1"/>
  <c r="B65" i="7"/>
  <c r="A65" i="7"/>
  <c r="Q64" i="7"/>
  <c r="T64" i="7" s="1"/>
  <c r="P64" i="7"/>
  <c r="N64" i="7"/>
  <c r="M64" i="7"/>
  <c r="L64" i="7"/>
  <c r="I64" i="7"/>
  <c r="H64" i="7"/>
  <c r="G64" i="7"/>
  <c r="F64" i="7"/>
  <c r="E64" i="7"/>
  <c r="D64" i="7"/>
  <c r="C64" i="7"/>
  <c r="K64" i="7" s="1"/>
  <c r="B64" i="7"/>
  <c r="A64" i="7"/>
  <c r="Q63" i="7"/>
  <c r="T63" i="7" s="1"/>
  <c r="P63" i="7"/>
  <c r="O63" i="7"/>
  <c r="I63" i="7"/>
  <c r="H63" i="7"/>
  <c r="G63" i="7"/>
  <c r="F63" i="7"/>
  <c r="E63" i="7"/>
  <c r="D63" i="7"/>
  <c r="C63" i="7"/>
  <c r="B63" i="7"/>
  <c r="A63" i="7"/>
  <c r="Q62" i="7"/>
  <c r="T62" i="7" s="1"/>
  <c r="P62" i="7"/>
  <c r="N62" i="7"/>
  <c r="L62" i="7"/>
  <c r="K62" i="7"/>
  <c r="J62" i="7"/>
  <c r="I62" i="7"/>
  <c r="H62" i="7"/>
  <c r="G62" i="7"/>
  <c r="F62" i="7"/>
  <c r="E62" i="7"/>
  <c r="D62" i="7"/>
  <c r="C62" i="7"/>
  <c r="O62" i="7" s="1"/>
  <c r="B62" i="7"/>
  <c r="A62" i="7"/>
  <c r="P61" i="7"/>
  <c r="N61" i="7"/>
  <c r="M61" i="7"/>
  <c r="K61" i="7"/>
  <c r="J61" i="7"/>
  <c r="I61" i="7"/>
  <c r="Q61" i="7" s="1"/>
  <c r="T61" i="7" s="1"/>
  <c r="H61" i="7"/>
  <c r="G61" i="7"/>
  <c r="F61" i="7"/>
  <c r="E61" i="7"/>
  <c r="D61" i="7"/>
  <c r="C61" i="7"/>
  <c r="O61" i="7" s="1"/>
  <c r="B61" i="7"/>
  <c r="A61" i="7"/>
  <c r="V60" i="7"/>
  <c r="N60" i="7"/>
  <c r="M60" i="7"/>
  <c r="L60" i="7"/>
  <c r="W60" i="7" s="1"/>
  <c r="K60" i="7"/>
  <c r="J60" i="7"/>
  <c r="I60" i="7"/>
  <c r="Q60" i="7" s="1"/>
  <c r="T60" i="7" s="1"/>
  <c r="H60" i="7"/>
  <c r="G60" i="7"/>
  <c r="F60" i="7"/>
  <c r="P60" i="7" s="1"/>
  <c r="E60" i="7"/>
  <c r="D60" i="7"/>
  <c r="C60" i="7"/>
  <c r="O60" i="7" s="1"/>
  <c r="B60" i="7"/>
  <c r="A60" i="7"/>
  <c r="W59" i="7"/>
  <c r="T59" i="7"/>
  <c r="N59" i="7"/>
  <c r="M59" i="7"/>
  <c r="L59" i="7"/>
  <c r="V59" i="7" s="1"/>
  <c r="K59" i="7"/>
  <c r="S59" i="7" s="1"/>
  <c r="J59" i="7"/>
  <c r="R59" i="7" s="1"/>
  <c r="I59" i="7"/>
  <c r="Q59" i="7" s="1"/>
  <c r="H59" i="7"/>
  <c r="G59" i="7"/>
  <c r="F59" i="7"/>
  <c r="E59" i="7"/>
  <c r="P59" i="7" s="1"/>
  <c r="D59" i="7"/>
  <c r="C59" i="7"/>
  <c r="O59" i="7" s="1"/>
  <c r="B59" i="7"/>
  <c r="A59" i="7"/>
  <c r="T58" i="7"/>
  <c r="M58" i="7"/>
  <c r="L58" i="7"/>
  <c r="K58" i="7"/>
  <c r="J58" i="7"/>
  <c r="I58" i="7"/>
  <c r="Q58" i="7" s="1"/>
  <c r="H58" i="7"/>
  <c r="G58" i="7"/>
  <c r="F58" i="7"/>
  <c r="P58" i="7" s="1"/>
  <c r="E58" i="7"/>
  <c r="D58" i="7"/>
  <c r="C58" i="7"/>
  <c r="O58" i="7" s="1"/>
  <c r="B58" i="7"/>
  <c r="A58" i="7"/>
  <c r="L57" i="7"/>
  <c r="K57" i="7"/>
  <c r="J57" i="7"/>
  <c r="I57" i="7"/>
  <c r="Q57" i="7" s="1"/>
  <c r="T57" i="7" s="1"/>
  <c r="H57" i="7"/>
  <c r="G57" i="7"/>
  <c r="F57" i="7"/>
  <c r="P57" i="7" s="1"/>
  <c r="E57" i="7"/>
  <c r="D57" i="7"/>
  <c r="C57" i="7"/>
  <c r="O57" i="7" s="1"/>
  <c r="B57" i="7"/>
  <c r="A57" i="7"/>
  <c r="Q56" i="7"/>
  <c r="T56" i="7" s="1"/>
  <c r="P56" i="7"/>
  <c r="N56" i="7"/>
  <c r="K56" i="7"/>
  <c r="J56" i="7"/>
  <c r="I56" i="7"/>
  <c r="H56" i="7"/>
  <c r="G56" i="7"/>
  <c r="F56" i="7"/>
  <c r="E56" i="7"/>
  <c r="D56" i="7"/>
  <c r="M56" i="7" s="1"/>
  <c r="C56" i="7"/>
  <c r="O56" i="7" s="1"/>
  <c r="B56" i="7"/>
  <c r="A56" i="7"/>
  <c r="Q55" i="7"/>
  <c r="T55" i="7" s="1"/>
  <c r="I55" i="7"/>
  <c r="H55" i="7"/>
  <c r="G55" i="7"/>
  <c r="F55" i="7"/>
  <c r="E55" i="7"/>
  <c r="P55" i="7" s="1"/>
  <c r="D55" i="7"/>
  <c r="C55" i="7"/>
  <c r="B55" i="7"/>
  <c r="A55" i="7"/>
  <c r="T54" i="7"/>
  <c r="Q54" i="7"/>
  <c r="I54" i="7"/>
  <c r="H54" i="7"/>
  <c r="G54" i="7"/>
  <c r="F54" i="7"/>
  <c r="P54" i="7" s="1"/>
  <c r="E54" i="7"/>
  <c r="D54" i="7"/>
  <c r="C54" i="7"/>
  <c r="B54" i="7"/>
  <c r="A54" i="7"/>
  <c r="Q53" i="7"/>
  <c r="T53" i="7" s="1"/>
  <c r="O53" i="7"/>
  <c r="N53" i="7"/>
  <c r="I53" i="7"/>
  <c r="H53" i="7"/>
  <c r="G53" i="7"/>
  <c r="F53" i="7"/>
  <c r="E53" i="7"/>
  <c r="M53" i="7" s="1"/>
  <c r="D53" i="7"/>
  <c r="C53" i="7"/>
  <c r="B53" i="7"/>
  <c r="A53" i="7"/>
  <c r="Q52" i="7"/>
  <c r="T52" i="7" s="1"/>
  <c r="P52" i="7"/>
  <c r="N52" i="7"/>
  <c r="M52" i="7"/>
  <c r="L52" i="7"/>
  <c r="I52" i="7"/>
  <c r="H52" i="7"/>
  <c r="G52" i="7"/>
  <c r="F52" i="7"/>
  <c r="E52" i="7"/>
  <c r="D52" i="7"/>
  <c r="C52" i="7"/>
  <c r="K52" i="7" s="1"/>
  <c r="B52" i="7"/>
  <c r="A52" i="7"/>
  <c r="Q51" i="7"/>
  <c r="T51" i="7" s="1"/>
  <c r="P51" i="7"/>
  <c r="O51" i="7"/>
  <c r="M51" i="7"/>
  <c r="L51" i="7"/>
  <c r="K51" i="7"/>
  <c r="I51" i="7"/>
  <c r="H51" i="7"/>
  <c r="G51" i="7"/>
  <c r="F51" i="7"/>
  <c r="E51" i="7"/>
  <c r="D51" i="7"/>
  <c r="C51" i="7"/>
  <c r="B51" i="7"/>
  <c r="A51" i="7"/>
  <c r="Q50" i="7"/>
  <c r="T50" i="7" s="1"/>
  <c r="P50" i="7"/>
  <c r="N50" i="7"/>
  <c r="L50" i="7"/>
  <c r="K50" i="7"/>
  <c r="J50" i="7"/>
  <c r="I50" i="7"/>
  <c r="H50" i="7"/>
  <c r="G50" i="7"/>
  <c r="F50" i="7"/>
  <c r="E50" i="7"/>
  <c r="D50" i="7"/>
  <c r="C50" i="7"/>
  <c r="O50" i="7" s="1"/>
  <c r="B50" i="7"/>
  <c r="A50" i="7"/>
  <c r="P49" i="7"/>
  <c r="N49" i="7"/>
  <c r="M49" i="7"/>
  <c r="K49" i="7"/>
  <c r="J49" i="7"/>
  <c r="I49" i="7"/>
  <c r="Q49" i="7" s="1"/>
  <c r="T49" i="7" s="1"/>
  <c r="H49" i="7"/>
  <c r="G49" i="7"/>
  <c r="F49" i="7"/>
  <c r="E49" i="7"/>
  <c r="D49" i="7"/>
  <c r="C49" i="7"/>
  <c r="O49" i="7" s="1"/>
  <c r="B49" i="7"/>
  <c r="A49" i="7"/>
  <c r="V48" i="7"/>
  <c r="T48" i="7"/>
  <c r="N48" i="7"/>
  <c r="M48" i="7"/>
  <c r="L48" i="7"/>
  <c r="W48" i="7" s="1"/>
  <c r="J48" i="7"/>
  <c r="I48" i="7"/>
  <c r="Q48" i="7" s="1"/>
  <c r="H48" i="7"/>
  <c r="G48" i="7"/>
  <c r="F48" i="7"/>
  <c r="P48" i="7" s="1"/>
  <c r="E48" i="7"/>
  <c r="D48" i="7"/>
  <c r="C48" i="7"/>
  <c r="O48" i="7" s="1"/>
  <c r="B48" i="7"/>
  <c r="A48" i="7"/>
  <c r="W47" i="7"/>
  <c r="N47" i="7"/>
  <c r="M47" i="7"/>
  <c r="L47" i="7"/>
  <c r="V47" i="7" s="1"/>
  <c r="K47" i="7"/>
  <c r="J47" i="7"/>
  <c r="I47" i="7"/>
  <c r="Q47" i="7" s="1"/>
  <c r="T47" i="7" s="1"/>
  <c r="H47" i="7"/>
  <c r="G47" i="7"/>
  <c r="F47" i="7"/>
  <c r="E47" i="7"/>
  <c r="P47" i="7" s="1"/>
  <c r="D47" i="7"/>
  <c r="C47" i="7"/>
  <c r="O47" i="7" s="1"/>
  <c r="B47" i="7"/>
  <c r="A47" i="7"/>
  <c r="W46" i="7"/>
  <c r="V46" i="7"/>
  <c r="T46" i="7"/>
  <c r="M46" i="7"/>
  <c r="L46" i="7"/>
  <c r="K46" i="7"/>
  <c r="J46" i="7"/>
  <c r="I46" i="7"/>
  <c r="Q46" i="7" s="1"/>
  <c r="H46" i="7"/>
  <c r="G46" i="7"/>
  <c r="F46" i="7"/>
  <c r="P46" i="7" s="1"/>
  <c r="E46" i="7"/>
  <c r="D46" i="7"/>
  <c r="C46" i="7"/>
  <c r="O46" i="7" s="1"/>
  <c r="B46" i="7"/>
  <c r="A46" i="7"/>
  <c r="L45" i="7"/>
  <c r="K45" i="7"/>
  <c r="J45" i="7"/>
  <c r="I45" i="7"/>
  <c r="Q45" i="7" s="1"/>
  <c r="T45" i="7" s="1"/>
  <c r="H45" i="7"/>
  <c r="G45" i="7"/>
  <c r="F45" i="7"/>
  <c r="E45" i="7"/>
  <c r="D45" i="7"/>
  <c r="C45" i="7"/>
  <c r="O45" i="7" s="1"/>
  <c r="B45" i="7"/>
  <c r="A45" i="7"/>
  <c r="P44" i="7"/>
  <c r="K44" i="7"/>
  <c r="J44" i="7"/>
  <c r="I44" i="7"/>
  <c r="Q44" i="7" s="1"/>
  <c r="T44" i="7" s="1"/>
  <c r="H44" i="7"/>
  <c r="G44" i="7"/>
  <c r="F44" i="7"/>
  <c r="E44" i="7"/>
  <c r="D44" i="7"/>
  <c r="M44" i="7" s="1"/>
  <c r="C44" i="7"/>
  <c r="O44" i="7" s="1"/>
  <c r="B44" i="7"/>
  <c r="A44" i="7"/>
  <c r="Q43" i="7"/>
  <c r="T43" i="7" s="1"/>
  <c r="P43" i="7"/>
  <c r="O43" i="7"/>
  <c r="I43" i="7"/>
  <c r="H43" i="7"/>
  <c r="G43" i="7"/>
  <c r="F43" i="7"/>
  <c r="E43" i="7"/>
  <c r="D43" i="7"/>
  <c r="C43" i="7"/>
  <c r="B43" i="7"/>
  <c r="A43" i="7"/>
  <c r="P42" i="7"/>
  <c r="I42" i="7"/>
  <c r="Q42" i="7" s="1"/>
  <c r="T42" i="7" s="1"/>
  <c r="H42" i="7"/>
  <c r="G42" i="7"/>
  <c r="F42" i="7"/>
  <c r="E42" i="7"/>
  <c r="D42" i="7"/>
  <c r="C42" i="7"/>
  <c r="B42" i="7"/>
  <c r="A42" i="7"/>
  <c r="Q41" i="7"/>
  <c r="T41" i="7" s="1"/>
  <c r="I41" i="7"/>
  <c r="H41" i="7"/>
  <c r="G41" i="7"/>
  <c r="F41" i="7"/>
  <c r="E41" i="7"/>
  <c r="D41" i="7"/>
  <c r="C41" i="7"/>
  <c r="B41" i="7"/>
  <c r="A41" i="7"/>
  <c r="Q40" i="7"/>
  <c r="T40" i="7" s="1"/>
  <c r="N40" i="7"/>
  <c r="I40" i="7"/>
  <c r="H40" i="7"/>
  <c r="G40" i="7"/>
  <c r="F40" i="7"/>
  <c r="E40" i="7"/>
  <c r="P40" i="7" s="1"/>
  <c r="D40" i="7"/>
  <c r="C40" i="7"/>
  <c r="K40" i="7" s="1"/>
  <c r="B40" i="7"/>
  <c r="A40" i="7"/>
  <c r="Q39" i="7"/>
  <c r="T39" i="7" s="1"/>
  <c r="P39" i="7"/>
  <c r="O39" i="7"/>
  <c r="M39" i="7"/>
  <c r="L39" i="7"/>
  <c r="K39" i="7"/>
  <c r="I39" i="7"/>
  <c r="H39" i="7"/>
  <c r="G39" i="7"/>
  <c r="F39" i="7"/>
  <c r="E39" i="7"/>
  <c r="D39" i="7"/>
  <c r="C39" i="7"/>
  <c r="B39" i="7"/>
  <c r="A39" i="7"/>
  <c r="Q38" i="7"/>
  <c r="T38" i="7" s="1"/>
  <c r="P38" i="7"/>
  <c r="I38" i="7"/>
  <c r="H38" i="7"/>
  <c r="G38" i="7"/>
  <c r="F38" i="7"/>
  <c r="E38" i="7"/>
  <c r="D38" i="7"/>
  <c r="C38" i="7"/>
  <c r="B38" i="7"/>
  <c r="A38" i="7"/>
  <c r="P37" i="7"/>
  <c r="N37" i="7"/>
  <c r="M37" i="7"/>
  <c r="K37" i="7"/>
  <c r="J37" i="7"/>
  <c r="I37" i="7"/>
  <c r="Q37" i="7" s="1"/>
  <c r="T37" i="7" s="1"/>
  <c r="H37" i="7"/>
  <c r="G37" i="7"/>
  <c r="F37" i="7"/>
  <c r="E37" i="7"/>
  <c r="D37" i="7"/>
  <c r="C37" i="7"/>
  <c r="O37" i="7" s="1"/>
  <c r="B37" i="7"/>
  <c r="A37" i="7"/>
  <c r="T36" i="7"/>
  <c r="N36" i="7"/>
  <c r="M36" i="7"/>
  <c r="L36" i="7"/>
  <c r="J36" i="7"/>
  <c r="I36" i="7"/>
  <c r="Q36" i="7" s="1"/>
  <c r="H36" i="7"/>
  <c r="G36" i="7"/>
  <c r="F36" i="7"/>
  <c r="P36" i="7" s="1"/>
  <c r="E36" i="7"/>
  <c r="D36" i="7"/>
  <c r="C36" i="7"/>
  <c r="O36" i="7" s="1"/>
  <c r="B36" i="7"/>
  <c r="A36" i="7"/>
  <c r="W35" i="7"/>
  <c r="N35" i="7"/>
  <c r="M35" i="7"/>
  <c r="L35" i="7"/>
  <c r="V35" i="7" s="1"/>
  <c r="K35" i="7"/>
  <c r="J35" i="7"/>
  <c r="I35" i="7"/>
  <c r="Q35" i="7" s="1"/>
  <c r="T35" i="7" s="1"/>
  <c r="H35" i="7"/>
  <c r="G35" i="7"/>
  <c r="F35" i="7"/>
  <c r="E35" i="7"/>
  <c r="P35" i="7" s="1"/>
  <c r="D35" i="7"/>
  <c r="C35" i="7"/>
  <c r="O35" i="7" s="1"/>
  <c r="B35" i="7"/>
  <c r="A35" i="7"/>
  <c r="T34" i="7"/>
  <c r="M34" i="7"/>
  <c r="L34" i="7"/>
  <c r="K34" i="7"/>
  <c r="J34" i="7"/>
  <c r="I34" i="7"/>
  <c r="Q34" i="7" s="1"/>
  <c r="H34" i="7"/>
  <c r="G34" i="7"/>
  <c r="F34" i="7"/>
  <c r="P34" i="7" s="1"/>
  <c r="E34" i="7"/>
  <c r="D34" i="7"/>
  <c r="C34" i="7"/>
  <c r="O34" i="7" s="1"/>
  <c r="B34" i="7"/>
  <c r="A34" i="7"/>
  <c r="L33" i="7"/>
  <c r="K33" i="7"/>
  <c r="J33" i="7"/>
  <c r="I33" i="7"/>
  <c r="Q33" i="7" s="1"/>
  <c r="T33" i="7" s="1"/>
  <c r="H33" i="7"/>
  <c r="G33" i="7"/>
  <c r="F33" i="7"/>
  <c r="P33" i="7" s="1"/>
  <c r="E33" i="7"/>
  <c r="D33" i="7"/>
  <c r="C33" i="7"/>
  <c r="O33" i="7" s="1"/>
  <c r="B33" i="7"/>
  <c r="A33" i="7"/>
  <c r="Q32" i="7"/>
  <c r="T32" i="7" s="1"/>
  <c r="P32" i="7"/>
  <c r="N32" i="7"/>
  <c r="K32" i="7"/>
  <c r="J32" i="7"/>
  <c r="I32" i="7"/>
  <c r="H32" i="7"/>
  <c r="G32" i="7"/>
  <c r="F32" i="7"/>
  <c r="E32" i="7"/>
  <c r="D32" i="7"/>
  <c r="M32" i="7" s="1"/>
  <c r="C32" i="7"/>
  <c r="O32" i="7" s="1"/>
  <c r="B32" i="7"/>
  <c r="A32" i="7"/>
  <c r="I31" i="7"/>
  <c r="Q31" i="7" s="1"/>
  <c r="T31" i="7" s="1"/>
  <c r="H31" i="7"/>
  <c r="G31" i="7"/>
  <c r="F31" i="7"/>
  <c r="E31" i="7"/>
  <c r="P31" i="7" s="1"/>
  <c r="D31" i="7"/>
  <c r="C31" i="7"/>
  <c r="B31" i="7"/>
  <c r="A31" i="7"/>
  <c r="O30" i="7"/>
  <c r="N30" i="7"/>
  <c r="I30" i="7"/>
  <c r="Q30" i="7" s="1"/>
  <c r="T30" i="7" s="1"/>
  <c r="H30" i="7"/>
  <c r="G30" i="7"/>
  <c r="F30" i="7"/>
  <c r="P30" i="7" s="1"/>
  <c r="E30" i="7"/>
  <c r="D30" i="7"/>
  <c r="C30" i="7"/>
  <c r="B30" i="7"/>
  <c r="A30" i="7"/>
  <c r="Q29" i="7"/>
  <c r="T29" i="7" s="1"/>
  <c r="O29" i="7"/>
  <c r="N29" i="7"/>
  <c r="M29" i="7"/>
  <c r="I29" i="7"/>
  <c r="H29" i="7"/>
  <c r="G29" i="7"/>
  <c r="F29" i="7"/>
  <c r="E29" i="7"/>
  <c r="D29" i="7"/>
  <c r="C29" i="7"/>
  <c r="B29" i="7"/>
  <c r="A29" i="7"/>
  <c r="Q28" i="7"/>
  <c r="T28" i="7" s="1"/>
  <c r="P28" i="7"/>
  <c r="N28" i="7"/>
  <c r="M28" i="7"/>
  <c r="I28" i="7"/>
  <c r="H28" i="7"/>
  <c r="G28" i="7"/>
  <c r="F28" i="7"/>
  <c r="E28" i="7"/>
  <c r="D28" i="7"/>
  <c r="L28" i="7" s="1"/>
  <c r="C28" i="7"/>
  <c r="K28" i="7" s="1"/>
  <c r="B28" i="7"/>
  <c r="A28" i="7"/>
  <c r="Q27" i="7"/>
  <c r="T27" i="7" s="1"/>
  <c r="I27" i="7"/>
  <c r="H27" i="7"/>
  <c r="G27" i="7"/>
  <c r="F27" i="7"/>
  <c r="E27" i="7"/>
  <c r="P27" i="7" s="1"/>
  <c r="D27" i="7"/>
  <c r="C27" i="7"/>
  <c r="B27" i="7"/>
  <c r="A27" i="7"/>
  <c r="Q26" i="7"/>
  <c r="T26" i="7" s="1"/>
  <c r="P26" i="7"/>
  <c r="N26" i="7"/>
  <c r="L26" i="7"/>
  <c r="K26" i="7"/>
  <c r="J26" i="7"/>
  <c r="I26" i="7"/>
  <c r="H26" i="7"/>
  <c r="G26" i="7"/>
  <c r="F26" i="7"/>
  <c r="E26" i="7"/>
  <c r="D26" i="7"/>
  <c r="C26" i="7"/>
  <c r="M26" i="7" s="1"/>
  <c r="B26" i="7"/>
  <c r="A26" i="7"/>
  <c r="P25" i="7"/>
  <c r="I25" i="7"/>
  <c r="Q25" i="7" s="1"/>
  <c r="T25" i="7" s="1"/>
  <c r="H25" i="7"/>
  <c r="G25" i="7"/>
  <c r="F25" i="7"/>
  <c r="E25" i="7"/>
  <c r="D25" i="7"/>
  <c r="C25" i="7"/>
  <c r="B25" i="7"/>
  <c r="A25" i="7"/>
  <c r="N24" i="7"/>
  <c r="M24" i="7"/>
  <c r="L24" i="7"/>
  <c r="J24" i="7"/>
  <c r="I24" i="7"/>
  <c r="Q24" i="7" s="1"/>
  <c r="T24" i="7" s="1"/>
  <c r="H24" i="7"/>
  <c r="G24" i="7"/>
  <c r="F24" i="7"/>
  <c r="P24" i="7" s="1"/>
  <c r="E24" i="7"/>
  <c r="D24" i="7"/>
  <c r="C24" i="7"/>
  <c r="O24" i="7" s="1"/>
  <c r="B24" i="7"/>
  <c r="A24" i="7"/>
  <c r="T23" i="7"/>
  <c r="N23" i="7"/>
  <c r="M23" i="7"/>
  <c r="W23" i="7" s="1"/>
  <c r="L23" i="7"/>
  <c r="K23" i="7"/>
  <c r="J23" i="7"/>
  <c r="I23" i="7"/>
  <c r="Q23" i="7" s="1"/>
  <c r="H23" i="7"/>
  <c r="G23" i="7"/>
  <c r="F23" i="7"/>
  <c r="E23" i="7"/>
  <c r="P23" i="7" s="1"/>
  <c r="D23" i="7"/>
  <c r="C23" i="7"/>
  <c r="O23" i="7" s="1"/>
  <c r="B23" i="7"/>
  <c r="A23" i="7"/>
  <c r="M22" i="7"/>
  <c r="L22" i="7"/>
  <c r="I22" i="7"/>
  <c r="Q22" i="7" s="1"/>
  <c r="T22" i="7" s="1"/>
  <c r="H22" i="7"/>
  <c r="J22" i="7" s="1"/>
  <c r="G22" i="7"/>
  <c r="K22" i="7" s="1"/>
  <c r="F22" i="7"/>
  <c r="P22" i="7" s="1"/>
  <c r="E22" i="7"/>
  <c r="D22" i="7"/>
  <c r="C22" i="7"/>
  <c r="O22" i="7" s="1"/>
  <c r="B22" i="7"/>
  <c r="A22" i="7"/>
  <c r="Q21" i="7"/>
  <c r="T21" i="7" s="1"/>
  <c r="L21" i="7"/>
  <c r="K21" i="7"/>
  <c r="J21" i="7"/>
  <c r="I21" i="7"/>
  <c r="H21" i="7"/>
  <c r="G21" i="7"/>
  <c r="F21" i="7"/>
  <c r="E21" i="7"/>
  <c r="D21" i="7"/>
  <c r="C21" i="7"/>
  <c r="O21" i="7" s="1"/>
  <c r="B21" i="7"/>
  <c r="A21" i="7"/>
  <c r="P20" i="7"/>
  <c r="N20" i="7"/>
  <c r="K20" i="7"/>
  <c r="J20" i="7"/>
  <c r="I20" i="7"/>
  <c r="Q20" i="7" s="1"/>
  <c r="T20" i="7" s="1"/>
  <c r="H20" i="7"/>
  <c r="G20" i="7"/>
  <c r="F20" i="7"/>
  <c r="E20" i="7"/>
  <c r="D20" i="7"/>
  <c r="M20" i="7" s="1"/>
  <c r="C20" i="7"/>
  <c r="O20" i="7" s="1"/>
  <c r="B20" i="7"/>
  <c r="A20" i="7"/>
  <c r="Q19" i="7"/>
  <c r="T19" i="7" s="1"/>
  <c r="P19" i="7"/>
  <c r="O19" i="7"/>
  <c r="I19" i="7"/>
  <c r="H19" i="7"/>
  <c r="G19" i="7"/>
  <c r="F19" i="7"/>
  <c r="E19" i="7"/>
  <c r="D19" i="7"/>
  <c r="C19" i="7"/>
  <c r="B19" i="7"/>
  <c r="A19" i="7"/>
  <c r="T18" i="7"/>
  <c r="I18" i="7"/>
  <c r="Q18" i="7" s="1"/>
  <c r="H18" i="7"/>
  <c r="G18" i="7"/>
  <c r="F18" i="7"/>
  <c r="P18" i="7" s="1"/>
  <c r="E18" i="7"/>
  <c r="D18" i="7"/>
  <c r="C18" i="7"/>
  <c r="B18" i="7"/>
  <c r="A18" i="7"/>
  <c r="Q17" i="7"/>
  <c r="T17" i="7" s="1"/>
  <c r="O17" i="7"/>
  <c r="M17" i="7"/>
  <c r="I17" i="7"/>
  <c r="H17" i="7"/>
  <c r="G17" i="7"/>
  <c r="F17" i="7"/>
  <c r="E17" i="7"/>
  <c r="N17" i="7" s="1"/>
  <c r="D17" i="7"/>
  <c r="C17" i="7"/>
  <c r="B17" i="7"/>
  <c r="A17" i="7"/>
  <c r="Q16" i="7"/>
  <c r="T16" i="7" s="1"/>
  <c r="P16" i="7"/>
  <c r="N16" i="7"/>
  <c r="M16" i="7"/>
  <c r="L16" i="7"/>
  <c r="I16" i="7"/>
  <c r="H16" i="7"/>
  <c r="G16" i="7"/>
  <c r="F16" i="7"/>
  <c r="E16" i="7"/>
  <c r="D16" i="7"/>
  <c r="C16" i="7"/>
  <c r="K16" i="7" s="1"/>
  <c r="B16" i="7"/>
  <c r="A16" i="7"/>
  <c r="Q15" i="7"/>
  <c r="T15" i="7" s="1"/>
  <c r="P15" i="7"/>
  <c r="O15" i="7"/>
  <c r="M15" i="7"/>
  <c r="L15" i="7"/>
  <c r="I15" i="7"/>
  <c r="H15" i="7"/>
  <c r="G15" i="7"/>
  <c r="F15" i="7"/>
  <c r="E15" i="7"/>
  <c r="D15" i="7"/>
  <c r="C15" i="7"/>
  <c r="B15" i="7"/>
  <c r="A15" i="7"/>
  <c r="Q14" i="7"/>
  <c r="T14" i="7" s="1"/>
  <c r="P14" i="7"/>
  <c r="O14" i="7"/>
  <c r="N14" i="7"/>
  <c r="L14" i="7"/>
  <c r="K14" i="7"/>
  <c r="J14" i="7"/>
  <c r="I14" i="7"/>
  <c r="H14" i="7"/>
  <c r="G14" i="7"/>
  <c r="F14" i="7"/>
  <c r="E14" i="7"/>
  <c r="D14" i="7"/>
  <c r="C14" i="7"/>
  <c r="B14" i="7"/>
  <c r="A14" i="7"/>
  <c r="P13" i="7"/>
  <c r="K13" i="7"/>
  <c r="I13" i="7"/>
  <c r="Q13" i="7" s="1"/>
  <c r="T13" i="7" s="1"/>
  <c r="H13" i="7"/>
  <c r="G13" i="7"/>
  <c r="F13" i="7"/>
  <c r="E13" i="7"/>
  <c r="D13" i="7"/>
  <c r="C13" i="7"/>
  <c r="O13" i="7" s="1"/>
  <c r="B13" i="7"/>
  <c r="A13" i="7"/>
  <c r="V12" i="7"/>
  <c r="N12" i="7"/>
  <c r="M12" i="7"/>
  <c r="L12" i="7"/>
  <c r="J12" i="7"/>
  <c r="I12" i="7"/>
  <c r="Q12" i="7" s="1"/>
  <c r="T12" i="7" s="1"/>
  <c r="H12" i="7"/>
  <c r="G12" i="7"/>
  <c r="F12" i="7"/>
  <c r="P12" i="7" s="1"/>
  <c r="E12" i="7"/>
  <c r="D12" i="7"/>
  <c r="C12" i="7"/>
  <c r="O12" i="7" s="1"/>
  <c r="B12" i="7"/>
  <c r="A12" i="7"/>
  <c r="N11" i="7"/>
  <c r="M11" i="7"/>
  <c r="P10" i="13" s="1"/>
  <c r="L11" i="7"/>
  <c r="K11" i="7"/>
  <c r="I11" i="7"/>
  <c r="H11" i="7"/>
  <c r="G11" i="7"/>
  <c r="F11" i="7"/>
  <c r="E11" i="7"/>
  <c r="P11" i="7" s="1"/>
  <c r="D11" i="7"/>
  <c r="C11" i="7"/>
  <c r="O11" i="7" s="1"/>
  <c r="B11" i="7"/>
  <c r="A11" i="7"/>
  <c r="T10" i="7"/>
  <c r="W34" i="13" s="1"/>
  <c r="M10" i="7"/>
  <c r="L10" i="7"/>
  <c r="K10" i="7"/>
  <c r="J10" i="7"/>
  <c r="I10" i="7"/>
  <c r="Q10" i="7" s="1"/>
  <c r="H10" i="7"/>
  <c r="G10" i="7"/>
  <c r="F10" i="7"/>
  <c r="P10" i="7" s="1"/>
  <c r="S34" i="13" s="1"/>
  <c r="E10" i="7"/>
  <c r="D10" i="7"/>
  <c r="C10" i="7"/>
  <c r="O10" i="7" s="1"/>
  <c r="R34" i="13" s="1"/>
  <c r="B10" i="7"/>
  <c r="A10" i="7"/>
  <c r="V9" i="7"/>
  <c r="K9" i="7"/>
  <c r="N16" i="13" s="1"/>
  <c r="J9" i="7"/>
  <c r="I9" i="7"/>
  <c r="H9" i="7"/>
  <c r="G9" i="7"/>
  <c r="J16" i="13" s="1"/>
  <c r="F9" i="7"/>
  <c r="P9" i="7" s="1"/>
  <c r="E9" i="7"/>
  <c r="L9" i="7" s="1"/>
  <c r="D9" i="7"/>
  <c r="C9" i="7"/>
  <c r="O9" i="7" s="1"/>
  <c r="B9" i="7"/>
  <c r="A9" i="7"/>
  <c r="Q8" i="7"/>
  <c r="T8" i="7" s="1"/>
  <c r="P8" i="7"/>
  <c r="N8" i="7"/>
  <c r="K8" i="7"/>
  <c r="J8" i="7"/>
  <c r="I8" i="7"/>
  <c r="H8" i="7"/>
  <c r="G8" i="7"/>
  <c r="F8" i="7"/>
  <c r="E8" i="7"/>
  <c r="D8" i="7"/>
  <c r="M8" i="7" s="1"/>
  <c r="C8" i="7"/>
  <c r="O8" i="7" s="1"/>
  <c r="B8" i="7"/>
  <c r="A8" i="7"/>
  <c r="Q7" i="7"/>
  <c r="T7" i="7" s="1"/>
  <c r="W22" i="13" s="1"/>
  <c r="O7" i="7"/>
  <c r="I7" i="7"/>
  <c r="H7" i="7"/>
  <c r="K22" i="13" s="1"/>
  <c r="G7" i="7"/>
  <c r="J22" i="13" s="1"/>
  <c r="F7" i="7"/>
  <c r="E7" i="7"/>
  <c r="P7" i="7" s="1"/>
  <c r="D7" i="7"/>
  <c r="C7" i="7"/>
  <c r="B7" i="7"/>
  <c r="A7" i="7"/>
  <c r="P6" i="7"/>
  <c r="O6" i="7"/>
  <c r="N6" i="7"/>
  <c r="I6" i="7"/>
  <c r="Q6" i="7" s="1"/>
  <c r="H6" i="7"/>
  <c r="G6" i="7"/>
  <c r="F6" i="7"/>
  <c r="E6" i="7"/>
  <c r="D6" i="7"/>
  <c r="C6" i="7"/>
  <c r="B6" i="7"/>
  <c r="A6" i="7"/>
  <c r="Q5" i="7"/>
  <c r="P5" i="7"/>
  <c r="O5" i="7"/>
  <c r="N5" i="7"/>
  <c r="M5" i="7"/>
  <c r="L5" i="7"/>
  <c r="K5" i="7"/>
  <c r="J5" i="7"/>
  <c r="J4" i="7"/>
  <c r="B52" i="6"/>
  <c r="Q4" i="7" s="1"/>
  <c r="B51" i="6"/>
  <c r="P4" i="7" s="1"/>
  <c r="B50" i="6"/>
  <c r="O4" i="7" s="1"/>
  <c r="B49" i="6"/>
  <c r="B48" i="6"/>
  <c r="B47" i="6"/>
  <c r="B46" i="6"/>
  <c r="B45" i="6"/>
  <c r="A15" i="6"/>
  <c r="A14" i="6"/>
  <c r="C23" i="1"/>
  <c r="T60" i="13"/>
  <c r="W60" i="13" s="1"/>
  <c r="S60" i="13"/>
  <c r="R60" i="13"/>
  <c r="Q60" i="13"/>
  <c r="P60" i="13"/>
  <c r="O60" i="13"/>
  <c r="N60" i="13"/>
  <c r="M60" i="13"/>
  <c r="W59" i="13"/>
  <c r="U59" i="13"/>
  <c r="T59" i="13"/>
  <c r="S59" i="13"/>
  <c r="R59" i="13"/>
  <c r="Q59" i="13"/>
  <c r="P59" i="13"/>
  <c r="O59" i="13"/>
  <c r="N59" i="13"/>
  <c r="M59" i="13"/>
  <c r="W58" i="13"/>
  <c r="T58" i="13"/>
  <c r="S58" i="13"/>
  <c r="R58" i="13"/>
  <c r="Q58" i="13"/>
  <c r="P58" i="13"/>
  <c r="O58" i="13"/>
  <c r="N58" i="13"/>
  <c r="M58" i="13"/>
  <c r="W57" i="13"/>
  <c r="T57" i="13"/>
  <c r="S57" i="13"/>
  <c r="R57" i="13"/>
  <c r="Q57" i="13"/>
  <c r="P57" i="13"/>
  <c r="O57" i="13"/>
  <c r="N57" i="13"/>
  <c r="M57" i="13"/>
  <c r="W56" i="13"/>
  <c r="T56" i="13"/>
  <c r="S56" i="13"/>
  <c r="R56" i="13"/>
  <c r="Q56" i="13"/>
  <c r="P56" i="13"/>
  <c r="O56" i="13"/>
  <c r="N56" i="13"/>
  <c r="M56" i="13"/>
  <c r="R55" i="13"/>
  <c r="F53" i="13"/>
  <c r="F52" i="13"/>
  <c r="K49" i="13"/>
  <c r="T48" i="13"/>
  <c r="W48" i="13" s="1"/>
  <c r="S48" i="13"/>
  <c r="R48" i="13"/>
  <c r="Q48" i="13"/>
  <c r="P48" i="13"/>
  <c r="O48" i="13"/>
  <c r="N48" i="13"/>
  <c r="M48" i="13"/>
  <c r="T47" i="13"/>
  <c r="W47" i="13" s="1"/>
  <c r="S47" i="13"/>
  <c r="R47" i="13"/>
  <c r="Q47" i="13"/>
  <c r="P47" i="13"/>
  <c r="O47" i="13"/>
  <c r="N47" i="13"/>
  <c r="M47" i="13"/>
  <c r="V45" i="13"/>
  <c r="T45" i="13"/>
  <c r="W45" i="13" s="1"/>
  <c r="S45" i="13"/>
  <c r="R45" i="13"/>
  <c r="Q45" i="13"/>
  <c r="P45" i="13"/>
  <c r="O45" i="13"/>
  <c r="N45" i="13"/>
  <c r="M45" i="13"/>
  <c r="W44" i="13"/>
  <c r="T44" i="13"/>
  <c r="S44" i="13"/>
  <c r="R44" i="13"/>
  <c r="Q44" i="13"/>
  <c r="P44" i="13"/>
  <c r="O44" i="13"/>
  <c r="N44" i="13"/>
  <c r="M44" i="13"/>
  <c r="V44" i="13" s="1"/>
  <c r="K43" i="13"/>
  <c r="J43" i="13"/>
  <c r="S42" i="13"/>
  <c r="E42" i="13"/>
  <c r="T41" i="13"/>
  <c r="W41" i="13" s="1"/>
  <c r="S41" i="13"/>
  <c r="R41" i="13"/>
  <c r="Q41" i="13"/>
  <c r="P41" i="13"/>
  <c r="O41" i="13"/>
  <c r="N41" i="13"/>
  <c r="M41" i="13"/>
  <c r="W40" i="13"/>
  <c r="T40" i="13"/>
  <c r="S40" i="13"/>
  <c r="R40" i="13"/>
  <c r="Q40" i="13"/>
  <c r="P40" i="13"/>
  <c r="O40" i="13"/>
  <c r="N40" i="13"/>
  <c r="M40" i="13"/>
  <c r="F39" i="13"/>
  <c r="W37" i="13"/>
  <c r="K37" i="13"/>
  <c r="W36" i="13"/>
  <c r="T36" i="13"/>
  <c r="S36" i="13"/>
  <c r="V36" i="13" s="1"/>
  <c r="R36" i="13"/>
  <c r="Q36" i="13"/>
  <c r="P36" i="13"/>
  <c r="O36" i="13"/>
  <c r="N36" i="13"/>
  <c r="M36" i="13"/>
  <c r="J35" i="13"/>
  <c r="T34" i="13"/>
  <c r="P34" i="13"/>
  <c r="O34" i="13"/>
  <c r="N34" i="13"/>
  <c r="M34" i="13"/>
  <c r="L34" i="13"/>
  <c r="K34" i="13"/>
  <c r="J34" i="13"/>
  <c r="H34" i="13"/>
  <c r="G34" i="13"/>
  <c r="F34" i="13"/>
  <c r="E34" i="13"/>
  <c r="T33" i="13"/>
  <c r="W33" i="13" s="1"/>
  <c r="S33" i="13"/>
  <c r="R33" i="13"/>
  <c r="Q33" i="13"/>
  <c r="P33" i="13"/>
  <c r="O33" i="13"/>
  <c r="N33" i="13"/>
  <c r="M33" i="13"/>
  <c r="W32" i="13"/>
  <c r="T32" i="13"/>
  <c r="S32" i="13"/>
  <c r="R32" i="13"/>
  <c r="Q32" i="13"/>
  <c r="P32" i="13"/>
  <c r="O32" i="13"/>
  <c r="N32" i="13"/>
  <c r="M32" i="13"/>
  <c r="T31" i="13"/>
  <c r="W31" i="13" s="1"/>
  <c r="S31" i="13"/>
  <c r="R31" i="13"/>
  <c r="Q31" i="13"/>
  <c r="P31" i="13"/>
  <c r="O31" i="13"/>
  <c r="N31" i="13"/>
  <c r="M31" i="13"/>
  <c r="G30" i="13"/>
  <c r="N29" i="13"/>
  <c r="F29" i="13"/>
  <c r="W28" i="13"/>
  <c r="W27" i="13"/>
  <c r="T27" i="13"/>
  <c r="U27" i="13" s="1"/>
  <c r="S27" i="13"/>
  <c r="R27" i="13"/>
  <c r="Q27" i="13"/>
  <c r="P27" i="13"/>
  <c r="V27" i="13" s="1"/>
  <c r="O27" i="13"/>
  <c r="N27" i="13"/>
  <c r="M27" i="13"/>
  <c r="W26" i="13"/>
  <c r="T26" i="13"/>
  <c r="S26" i="13"/>
  <c r="R26" i="13"/>
  <c r="Q26" i="13"/>
  <c r="P26" i="13"/>
  <c r="O26" i="13"/>
  <c r="N26" i="13"/>
  <c r="M26" i="13"/>
  <c r="V26" i="13" s="1"/>
  <c r="W25" i="13"/>
  <c r="T25" i="13"/>
  <c r="S25" i="13"/>
  <c r="R25" i="13"/>
  <c r="Q25" i="13"/>
  <c r="P25" i="13"/>
  <c r="O25" i="13"/>
  <c r="N25" i="13"/>
  <c r="M25" i="13"/>
  <c r="U25" i="13" s="1"/>
  <c r="X25" i="13" s="1"/>
  <c r="L23" i="13"/>
  <c r="T22" i="13"/>
  <c r="S22" i="13"/>
  <c r="R22" i="13"/>
  <c r="L22" i="13"/>
  <c r="I22" i="13"/>
  <c r="H22" i="13"/>
  <c r="G22" i="13"/>
  <c r="F22" i="13"/>
  <c r="E22" i="13"/>
  <c r="T21" i="13"/>
  <c r="W21" i="13" s="1"/>
  <c r="S21" i="13"/>
  <c r="R21" i="13"/>
  <c r="Q21" i="13"/>
  <c r="P21" i="13"/>
  <c r="O21" i="13"/>
  <c r="N21" i="13"/>
  <c r="M21" i="13"/>
  <c r="W20" i="13"/>
  <c r="T20" i="13"/>
  <c r="S20" i="13"/>
  <c r="R20" i="13"/>
  <c r="Q20" i="13"/>
  <c r="P20" i="13"/>
  <c r="O20" i="13"/>
  <c r="N20" i="13"/>
  <c r="M20" i="13"/>
  <c r="H19" i="13"/>
  <c r="M18" i="13"/>
  <c r="I18" i="13"/>
  <c r="K17" i="13"/>
  <c r="S16" i="13"/>
  <c r="R16" i="13"/>
  <c r="O16" i="13"/>
  <c r="M16" i="13"/>
  <c r="K16" i="13"/>
  <c r="I16" i="13"/>
  <c r="H16" i="13"/>
  <c r="G16" i="13"/>
  <c r="F16" i="13"/>
  <c r="E16" i="13"/>
  <c r="R15" i="13"/>
  <c r="H15" i="13"/>
  <c r="I14" i="13"/>
  <c r="P13" i="13"/>
  <c r="K13" i="13"/>
  <c r="S12" i="13"/>
  <c r="J12" i="13"/>
  <c r="S11" i="13"/>
  <c r="R11" i="13"/>
  <c r="J11" i="13"/>
  <c r="S10" i="13"/>
  <c r="R10" i="13"/>
  <c r="Q10" i="13"/>
  <c r="O10" i="13"/>
  <c r="N10" i="13"/>
  <c r="J10" i="13"/>
  <c r="I10" i="13"/>
  <c r="H10" i="13"/>
  <c r="G10" i="13"/>
  <c r="F10" i="13"/>
  <c r="E10" i="13"/>
  <c r="W9" i="13"/>
  <c r="T9" i="13"/>
  <c r="S9" i="13"/>
  <c r="R9" i="13"/>
  <c r="Q9" i="13"/>
  <c r="P9" i="13"/>
  <c r="O9" i="13"/>
  <c r="N9" i="13"/>
  <c r="M9" i="13"/>
  <c r="U9" i="13" s="1"/>
  <c r="X9" i="13" s="1"/>
  <c r="R8" i="13"/>
  <c r="G8" i="13"/>
  <c r="M7" i="13"/>
  <c r="I7" i="13"/>
  <c r="T6" i="13"/>
  <c r="S6" i="13"/>
  <c r="L6" i="13"/>
  <c r="E6" i="13"/>
  <c r="T5" i="13"/>
  <c r="S5" i="13"/>
  <c r="R5" i="13"/>
  <c r="Q5" i="13"/>
  <c r="P5" i="13"/>
  <c r="V59" i="13" s="1"/>
  <c r="N5" i="13"/>
  <c r="M5" i="13"/>
  <c r="T4" i="13"/>
  <c r="S4" i="13"/>
  <c r="R4" i="13"/>
  <c r="M4" i="13"/>
  <c r="X27" i="13" l="1"/>
  <c r="AC27" i="13" s="1"/>
  <c r="W26" i="7"/>
  <c r="V26" i="7"/>
  <c r="S44" i="7"/>
  <c r="S95" i="7"/>
  <c r="K120" i="7"/>
  <c r="J120" i="7"/>
  <c r="N120" i="7"/>
  <c r="O120" i="7"/>
  <c r="M120" i="7"/>
  <c r="L120" i="7"/>
  <c r="V188" i="7"/>
  <c r="J7" i="13"/>
  <c r="S8" i="13"/>
  <c r="V9" i="13"/>
  <c r="AC9" i="13" s="1"/>
  <c r="L11" i="13"/>
  <c r="M14" i="13"/>
  <c r="E19" i="13"/>
  <c r="U26" i="13"/>
  <c r="I34" i="13"/>
  <c r="L37" i="13"/>
  <c r="Q38" i="13"/>
  <c r="T42" i="13"/>
  <c r="V48" i="13"/>
  <c r="U48" i="13"/>
  <c r="N51" i="13"/>
  <c r="G53" i="13"/>
  <c r="W185" i="7"/>
  <c r="V185" i="7"/>
  <c r="Q6" i="13"/>
  <c r="K7" i="13"/>
  <c r="E8" i="13"/>
  <c r="W8" i="13"/>
  <c r="P11" i="13"/>
  <c r="M12" i="13"/>
  <c r="N14" i="13"/>
  <c r="L15" i="13"/>
  <c r="F17" i="13"/>
  <c r="E18" i="13"/>
  <c r="F19" i="13"/>
  <c r="T23" i="13"/>
  <c r="W24" i="13"/>
  <c r="I30" i="13"/>
  <c r="V33" i="13"/>
  <c r="U33" i="13"/>
  <c r="H35" i="13"/>
  <c r="M37" i="13"/>
  <c r="V40" i="13"/>
  <c r="U40" i="13"/>
  <c r="R46" i="13"/>
  <c r="O51" i="13"/>
  <c r="S53" i="13"/>
  <c r="I30" i="8"/>
  <c r="A9" i="9"/>
  <c r="A22" i="8"/>
  <c r="I43" i="8"/>
  <c r="M4" i="7"/>
  <c r="P17" i="7"/>
  <c r="L25" i="7"/>
  <c r="O25" i="7"/>
  <c r="N25" i="7"/>
  <c r="J37" i="8" s="1"/>
  <c r="M25" i="7"/>
  <c r="K25" i="7"/>
  <c r="J25" i="7"/>
  <c r="W86" i="7"/>
  <c r="W101" i="7"/>
  <c r="S101" i="7"/>
  <c r="P105" i="7"/>
  <c r="W110" i="7"/>
  <c r="V110" i="7"/>
  <c r="N151" i="7"/>
  <c r="M151" i="7"/>
  <c r="L151" i="7"/>
  <c r="R151" i="7" s="1"/>
  <c r="U151" i="7" s="1"/>
  <c r="M51" i="13"/>
  <c r="J11" i="7"/>
  <c r="K10" i="13"/>
  <c r="M38" i="7"/>
  <c r="N38" i="7"/>
  <c r="L38" i="7"/>
  <c r="K38" i="7"/>
  <c r="J38" i="7"/>
  <c r="K12" i="13"/>
  <c r="L13" i="13"/>
  <c r="J15" i="13"/>
  <c r="P23" i="13"/>
  <c r="S24" i="13"/>
  <c r="V25" i="13"/>
  <c r="AC25" i="13" s="1"/>
  <c r="H30" i="13"/>
  <c r="A21" i="8"/>
  <c r="H43" i="8"/>
  <c r="A8" i="9"/>
  <c r="H30" i="8"/>
  <c r="L4" i="7"/>
  <c r="Q11" i="7"/>
  <c r="C12" i="11" s="1"/>
  <c r="D12" i="11" s="1"/>
  <c r="E12" i="11" s="1"/>
  <c r="L10" i="13"/>
  <c r="K103" i="7"/>
  <c r="J103" i="7"/>
  <c r="O103" i="7"/>
  <c r="N103" i="7"/>
  <c r="M103" i="7"/>
  <c r="L103" i="7"/>
  <c r="B72" i="12"/>
  <c r="A23" i="10"/>
  <c r="R6" i="13"/>
  <c r="L7" i="13"/>
  <c r="F8" i="13"/>
  <c r="O12" i="13"/>
  <c r="P15" i="13"/>
  <c r="J17" i="13"/>
  <c r="G18" i="13"/>
  <c r="G19" i="13"/>
  <c r="V20" i="13"/>
  <c r="U20" i="13"/>
  <c r="E29" i="13"/>
  <c r="I35" i="13"/>
  <c r="N37" i="13"/>
  <c r="E39" i="13"/>
  <c r="I43" i="13"/>
  <c r="S46" i="13"/>
  <c r="W49" i="13"/>
  <c r="P51" i="13"/>
  <c r="T53" i="13"/>
  <c r="Q55" i="13"/>
  <c r="J43" i="8"/>
  <c r="A23" i="8"/>
  <c r="J30" i="8"/>
  <c r="A10" i="9"/>
  <c r="N4" i="7"/>
  <c r="C13" i="9"/>
  <c r="T6" i="7"/>
  <c r="V11" i="7"/>
  <c r="W11" i="7"/>
  <c r="V36" i="7"/>
  <c r="M42" i="7"/>
  <c r="P49" i="13" s="1"/>
  <c r="L42" i="7"/>
  <c r="K42" i="7"/>
  <c r="N49" i="13" s="1"/>
  <c r="J42" i="7"/>
  <c r="M49" i="13" s="1"/>
  <c r="O42" i="7"/>
  <c r="R49" i="13" s="1"/>
  <c r="N42" i="7"/>
  <c r="J67" i="7"/>
  <c r="O67" i="7"/>
  <c r="N67" i="7"/>
  <c r="M67" i="7"/>
  <c r="L67" i="7"/>
  <c r="K67" i="7"/>
  <c r="W76" i="7"/>
  <c r="V76" i="7"/>
  <c r="S111" i="7"/>
  <c r="R111" i="7"/>
  <c r="W16" i="7"/>
  <c r="V16" i="7"/>
  <c r="L41" i="7"/>
  <c r="K41" i="7"/>
  <c r="J41" i="7"/>
  <c r="O41" i="7"/>
  <c r="K45" i="8" s="1"/>
  <c r="N41" i="7"/>
  <c r="M41" i="7"/>
  <c r="Q14" i="13"/>
  <c r="W23" i="13"/>
  <c r="M54" i="7"/>
  <c r="L54" i="7"/>
  <c r="K54" i="7"/>
  <c r="J54" i="7"/>
  <c r="O54" i="7"/>
  <c r="N54" i="7"/>
  <c r="W91" i="7"/>
  <c r="V91" i="7"/>
  <c r="P99" i="7"/>
  <c r="M99" i="7"/>
  <c r="W179" i="7"/>
  <c r="V179" i="7"/>
  <c r="F6" i="13"/>
  <c r="L8" i="13"/>
  <c r="T11" i="13"/>
  <c r="N18" i="13"/>
  <c r="O29" i="13"/>
  <c r="V32" i="13"/>
  <c r="U32" i="13"/>
  <c r="H39" i="13"/>
  <c r="L43" i="13"/>
  <c r="O50" i="13"/>
  <c r="H52" i="13"/>
  <c r="W53" i="13"/>
  <c r="J27" i="7"/>
  <c r="N27" i="7"/>
  <c r="O27" i="7"/>
  <c r="M27" i="7"/>
  <c r="L27" i="7"/>
  <c r="K27" i="7"/>
  <c r="W28" i="7"/>
  <c r="V28" i="7"/>
  <c r="M40" i="7"/>
  <c r="I47" i="8" s="1"/>
  <c r="L40" i="7"/>
  <c r="R47" i="7"/>
  <c r="U47" i="7" s="1"/>
  <c r="N55" i="7"/>
  <c r="M55" i="7"/>
  <c r="L55" i="7"/>
  <c r="K55" i="7"/>
  <c r="J55" i="7"/>
  <c r="O55" i="7"/>
  <c r="K8" i="13"/>
  <c r="K35" i="13"/>
  <c r="V47" i="13"/>
  <c r="U47" i="13"/>
  <c r="M74" i="7"/>
  <c r="L74" i="7"/>
  <c r="K74" i="7"/>
  <c r="G47" i="8" s="1"/>
  <c r="J74" i="7"/>
  <c r="O74" i="7"/>
  <c r="N74" i="7"/>
  <c r="J47" i="8" s="1"/>
  <c r="S171" i="7"/>
  <c r="S14" i="13"/>
  <c r="S15" i="13"/>
  <c r="M17" i="13"/>
  <c r="L19" i="13"/>
  <c r="G28" i="13"/>
  <c r="T30" i="13"/>
  <c r="L35" i="13"/>
  <c r="F42" i="13"/>
  <c r="G6" i="13"/>
  <c r="P7" i="13"/>
  <c r="W13" i="13"/>
  <c r="T15" i="13"/>
  <c r="N17" i="13"/>
  <c r="O18" i="13"/>
  <c r="P19" i="13"/>
  <c r="G24" i="13"/>
  <c r="K28" i="13"/>
  <c r="P29" i="13"/>
  <c r="T35" i="13"/>
  <c r="G42" i="13"/>
  <c r="N43" i="13"/>
  <c r="P50" i="13"/>
  <c r="I52" i="13"/>
  <c r="N54" i="13"/>
  <c r="U60" i="13"/>
  <c r="B11" i="9"/>
  <c r="B24" i="8"/>
  <c r="Q9" i="7"/>
  <c r="C26" i="8" s="1"/>
  <c r="L16" i="13"/>
  <c r="M13" i="7"/>
  <c r="J15" i="7"/>
  <c r="N15" i="7"/>
  <c r="V15" i="7" s="1"/>
  <c r="K15" i="7"/>
  <c r="N42" i="13" s="1"/>
  <c r="N31" i="7"/>
  <c r="M31" i="7"/>
  <c r="L31" i="7"/>
  <c r="K31" i="7"/>
  <c r="J31" i="7"/>
  <c r="O31" i="7"/>
  <c r="O38" i="7"/>
  <c r="P41" i="7"/>
  <c r="S47" i="7"/>
  <c r="W64" i="7"/>
  <c r="V64" i="7"/>
  <c r="W107" i="7"/>
  <c r="R107" i="7"/>
  <c r="U107" i="7" s="1"/>
  <c r="T108" i="7"/>
  <c r="S108" i="7"/>
  <c r="M134" i="7"/>
  <c r="L134" i="7"/>
  <c r="N134" i="7"/>
  <c r="O134" i="7"/>
  <c r="K134" i="7"/>
  <c r="J134" i="7"/>
  <c r="V135" i="7"/>
  <c r="M69" i="7"/>
  <c r="L69" i="7"/>
  <c r="J69" i="7"/>
  <c r="K69" i="7"/>
  <c r="S130" i="7"/>
  <c r="R130" i="7"/>
  <c r="U130" i="7" s="1"/>
  <c r="R13" i="13"/>
  <c r="H6" i="13"/>
  <c r="T7" i="13"/>
  <c r="E11" i="13"/>
  <c r="W12" i="13"/>
  <c r="P18" i="13"/>
  <c r="Q19" i="13"/>
  <c r="H23" i="13"/>
  <c r="K24" i="13"/>
  <c r="L28" i="13"/>
  <c r="Q29" i="13"/>
  <c r="U36" i="13"/>
  <c r="E38" i="13"/>
  <c r="Q39" i="13"/>
  <c r="H42" i="13"/>
  <c r="V43" i="13"/>
  <c r="G49" i="13"/>
  <c r="Q50" i="13"/>
  <c r="J52" i="13"/>
  <c r="V60" i="13"/>
  <c r="B25" i="8"/>
  <c r="B12" i="9"/>
  <c r="N13" i="7"/>
  <c r="J45" i="8" s="1"/>
  <c r="S23" i="7"/>
  <c r="V29" i="13" s="1"/>
  <c r="S24" i="7"/>
  <c r="V51" i="7"/>
  <c r="W51" i="7"/>
  <c r="N89" i="7"/>
  <c r="M89" i="7"/>
  <c r="L89" i="7"/>
  <c r="K89" i="7"/>
  <c r="G36" i="8" s="1"/>
  <c r="J89" i="7"/>
  <c r="O89" i="7"/>
  <c r="B49" i="12" s="1"/>
  <c r="S96" i="7"/>
  <c r="R96" i="7"/>
  <c r="U96" i="7" s="1"/>
  <c r="W22" i="7"/>
  <c r="N7" i="13"/>
  <c r="G39" i="13"/>
  <c r="S37" i="7"/>
  <c r="O7" i="13"/>
  <c r="W6" i="13"/>
  <c r="I6" i="13"/>
  <c r="F11" i="13"/>
  <c r="G12" i="13"/>
  <c r="E15" i="13"/>
  <c r="R17" i="13"/>
  <c r="Q18" i="13"/>
  <c r="R19" i="13"/>
  <c r="I23" i="13"/>
  <c r="L24" i="13"/>
  <c r="M28" i="13"/>
  <c r="R29" i="13"/>
  <c r="R39" i="13"/>
  <c r="I42" i="13"/>
  <c r="W43" i="13"/>
  <c r="E46" i="13"/>
  <c r="H49" i="13"/>
  <c r="B13" i="9"/>
  <c r="B26" i="8"/>
  <c r="F49" i="13"/>
  <c r="M46" i="13"/>
  <c r="U43" i="13"/>
  <c r="H43" i="13"/>
  <c r="P42" i="13"/>
  <c r="O39" i="13"/>
  <c r="L38" i="13"/>
  <c r="I37" i="13"/>
  <c r="S35" i="13"/>
  <c r="G35" i="13"/>
  <c r="P30" i="13"/>
  <c r="M29" i="13"/>
  <c r="J28" i="13"/>
  <c r="J24" i="13"/>
  <c r="S23" i="13"/>
  <c r="G23" i="13"/>
  <c r="L18" i="13"/>
  <c r="I17" i="13"/>
  <c r="O15" i="13"/>
  <c r="L14" i="13"/>
  <c r="I13" i="13"/>
  <c r="R12" i="13"/>
  <c r="F12" i="13"/>
  <c r="J8" i="13"/>
  <c r="S7" i="13"/>
  <c r="G7" i="13"/>
  <c r="P6" i="13"/>
  <c r="T43" i="13"/>
  <c r="G43" i="13"/>
  <c r="O42" i="13"/>
  <c r="N39" i="13"/>
  <c r="W38" i="13"/>
  <c r="K38" i="13"/>
  <c r="T37" i="13"/>
  <c r="H37" i="13"/>
  <c r="R35" i="13"/>
  <c r="F35" i="13"/>
  <c r="O30" i="13"/>
  <c r="L29" i="13"/>
  <c r="I28" i="13"/>
  <c r="I24" i="13"/>
  <c r="R23" i="13"/>
  <c r="F23" i="13"/>
  <c r="N19" i="13"/>
  <c r="W18" i="13"/>
  <c r="K18" i="13"/>
  <c r="T17" i="13"/>
  <c r="H17" i="13"/>
  <c r="N15" i="13"/>
  <c r="W14" i="13"/>
  <c r="K14" i="13"/>
  <c r="T13" i="13"/>
  <c r="H13" i="13"/>
  <c r="E12" i="13"/>
  <c r="I8" i="13"/>
  <c r="R7" i="13"/>
  <c r="F7" i="13"/>
  <c r="O6" i="13"/>
  <c r="F51" i="13"/>
  <c r="L50" i="13"/>
  <c r="K46" i="13"/>
  <c r="S43" i="13"/>
  <c r="F43" i="13"/>
  <c r="M39" i="13"/>
  <c r="J38" i="13"/>
  <c r="S37" i="13"/>
  <c r="G37" i="13"/>
  <c r="Q35" i="13"/>
  <c r="E35" i="13"/>
  <c r="N30" i="13"/>
  <c r="W29" i="13"/>
  <c r="K29" i="13"/>
  <c r="T28" i="13"/>
  <c r="H28" i="13"/>
  <c r="T24" i="13"/>
  <c r="H24" i="13"/>
  <c r="Q23" i="13"/>
  <c r="E23" i="13"/>
  <c r="M19" i="13"/>
  <c r="J18" i="13"/>
  <c r="S17" i="13"/>
  <c r="G17" i="13"/>
  <c r="M15" i="13"/>
  <c r="J14" i="13"/>
  <c r="S13" i="13"/>
  <c r="G13" i="13"/>
  <c r="T8" i="13"/>
  <c r="H8" i="13"/>
  <c r="E7" i="13"/>
  <c r="E55" i="13"/>
  <c r="J54" i="13"/>
  <c r="K53" i="13"/>
  <c r="T51" i="13"/>
  <c r="E51" i="13"/>
  <c r="K50" i="13"/>
  <c r="Q49" i="13"/>
  <c r="W46" i="13"/>
  <c r="J46" i="13"/>
  <c r="R43" i="13"/>
  <c r="E43" i="13"/>
  <c r="L39" i="13"/>
  <c r="I38" i="13"/>
  <c r="F37" i="13"/>
  <c r="P35" i="13"/>
  <c r="M30" i="13"/>
  <c r="J29" i="13"/>
  <c r="S28" i="13"/>
  <c r="E54" i="13"/>
  <c r="J53" i="13"/>
  <c r="S51" i="13"/>
  <c r="J50" i="13"/>
  <c r="I46" i="13"/>
  <c r="Q43" i="13"/>
  <c r="L42" i="13"/>
  <c r="W39" i="13"/>
  <c r="K39" i="13"/>
  <c r="T38" i="13"/>
  <c r="H38" i="13"/>
  <c r="Q37" i="13"/>
  <c r="E37" i="13"/>
  <c r="O35" i="13"/>
  <c r="L30" i="13"/>
  <c r="U29" i="13"/>
  <c r="I29" i="13"/>
  <c r="R28" i="13"/>
  <c r="F28" i="13"/>
  <c r="F24" i="13"/>
  <c r="O23" i="13"/>
  <c r="W19" i="13"/>
  <c r="K19" i="13"/>
  <c r="T18" i="13"/>
  <c r="H18" i="13"/>
  <c r="Q17" i="13"/>
  <c r="E17" i="13"/>
  <c r="W15" i="13"/>
  <c r="K15" i="13"/>
  <c r="T14" i="13"/>
  <c r="H14" i="13"/>
  <c r="Q13" i="13"/>
  <c r="E13" i="13"/>
  <c r="N12" i="13"/>
  <c r="W11" i="13"/>
  <c r="K11" i="13"/>
  <c r="T55" i="13"/>
  <c r="I53" i="13"/>
  <c r="O52" i="13"/>
  <c r="R51" i="13"/>
  <c r="I50" i="13"/>
  <c r="H46" i="13"/>
  <c r="P43" i="13"/>
  <c r="K42" i="13"/>
  <c r="J39" i="13"/>
  <c r="S38" i="13"/>
  <c r="G38" i="13"/>
  <c r="P37" i="13"/>
  <c r="W30" i="13"/>
  <c r="K30" i="13"/>
  <c r="T29" i="13"/>
  <c r="H29" i="13"/>
  <c r="Q28" i="13"/>
  <c r="E28" i="13"/>
  <c r="Q24" i="13"/>
  <c r="E24" i="13"/>
  <c r="N23" i="13"/>
  <c r="W54" i="13"/>
  <c r="H53" i="13"/>
  <c r="K52" i="13"/>
  <c r="W50" i="13"/>
  <c r="E50" i="13"/>
  <c r="L49" i="13"/>
  <c r="T46" i="13"/>
  <c r="G46" i="13"/>
  <c r="O43" i="13"/>
  <c r="W42" i="13"/>
  <c r="J42" i="13"/>
  <c r="I39" i="13"/>
  <c r="R38" i="13"/>
  <c r="F38" i="13"/>
  <c r="O37" i="13"/>
  <c r="J30" i="13"/>
  <c r="S29" i="13"/>
  <c r="G29" i="13"/>
  <c r="P28" i="13"/>
  <c r="I19" i="13"/>
  <c r="R18" i="13"/>
  <c r="F18" i="13"/>
  <c r="O17" i="13"/>
  <c r="I15" i="13"/>
  <c r="R14" i="13"/>
  <c r="F14" i="13"/>
  <c r="L12" i="13"/>
  <c r="I11" i="13"/>
  <c r="W24" i="7"/>
  <c r="V24" i="7"/>
  <c r="T12" i="13"/>
  <c r="J19" i="13"/>
  <c r="G52" i="13"/>
  <c r="P17" i="13"/>
  <c r="J6" i="13"/>
  <c r="G11" i="13"/>
  <c r="H12" i="13"/>
  <c r="F13" i="13"/>
  <c r="E14" i="13"/>
  <c r="F15" i="13"/>
  <c r="S18" i="13"/>
  <c r="S19" i="13"/>
  <c r="J23" i="13"/>
  <c r="E30" i="13"/>
  <c r="W35" i="13"/>
  <c r="S39" i="13"/>
  <c r="V41" i="13"/>
  <c r="U41" i="13"/>
  <c r="Q42" i="13"/>
  <c r="X43" i="13"/>
  <c r="U45" i="13"/>
  <c r="F46" i="13"/>
  <c r="I49" i="13"/>
  <c r="S26" i="7"/>
  <c r="V37" i="13" s="1"/>
  <c r="V39" i="7"/>
  <c r="W52" i="7"/>
  <c r="V52" i="7"/>
  <c r="N88" i="7"/>
  <c r="Q30" i="13" s="1"/>
  <c r="M88" i="7"/>
  <c r="L88" i="7"/>
  <c r="O5" i="13"/>
  <c r="V58" i="13" s="1"/>
  <c r="K6" i="13"/>
  <c r="H7" i="13"/>
  <c r="W7" i="13"/>
  <c r="Q8" i="13"/>
  <c r="H11" i="13"/>
  <c r="I12" i="13"/>
  <c r="J13" i="13"/>
  <c r="G14" i="13"/>
  <c r="G15" i="13"/>
  <c r="W17" i="13"/>
  <c r="T19" i="13"/>
  <c r="U21" i="13"/>
  <c r="K23" i="13"/>
  <c r="N24" i="13"/>
  <c r="O28" i="13"/>
  <c r="F30" i="13"/>
  <c r="V31" i="13"/>
  <c r="U31" i="13"/>
  <c r="J37" i="13"/>
  <c r="T39" i="13"/>
  <c r="R42" i="13"/>
  <c r="U44" i="13"/>
  <c r="O46" i="13"/>
  <c r="J49" i="13"/>
  <c r="L51" i="13"/>
  <c r="W52" i="13"/>
  <c r="L13" i="7"/>
  <c r="H38" i="8" s="1"/>
  <c r="J13" i="7"/>
  <c r="M18" i="7"/>
  <c r="L18" i="7"/>
  <c r="K18" i="7"/>
  <c r="G35" i="8" s="1"/>
  <c r="J18" i="7"/>
  <c r="O18" i="7"/>
  <c r="K44" i="8" s="1"/>
  <c r="N18" i="7"/>
  <c r="S35" i="7"/>
  <c r="N69" i="7"/>
  <c r="R71" i="7"/>
  <c r="U71" i="7" s="1"/>
  <c r="M105" i="7"/>
  <c r="L105" i="7"/>
  <c r="K105" i="7"/>
  <c r="O105" i="7"/>
  <c r="N105" i="7"/>
  <c r="J105" i="7"/>
  <c r="M155" i="7"/>
  <c r="L155" i="7"/>
  <c r="S220" i="7"/>
  <c r="R220" i="7"/>
  <c r="S230" i="7"/>
  <c r="P45" i="7"/>
  <c r="L45" i="8" s="1"/>
  <c r="P53" i="7"/>
  <c r="J63" i="7"/>
  <c r="N63" i="7"/>
  <c r="J73" i="7"/>
  <c r="N73" i="7"/>
  <c r="S76" i="7"/>
  <c r="R76" i="7"/>
  <c r="J78" i="7"/>
  <c r="N78" i="7"/>
  <c r="J36" i="8" s="1"/>
  <c r="M78" i="7"/>
  <c r="I36" i="8" s="1"/>
  <c r="L78" i="7"/>
  <c r="K78" i="7"/>
  <c r="P92" i="7"/>
  <c r="R108" i="7"/>
  <c r="W127" i="7"/>
  <c r="V127" i="7"/>
  <c r="S145" i="7"/>
  <c r="R145" i="7"/>
  <c r="U145" i="7" s="1"/>
  <c r="P154" i="7"/>
  <c r="W198" i="7"/>
  <c r="V198" i="7"/>
  <c r="N213" i="7"/>
  <c r="M213" i="7"/>
  <c r="L213" i="7"/>
  <c r="K213" i="7"/>
  <c r="J213" i="7"/>
  <c r="O213" i="7"/>
  <c r="M239" i="7"/>
  <c r="K239" i="7"/>
  <c r="J239" i="7"/>
  <c r="L239" i="7"/>
  <c r="O239" i="7"/>
  <c r="N239" i="7"/>
  <c r="S261" i="7"/>
  <c r="L55" i="13"/>
  <c r="I54" i="13"/>
  <c r="R53" i="13"/>
  <c r="W51" i="13"/>
  <c r="K51" i="13"/>
  <c r="T50" i="13"/>
  <c r="H50" i="13"/>
  <c r="S50" i="13"/>
  <c r="G50" i="13"/>
  <c r="M43" i="13"/>
  <c r="P55" i="13"/>
  <c r="N19" i="7"/>
  <c r="J31" i="8" s="1"/>
  <c r="M19" i="7"/>
  <c r="L19" i="7"/>
  <c r="K19" i="7"/>
  <c r="G31" i="8" s="1"/>
  <c r="J19" i="7"/>
  <c r="P21" i="7"/>
  <c r="D25" i="8" s="1"/>
  <c r="O26" i="7"/>
  <c r="K38" i="8" s="1"/>
  <c r="R35" i="7"/>
  <c r="N43" i="7"/>
  <c r="M43" i="7"/>
  <c r="L43" i="7"/>
  <c r="K43" i="7"/>
  <c r="J43" i="7"/>
  <c r="J51" i="7"/>
  <c r="N51" i="7"/>
  <c r="N70" i="7"/>
  <c r="M70" i="7"/>
  <c r="O70" i="7"/>
  <c r="L70" i="7"/>
  <c r="K70" i="7"/>
  <c r="J70" i="7"/>
  <c r="S72" i="7"/>
  <c r="R72" i="7"/>
  <c r="L80" i="7"/>
  <c r="K80" i="7"/>
  <c r="G32" i="8" s="1"/>
  <c r="J80" i="7"/>
  <c r="S83" i="7"/>
  <c r="R83" i="7"/>
  <c r="U83" i="7" s="1"/>
  <c r="R90" i="7"/>
  <c r="U90" i="7" s="1"/>
  <c r="L113" i="7"/>
  <c r="K113" i="7"/>
  <c r="J113" i="7"/>
  <c r="M129" i="7"/>
  <c r="L129" i="7"/>
  <c r="K129" i="7"/>
  <c r="J129" i="7"/>
  <c r="O129" i="7"/>
  <c r="N129" i="7"/>
  <c r="W139" i="7"/>
  <c r="V139" i="7"/>
  <c r="J202" i="7"/>
  <c r="O202" i="7"/>
  <c r="R24" i="13" s="1"/>
  <c r="N202" i="7"/>
  <c r="M202" i="7"/>
  <c r="P24" i="13" s="1"/>
  <c r="L202" i="7"/>
  <c r="K202" i="7"/>
  <c r="W301" i="7"/>
  <c r="V301" i="7"/>
  <c r="R301" i="7"/>
  <c r="U301" i="7" s="1"/>
  <c r="U58" i="13"/>
  <c r="B19" i="8"/>
  <c r="B6" i="9"/>
  <c r="S60" i="7"/>
  <c r="R60" i="7"/>
  <c r="U60" i="7" s="1"/>
  <c r="M81" i="7"/>
  <c r="L81" i="7"/>
  <c r="O81" i="7"/>
  <c r="N81" i="7"/>
  <c r="K81" i="7"/>
  <c r="J81" i="7"/>
  <c r="N85" i="7"/>
  <c r="M85" i="7"/>
  <c r="L85" i="7"/>
  <c r="K85" i="7"/>
  <c r="J85" i="7"/>
  <c r="W98" i="7"/>
  <c r="M124" i="7"/>
  <c r="L124" i="7"/>
  <c r="U125" i="7"/>
  <c r="M128" i="7"/>
  <c r="L128" i="7"/>
  <c r="O19" i="13" s="1"/>
  <c r="R160" i="7"/>
  <c r="U160" i="7" s="1"/>
  <c r="M167" i="7"/>
  <c r="L167" i="7"/>
  <c r="L168" i="7"/>
  <c r="K168" i="7"/>
  <c r="J168" i="7"/>
  <c r="M168" i="7"/>
  <c r="N168" i="7"/>
  <c r="U57" i="13"/>
  <c r="G48" i="8"/>
  <c r="M48" i="8"/>
  <c r="B47" i="8"/>
  <c r="L29" i="7"/>
  <c r="O55" i="13" s="1"/>
  <c r="K29" i="7"/>
  <c r="N55" i="13" s="1"/>
  <c r="J29" i="7"/>
  <c r="F36" i="8" s="1"/>
  <c r="J39" i="7"/>
  <c r="N39" i="7"/>
  <c r="W39" i="7" s="1"/>
  <c r="S50" i="7"/>
  <c r="V71" i="7"/>
  <c r="W71" i="7"/>
  <c r="W77" i="7"/>
  <c r="R95" i="7"/>
  <c r="U95" i="7" s="1"/>
  <c r="S109" i="7"/>
  <c r="R109" i="7"/>
  <c r="U109" i="7" s="1"/>
  <c r="R119" i="7"/>
  <c r="S141" i="7"/>
  <c r="R141" i="7"/>
  <c r="U141" i="7" s="1"/>
  <c r="V56" i="13"/>
  <c r="U56" i="13"/>
  <c r="G38" i="8"/>
  <c r="D27" i="9"/>
  <c r="M35" i="8"/>
  <c r="L35" i="8"/>
  <c r="B27" i="9"/>
  <c r="B37" i="8"/>
  <c r="M36" i="8"/>
  <c r="B35" i="8"/>
  <c r="L38" i="8"/>
  <c r="B38" i="8"/>
  <c r="B36" i="8"/>
  <c r="M37" i="8"/>
  <c r="L34" i="8"/>
  <c r="D25" i="9"/>
  <c r="B25" i="9"/>
  <c r="M34" i="8"/>
  <c r="M32" i="8"/>
  <c r="B31" i="8"/>
  <c r="M38" i="8"/>
  <c r="M6" i="7"/>
  <c r="L6" i="7"/>
  <c r="K6" i="7"/>
  <c r="G46" i="8" s="1"/>
  <c r="J6" i="7"/>
  <c r="W12" i="7"/>
  <c r="L65" i="7"/>
  <c r="K65" i="7"/>
  <c r="J65" i="7"/>
  <c r="W149" i="7"/>
  <c r="V149" i="7"/>
  <c r="R52" i="13"/>
  <c r="L53" i="13"/>
  <c r="K54" i="13"/>
  <c r="F55" i="13"/>
  <c r="D43" i="9"/>
  <c r="B43" i="9"/>
  <c r="R23" i="7"/>
  <c r="N44" i="7"/>
  <c r="K63" i="7"/>
  <c r="M66" i="7"/>
  <c r="I31" i="8" s="1"/>
  <c r="L66" i="7"/>
  <c r="K66" i="7"/>
  <c r="J66" i="7"/>
  <c r="P71" i="7"/>
  <c r="K73" i="7"/>
  <c r="O78" i="7"/>
  <c r="P81" i="7"/>
  <c r="W108" i="7"/>
  <c r="S112" i="7"/>
  <c r="R112" i="7"/>
  <c r="U112" i="7" s="1"/>
  <c r="P208" i="7"/>
  <c r="L46" i="13"/>
  <c r="E49" i="13"/>
  <c r="S49" i="13"/>
  <c r="G51" i="13"/>
  <c r="M53" i="13"/>
  <c r="L54" i="13"/>
  <c r="G55" i="13"/>
  <c r="M14" i="7"/>
  <c r="V22" i="7"/>
  <c r="P29" i="7"/>
  <c r="S55" i="13" s="1"/>
  <c r="M30" i="7"/>
  <c r="L30" i="7"/>
  <c r="K30" i="7"/>
  <c r="J30" i="7"/>
  <c r="L63" i="7"/>
  <c r="V72" i="7"/>
  <c r="L73" i="7"/>
  <c r="V79" i="7"/>
  <c r="W84" i="7"/>
  <c r="V84" i="7"/>
  <c r="S84" i="7"/>
  <c r="R127" i="7"/>
  <c r="U127" i="7" s="1"/>
  <c r="S127" i="7"/>
  <c r="K191" i="7"/>
  <c r="J191" i="7"/>
  <c r="O191" i="7"/>
  <c r="K31" i="8" s="1"/>
  <c r="N191" i="7"/>
  <c r="M191" i="7"/>
  <c r="L191" i="7"/>
  <c r="T49" i="13"/>
  <c r="H51" i="13"/>
  <c r="E52" i="13"/>
  <c r="T52" i="13"/>
  <c r="N53" i="13"/>
  <c r="H55" i="13"/>
  <c r="A7" i="9"/>
  <c r="G43" i="8"/>
  <c r="A20" i="8"/>
  <c r="G30" i="8"/>
  <c r="K4" i="7"/>
  <c r="U197" i="7" s="1"/>
  <c r="N7" i="7"/>
  <c r="Q22" i="13" s="1"/>
  <c r="M7" i="7"/>
  <c r="P22" i="13" s="1"/>
  <c r="L7" i="7"/>
  <c r="H44" i="8" s="1"/>
  <c r="K7" i="7"/>
  <c r="N22" i="13" s="1"/>
  <c r="J7" i="7"/>
  <c r="L17" i="7"/>
  <c r="K17" i="7"/>
  <c r="J17" i="7"/>
  <c r="V23" i="7"/>
  <c r="S36" i="7"/>
  <c r="L53" i="7"/>
  <c r="K53" i="7"/>
  <c r="J53" i="7"/>
  <c r="R61" i="7"/>
  <c r="U18" i="13" s="1"/>
  <c r="M63" i="7"/>
  <c r="I45" i="8" s="1"/>
  <c r="M73" i="7"/>
  <c r="J77" i="7"/>
  <c r="N77" i="7"/>
  <c r="V77" i="7" s="1"/>
  <c r="L92" i="7"/>
  <c r="K92" i="7"/>
  <c r="N50" i="13" s="1"/>
  <c r="O92" i="7"/>
  <c r="N92" i="7"/>
  <c r="M92" i="7"/>
  <c r="J92" i="7"/>
  <c r="R94" i="7"/>
  <c r="U94" i="7" s="1"/>
  <c r="S97" i="7"/>
  <c r="L99" i="7"/>
  <c r="K99" i="7"/>
  <c r="J99" i="7"/>
  <c r="R101" i="7"/>
  <c r="U101" i="7" s="1"/>
  <c r="W112" i="7"/>
  <c r="V112" i="7"/>
  <c r="M117" i="7"/>
  <c r="L117" i="7"/>
  <c r="K117" i="7"/>
  <c r="J117" i="7"/>
  <c r="O117" i="7"/>
  <c r="K37" i="8" s="1"/>
  <c r="N117" i="7"/>
  <c r="N118" i="7"/>
  <c r="M118" i="7"/>
  <c r="L118" i="7"/>
  <c r="K118" i="7"/>
  <c r="J118" i="7"/>
  <c r="O118" i="7"/>
  <c r="S185" i="7"/>
  <c r="R185" i="7"/>
  <c r="R243" i="7"/>
  <c r="U243" i="7" s="1"/>
  <c r="A19" i="8"/>
  <c r="A6" i="9"/>
  <c r="F30" i="8"/>
  <c r="F43" i="8"/>
  <c r="D16" i="9"/>
  <c r="K12" i="7"/>
  <c r="S12" i="7" s="1"/>
  <c r="O16" i="7"/>
  <c r="D11" i="9" s="1"/>
  <c r="J22" i="10" s="1"/>
  <c r="K22" i="10" s="1"/>
  <c r="K24" i="7"/>
  <c r="R24" i="7" s="1"/>
  <c r="O28" i="7"/>
  <c r="K34" i="8" s="1"/>
  <c r="K36" i="7"/>
  <c r="R36" i="7" s="1"/>
  <c r="U36" i="7" s="1"/>
  <c r="L37" i="7"/>
  <c r="O40" i="7"/>
  <c r="K47" i="8" s="1"/>
  <c r="K48" i="7"/>
  <c r="N28" i="13" s="1"/>
  <c r="L49" i="7"/>
  <c r="R49" i="7" s="1"/>
  <c r="U49" i="7" s="1"/>
  <c r="M50" i="7"/>
  <c r="R50" i="7" s="1"/>
  <c r="U50" i="7" s="1"/>
  <c r="O52" i="7"/>
  <c r="K36" i="8" s="1"/>
  <c r="L61" i="7"/>
  <c r="S61" i="7" s="1"/>
  <c r="V18" i="13" s="1"/>
  <c r="M62" i="7"/>
  <c r="S62" i="7" s="1"/>
  <c r="O64" i="7"/>
  <c r="L87" i="7"/>
  <c r="O88" i="7"/>
  <c r="R30" i="13" s="1"/>
  <c r="M98" i="7"/>
  <c r="R98" i="7" s="1"/>
  <c r="U98" i="7" s="1"/>
  <c r="N102" i="7"/>
  <c r="S102" i="7" s="1"/>
  <c r="K115" i="7"/>
  <c r="N38" i="13" s="1"/>
  <c r="J115" i="7"/>
  <c r="V119" i="7"/>
  <c r="W119" i="7"/>
  <c r="L121" i="7"/>
  <c r="K121" i="7"/>
  <c r="O121" i="7"/>
  <c r="N121" i="7"/>
  <c r="M121" i="7"/>
  <c r="J121" i="7"/>
  <c r="W125" i="7"/>
  <c r="S125" i="7"/>
  <c r="R133" i="7"/>
  <c r="U133" i="7" s="1"/>
  <c r="S153" i="7"/>
  <c r="P155" i="7"/>
  <c r="M178" i="7"/>
  <c r="L178" i="7"/>
  <c r="W196" i="7"/>
  <c r="V196" i="7"/>
  <c r="W210" i="7"/>
  <c r="V210" i="7"/>
  <c r="S210" i="7"/>
  <c r="V17" i="13" s="1"/>
  <c r="S218" i="7"/>
  <c r="W243" i="7"/>
  <c r="M247" i="7"/>
  <c r="L247" i="7"/>
  <c r="K247" i="7"/>
  <c r="J247" i="7"/>
  <c r="J267" i="7"/>
  <c r="O267" i="7"/>
  <c r="K267" i="7"/>
  <c r="N267" i="7"/>
  <c r="M267" i="7"/>
  <c r="L267" i="7"/>
  <c r="V90" i="7"/>
  <c r="K91" i="7"/>
  <c r="J91" i="7"/>
  <c r="N94" i="7"/>
  <c r="M94" i="7"/>
  <c r="W94" i="7" s="1"/>
  <c r="W153" i="7"/>
  <c r="W161" i="7"/>
  <c r="V161" i="7"/>
  <c r="S161" i="7"/>
  <c r="N167" i="7"/>
  <c r="P178" i="7"/>
  <c r="S182" i="7"/>
  <c r="V46" i="13" s="1"/>
  <c r="P191" i="7"/>
  <c r="L199" i="7"/>
  <c r="K199" i="7"/>
  <c r="J199" i="7"/>
  <c r="S208" i="7"/>
  <c r="W222" i="7"/>
  <c r="V222" i="7"/>
  <c r="P229" i="7"/>
  <c r="V233" i="7"/>
  <c r="N242" i="7"/>
  <c r="M242" i="7"/>
  <c r="O242" i="7"/>
  <c r="L242" i="7"/>
  <c r="K242" i="7"/>
  <c r="J242" i="7"/>
  <c r="V329" i="7"/>
  <c r="W356" i="7"/>
  <c r="P84" i="7"/>
  <c r="R84" i="7" s="1"/>
  <c r="U84" i="7" s="1"/>
  <c r="S100" i="7"/>
  <c r="L104" i="7"/>
  <c r="K104" i="7"/>
  <c r="J104" i="7"/>
  <c r="R126" i="7"/>
  <c r="S137" i="7"/>
  <c r="R137" i="7"/>
  <c r="L157" i="7"/>
  <c r="K157" i="7"/>
  <c r="N157" i="7"/>
  <c r="M157" i="7"/>
  <c r="J157" i="7"/>
  <c r="L164" i="7"/>
  <c r="K164" i="7"/>
  <c r="N13" i="13" s="1"/>
  <c r="J164" i="7"/>
  <c r="N170" i="7"/>
  <c r="M170" i="7"/>
  <c r="L170" i="7"/>
  <c r="K170" i="7"/>
  <c r="O170" i="7"/>
  <c r="J170" i="7"/>
  <c r="S173" i="7"/>
  <c r="M175" i="7"/>
  <c r="L175" i="7"/>
  <c r="K175" i="7"/>
  <c r="J175" i="7"/>
  <c r="J188" i="7"/>
  <c r="N188" i="7"/>
  <c r="W188" i="7" s="1"/>
  <c r="K215" i="7"/>
  <c r="J215" i="7"/>
  <c r="O215" i="7"/>
  <c r="N215" i="7"/>
  <c r="M215" i="7"/>
  <c r="L215" i="7"/>
  <c r="P233" i="7"/>
  <c r="L32" i="8" s="1"/>
  <c r="M234" i="7"/>
  <c r="L234" i="7"/>
  <c r="K234" i="7"/>
  <c r="J234" i="7"/>
  <c r="N234" i="7"/>
  <c r="N278" i="7"/>
  <c r="W278" i="7" s="1"/>
  <c r="J278" i="7"/>
  <c r="K278" i="7"/>
  <c r="L75" i="7"/>
  <c r="M86" i="7"/>
  <c r="V86" i="7" s="1"/>
  <c r="N90" i="7"/>
  <c r="R102" i="7"/>
  <c r="N106" i="7"/>
  <c r="J35" i="8" s="1"/>
  <c r="M106" i="7"/>
  <c r="S106" i="7" s="1"/>
  <c r="L106" i="7"/>
  <c r="R106" i="7" s="1"/>
  <c r="U106" i="7" s="1"/>
  <c r="N114" i="7"/>
  <c r="W114" i="7" s="1"/>
  <c r="R161" i="7"/>
  <c r="U161" i="7" s="1"/>
  <c r="W177" i="7"/>
  <c r="V190" i="7"/>
  <c r="W190" i="7"/>
  <c r="P193" i="7"/>
  <c r="C25" i="8" s="1"/>
  <c r="J226" i="7"/>
  <c r="N226" i="7"/>
  <c r="W226" i="7" s="1"/>
  <c r="S232" i="7"/>
  <c r="R232" i="7"/>
  <c r="U232" i="7" s="1"/>
  <c r="R246" i="7"/>
  <c r="S246" i="7"/>
  <c r="L250" i="7"/>
  <c r="J250" i="7"/>
  <c r="N250" i="7"/>
  <c r="M250" i="7"/>
  <c r="K250" i="7"/>
  <c r="O250" i="7"/>
  <c r="O49" i="13"/>
  <c r="F50" i="13"/>
  <c r="R50" i="13"/>
  <c r="I51" i="13"/>
  <c r="L52" i="13"/>
  <c r="O53" i="13"/>
  <c r="F54" i="13"/>
  <c r="I55" i="13"/>
  <c r="A24" i="8"/>
  <c r="K30" i="8"/>
  <c r="A11" i="9"/>
  <c r="K43" i="8"/>
  <c r="L8" i="7"/>
  <c r="M9" i="7"/>
  <c r="P16" i="13" s="1"/>
  <c r="N10" i="7"/>
  <c r="L20" i="7"/>
  <c r="S20" i="7" s="1"/>
  <c r="M21" i="7"/>
  <c r="I35" i="8" s="1"/>
  <c r="N22" i="7"/>
  <c r="S22" i="7" s="1"/>
  <c r="L32" i="7"/>
  <c r="M33" i="7"/>
  <c r="S33" i="7" s="1"/>
  <c r="N34" i="7"/>
  <c r="S34" i="7" s="1"/>
  <c r="L44" i="7"/>
  <c r="M45" i="7"/>
  <c r="N46" i="7"/>
  <c r="L56" i="7"/>
  <c r="M57" i="7"/>
  <c r="N58" i="7"/>
  <c r="L68" i="7"/>
  <c r="K68" i="7"/>
  <c r="S68" i="7" s="1"/>
  <c r="M75" i="7"/>
  <c r="N86" i="7"/>
  <c r="O90" i="7"/>
  <c r="M93" i="7"/>
  <c r="L93" i="7"/>
  <c r="L100" i="7"/>
  <c r="O114" i="7"/>
  <c r="S114" i="7" s="1"/>
  <c r="U19" i="12" s="1"/>
  <c r="L116" i="7"/>
  <c r="K116" i="7"/>
  <c r="J116" i="7"/>
  <c r="V125" i="7"/>
  <c r="W130" i="7"/>
  <c r="M136" i="7"/>
  <c r="L136" i="7"/>
  <c r="W137" i="7"/>
  <c r="N140" i="7"/>
  <c r="M140" i="7"/>
  <c r="L140" i="7"/>
  <c r="K140" i="7"/>
  <c r="J140" i="7"/>
  <c r="M144" i="7"/>
  <c r="L144" i="7"/>
  <c r="S148" i="7"/>
  <c r="V7" i="13" s="1"/>
  <c r="R148" i="7"/>
  <c r="U148" i="7" s="1"/>
  <c r="X7" i="13" s="1"/>
  <c r="S152" i="7"/>
  <c r="R152" i="7"/>
  <c r="V166" i="7"/>
  <c r="W166" i="7"/>
  <c r="S184" i="7"/>
  <c r="R184" i="7"/>
  <c r="U184" i="7" s="1"/>
  <c r="S186" i="7"/>
  <c r="M205" i="7"/>
  <c r="P8" i="13" s="1"/>
  <c r="L205" i="7"/>
  <c r="K205" i="7"/>
  <c r="N8" i="13" s="1"/>
  <c r="J205" i="7"/>
  <c r="M8" i="13" s="1"/>
  <c r="N205" i="7"/>
  <c r="J236" i="7"/>
  <c r="M236" i="7"/>
  <c r="L236" i="7"/>
  <c r="K236" i="7"/>
  <c r="M255" i="7"/>
  <c r="R255" i="7" s="1"/>
  <c r="U255" i="7" s="1"/>
  <c r="L255" i="7"/>
  <c r="K306" i="7"/>
  <c r="O306" i="7"/>
  <c r="M306" i="7"/>
  <c r="L306" i="7"/>
  <c r="J306" i="7"/>
  <c r="N306" i="7"/>
  <c r="J51" i="13"/>
  <c r="M52" i="13"/>
  <c r="P53" i="13"/>
  <c r="G54" i="13"/>
  <c r="S54" i="13"/>
  <c r="J55" i="13"/>
  <c r="L30" i="8"/>
  <c r="A25" i="8"/>
  <c r="A12" i="9"/>
  <c r="L43" i="8"/>
  <c r="N9" i="7"/>
  <c r="Q16" i="13" s="1"/>
  <c r="N21" i="7"/>
  <c r="N33" i="7"/>
  <c r="J44" i="8" s="1"/>
  <c r="N45" i="7"/>
  <c r="N57" i="7"/>
  <c r="J38" i="8" s="1"/>
  <c r="N75" i="7"/>
  <c r="K79" i="7"/>
  <c r="W79" i="7" s="1"/>
  <c r="J79" i="7"/>
  <c r="M6" i="13" s="1"/>
  <c r="N82" i="7"/>
  <c r="M82" i="7"/>
  <c r="V82" i="7" s="1"/>
  <c r="R93" i="7"/>
  <c r="R97" i="7"/>
  <c r="U97" i="7" s="1"/>
  <c r="M189" i="7"/>
  <c r="L189" i="7"/>
  <c r="S209" i="7"/>
  <c r="R209" i="7"/>
  <c r="U209" i="7" s="1"/>
  <c r="W212" i="7"/>
  <c r="V232" i="7"/>
  <c r="W232" i="7"/>
  <c r="R240" i="7"/>
  <c r="U240" i="7" s="1"/>
  <c r="W246" i="7"/>
  <c r="V246" i="7"/>
  <c r="W263" i="7"/>
  <c r="V263" i="7"/>
  <c r="S334" i="7"/>
  <c r="N52" i="13"/>
  <c r="E53" i="13"/>
  <c r="Q53" i="13"/>
  <c r="H54" i="13"/>
  <c r="T54" i="13"/>
  <c r="K55" i="13"/>
  <c r="W55" i="13"/>
  <c r="M43" i="8"/>
  <c r="A13" i="9"/>
  <c r="M30" i="8"/>
  <c r="A26" i="8"/>
  <c r="J16" i="7"/>
  <c r="F35" i="8" s="1"/>
  <c r="J28" i="7"/>
  <c r="F48" i="8" s="1"/>
  <c r="J40" i="7"/>
  <c r="J52" i="7"/>
  <c r="J64" i="7"/>
  <c r="J88" i="7"/>
  <c r="R110" i="7"/>
  <c r="U110" i="7" s="1"/>
  <c r="L115" i="7"/>
  <c r="P119" i="7"/>
  <c r="S119" i="7" s="1"/>
  <c r="N123" i="7"/>
  <c r="M123" i="7"/>
  <c r="I48" i="8" s="1"/>
  <c r="L123" i="7"/>
  <c r="P136" i="7"/>
  <c r="P144" i="7"/>
  <c r="M146" i="7"/>
  <c r="L146" i="7"/>
  <c r="N146" i="7"/>
  <c r="K146" i="7"/>
  <c r="J146" i="7"/>
  <c r="L150" i="7"/>
  <c r="K150" i="7"/>
  <c r="J150" i="7"/>
  <c r="R198" i="7"/>
  <c r="U198" i="7" s="1"/>
  <c r="S198" i="7"/>
  <c r="R214" i="7"/>
  <c r="U214" i="7" s="1"/>
  <c r="S225" i="7"/>
  <c r="R225" i="7"/>
  <c r="U225" i="7" s="1"/>
  <c r="N247" i="7"/>
  <c r="P250" i="7"/>
  <c r="W289" i="7"/>
  <c r="V289" i="7"/>
  <c r="B18" i="11"/>
  <c r="B19" i="11" s="1"/>
  <c r="B54" i="12"/>
  <c r="U6" i="12"/>
  <c r="C16" i="11"/>
  <c r="D16" i="11" s="1"/>
  <c r="E16" i="11" s="1"/>
  <c r="C16" i="9"/>
  <c r="B6" i="8"/>
  <c r="R114" i="7"/>
  <c r="U114" i="7" s="1"/>
  <c r="M115" i="7"/>
  <c r="P38" i="13" s="1"/>
  <c r="S126" i="7"/>
  <c r="J128" i="7"/>
  <c r="N128" i="7"/>
  <c r="S131" i="7"/>
  <c r="P133" i="7"/>
  <c r="R138" i="7"/>
  <c r="L154" i="7"/>
  <c r="K154" i="7"/>
  <c r="J154" i="7"/>
  <c r="W156" i="7"/>
  <c r="V156" i="7"/>
  <c r="R174" i="7"/>
  <c r="S174" i="7"/>
  <c r="J177" i="7"/>
  <c r="N177" i="7"/>
  <c r="V177" i="7" s="1"/>
  <c r="W203" i="7"/>
  <c r="V203" i="7"/>
  <c r="W209" i="7"/>
  <c r="W220" i="7"/>
  <c r="V220" i="7"/>
  <c r="J227" i="7"/>
  <c r="M54" i="13" s="1"/>
  <c r="O227" i="7"/>
  <c r="R54" i="13" s="1"/>
  <c r="N227" i="7"/>
  <c r="Q54" i="13" s="1"/>
  <c r="M227" i="7"/>
  <c r="P54" i="13" s="1"/>
  <c r="L227" i="7"/>
  <c r="K227" i="7"/>
  <c r="W230" i="7"/>
  <c r="V230" i="7"/>
  <c r="O247" i="7"/>
  <c r="S249" i="7"/>
  <c r="S272" i="7"/>
  <c r="V131" i="7"/>
  <c r="K132" i="7"/>
  <c r="J132" i="7"/>
  <c r="N135" i="7"/>
  <c r="M135" i="7"/>
  <c r="W135" i="7" s="1"/>
  <c r="L138" i="7"/>
  <c r="S138" i="7" s="1"/>
  <c r="O139" i="7"/>
  <c r="L142" i="7"/>
  <c r="S142" i="7" s="1"/>
  <c r="M153" i="7"/>
  <c r="R153" i="7" s="1"/>
  <c r="U153" i="7" s="1"/>
  <c r="L163" i="7"/>
  <c r="M181" i="7"/>
  <c r="L181" i="7"/>
  <c r="K181" i="7"/>
  <c r="J181" i="7"/>
  <c r="S187" i="7"/>
  <c r="R187" i="7"/>
  <c r="M190" i="7"/>
  <c r="N194" i="7"/>
  <c r="M194" i="7"/>
  <c r="L194" i="7"/>
  <c r="K194" i="7"/>
  <c r="M201" i="7"/>
  <c r="W201" i="7" s="1"/>
  <c r="M212" i="7"/>
  <c r="S212" i="7" s="1"/>
  <c r="V214" i="7"/>
  <c r="M245" i="7"/>
  <c r="L245" i="7"/>
  <c r="K245" i="7"/>
  <c r="J245" i="7"/>
  <c r="L276" i="7"/>
  <c r="M276" i="7"/>
  <c r="K276" i="7"/>
  <c r="J276" i="7"/>
  <c r="O276" i="7"/>
  <c r="N276" i="7"/>
  <c r="S280" i="7"/>
  <c r="R162" i="7"/>
  <c r="S165" i="7"/>
  <c r="R165" i="7"/>
  <c r="U165" i="7" s="1"/>
  <c r="J166" i="7"/>
  <c r="K179" i="7"/>
  <c r="J179" i="7"/>
  <c r="L192" i="7"/>
  <c r="K192" i="7"/>
  <c r="J192" i="7"/>
  <c r="S200" i="7"/>
  <c r="R200" i="7"/>
  <c r="K222" i="7"/>
  <c r="J222" i="7"/>
  <c r="K228" i="7"/>
  <c r="M228" i="7"/>
  <c r="L228" i="7"/>
  <c r="J228" i="7"/>
  <c r="K237" i="7"/>
  <c r="M237" i="7"/>
  <c r="L237" i="7"/>
  <c r="J237" i="7"/>
  <c r="P242" i="7"/>
  <c r="R244" i="7"/>
  <c r="V249" i="7"/>
  <c r="N252" i="7"/>
  <c r="L252" i="7"/>
  <c r="K252" i="7"/>
  <c r="O252" i="7"/>
  <c r="M252" i="7"/>
  <c r="J252" i="7"/>
  <c r="V257" i="7"/>
  <c r="W257" i="7"/>
  <c r="K292" i="7"/>
  <c r="O292" i="7"/>
  <c r="N292" i="7"/>
  <c r="M292" i="7"/>
  <c r="L292" i="7"/>
  <c r="J292" i="7"/>
  <c r="R296" i="7"/>
  <c r="U296" i="7" s="1"/>
  <c r="M325" i="7"/>
  <c r="L325" i="7"/>
  <c r="K325" i="7"/>
  <c r="J325" i="7"/>
  <c r="L145" i="7"/>
  <c r="K145" i="7"/>
  <c r="P172" i="7"/>
  <c r="S172" i="7" s="1"/>
  <c r="S189" i="7"/>
  <c r="R189" i="7"/>
  <c r="U189" i="7" s="1"/>
  <c r="S190" i="7"/>
  <c r="K203" i="7"/>
  <c r="J203" i="7"/>
  <c r="L216" i="7"/>
  <c r="K216" i="7"/>
  <c r="J216" i="7"/>
  <c r="S231" i="7"/>
  <c r="R231" i="7"/>
  <c r="U231" i="7" s="1"/>
  <c r="V243" i="7"/>
  <c r="J248" i="7"/>
  <c r="N248" i="7"/>
  <c r="M248" i="7"/>
  <c r="L248" i="7"/>
  <c r="K248" i="7"/>
  <c r="S390" i="7"/>
  <c r="R390" i="7"/>
  <c r="U390" i="7" s="1"/>
  <c r="K156" i="7"/>
  <c r="J156" i="7"/>
  <c r="N159" i="7"/>
  <c r="M159" i="7"/>
  <c r="I37" i="8" s="1"/>
  <c r="R171" i="7"/>
  <c r="U171" i="7" s="1"/>
  <c r="M176" i="7"/>
  <c r="S176" i="7" s="1"/>
  <c r="P196" i="7"/>
  <c r="M211" i="7"/>
  <c r="S211" i="7" s="1"/>
  <c r="S214" i="7"/>
  <c r="P218" i="7"/>
  <c r="W244" i="7"/>
  <c r="V244" i="7"/>
  <c r="P259" i="7"/>
  <c r="K263" i="7"/>
  <c r="J263" i="7"/>
  <c r="S284" i="7"/>
  <c r="P311" i="7"/>
  <c r="P149" i="7"/>
  <c r="L48" i="8" s="1"/>
  <c r="N176" i="7"/>
  <c r="N182" i="7"/>
  <c r="Q46" i="13" s="1"/>
  <c r="M182" i="7"/>
  <c r="P46" i="13" s="1"/>
  <c r="L182" i="7"/>
  <c r="K182" i="7"/>
  <c r="N46" i="13" s="1"/>
  <c r="R186" i="7"/>
  <c r="U186" i="7" s="1"/>
  <c r="R190" i="7"/>
  <c r="U190" i="7" s="1"/>
  <c r="N211" i="7"/>
  <c r="V221" i="7"/>
  <c r="P252" i="7"/>
  <c r="S288" i="7"/>
  <c r="R288" i="7"/>
  <c r="L314" i="7"/>
  <c r="K314" i="7"/>
  <c r="J314" i="7"/>
  <c r="O314" i="7"/>
  <c r="N314" i="7"/>
  <c r="M314" i="7"/>
  <c r="M122" i="7"/>
  <c r="S122" i="7" s="1"/>
  <c r="L122" i="7"/>
  <c r="R122" i="7" s="1"/>
  <c r="U122" i="7" s="1"/>
  <c r="R131" i="7"/>
  <c r="U131" i="7" s="1"/>
  <c r="M169" i="7"/>
  <c r="L169" i="7"/>
  <c r="K169" i="7"/>
  <c r="N35" i="13" s="1"/>
  <c r="J169" i="7"/>
  <c r="M35" i="13" s="1"/>
  <c r="V174" i="7"/>
  <c r="N206" i="7"/>
  <c r="M206" i="7"/>
  <c r="L206" i="7"/>
  <c r="K206" i="7"/>
  <c r="S206" i="7" s="1"/>
  <c r="R210" i="7"/>
  <c r="U17" i="13" s="1"/>
  <c r="S257" i="7"/>
  <c r="R257" i="7"/>
  <c r="N271" i="7"/>
  <c r="L271" i="7"/>
  <c r="K271" i="7"/>
  <c r="J271" i="7"/>
  <c r="O271" i="7"/>
  <c r="M271" i="7"/>
  <c r="N71" i="7"/>
  <c r="S71" i="7" s="1"/>
  <c r="N83" i="7"/>
  <c r="V83" i="7" s="1"/>
  <c r="N95" i="7"/>
  <c r="W95" i="7" s="1"/>
  <c r="N107" i="7"/>
  <c r="S107" i="7" s="1"/>
  <c r="L132" i="7"/>
  <c r="L133" i="7"/>
  <c r="K133" i="7"/>
  <c r="S133" i="7" s="1"/>
  <c r="J135" i="7"/>
  <c r="J139" i="7"/>
  <c r="K143" i="7"/>
  <c r="M158" i="7"/>
  <c r="L158" i="7"/>
  <c r="R158" i="7" s="1"/>
  <c r="U158" i="7" s="1"/>
  <c r="R173" i="7"/>
  <c r="U173" i="7" s="1"/>
  <c r="L180" i="7"/>
  <c r="K180" i="7"/>
  <c r="J180" i="7"/>
  <c r="N181" i="7"/>
  <c r="M193" i="7"/>
  <c r="L193" i="7"/>
  <c r="K193" i="7"/>
  <c r="J193" i="7"/>
  <c r="J194" i="7"/>
  <c r="R208" i="7"/>
  <c r="U208" i="7" s="1"/>
  <c r="V209" i="7"/>
  <c r="W214" i="7"/>
  <c r="M223" i="7"/>
  <c r="L223" i="7"/>
  <c r="K223" i="7"/>
  <c r="J223" i="7"/>
  <c r="N245" i="7"/>
  <c r="V251" i="7"/>
  <c r="N254" i="7"/>
  <c r="M254" i="7"/>
  <c r="S254" i="7" s="1"/>
  <c r="L254" i="7"/>
  <c r="K254" i="7"/>
  <c r="O254" i="7"/>
  <c r="W261" i="7"/>
  <c r="V261" i="7"/>
  <c r="N303" i="7"/>
  <c r="L303" i="7"/>
  <c r="K303" i="7"/>
  <c r="J303" i="7"/>
  <c r="O303" i="7"/>
  <c r="M303" i="7"/>
  <c r="M132" i="7"/>
  <c r="K135" i="7"/>
  <c r="L143" i="7"/>
  <c r="K144" i="7"/>
  <c r="J144" i="7"/>
  <c r="N147" i="7"/>
  <c r="M147" i="7"/>
  <c r="V147" i="7" s="1"/>
  <c r="J155" i="7"/>
  <c r="S162" i="7"/>
  <c r="K167" i="7"/>
  <c r="J167" i="7"/>
  <c r="J178" i="7"/>
  <c r="O181" i="7"/>
  <c r="O194" i="7"/>
  <c r="L204" i="7"/>
  <c r="K204" i="7"/>
  <c r="J204" i="7"/>
  <c r="L217" i="7"/>
  <c r="N217" i="7"/>
  <c r="M217" i="7"/>
  <c r="K217" i="7"/>
  <c r="J217" i="7"/>
  <c r="R230" i="7"/>
  <c r="K233" i="7"/>
  <c r="W233" i="7" s="1"/>
  <c r="J233" i="7"/>
  <c r="S244" i="7"/>
  <c r="O245" i="7"/>
  <c r="S256" i="7"/>
  <c r="R256" i="7"/>
  <c r="U256" i="7" s="1"/>
  <c r="P270" i="7"/>
  <c r="N270" i="7"/>
  <c r="W270" i="7" s="1"/>
  <c r="P279" i="7"/>
  <c r="S310" i="7"/>
  <c r="S349" i="7"/>
  <c r="L183" i="7"/>
  <c r="L195" i="7"/>
  <c r="L207" i="7"/>
  <c r="S207" i="7" s="1"/>
  <c r="L218" i="7"/>
  <c r="P221" i="7"/>
  <c r="R221" i="7" s="1"/>
  <c r="U221" i="7" s="1"/>
  <c r="L224" i="7"/>
  <c r="M229" i="7"/>
  <c r="P244" i="7"/>
  <c r="K249" i="7"/>
  <c r="W249" i="7" s="1"/>
  <c r="M251" i="7"/>
  <c r="W251" i="7" s="1"/>
  <c r="K251" i="7"/>
  <c r="J251" i="7"/>
  <c r="P272" i="7"/>
  <c r="W280" i="7"/>
  <c r="V280" i="7"/>
  <c r="S286" i="7"/>
  <c r="R286" i="7"/>
  <c r="U286" i="7" s="1"/>
  <c r="P292" i="7"/>
  <c r="M294" i="7"/>
  <c r="K294" i="7"/>
  <c r="J294" i="7"/>
  <c r="O294" i="7"/>
  <c r="N294" i="7"/>
  <c r="L294" i="7"/>
  <c r="N136" i="7"/>
  <c r="N148" i="7"/>
  <c r="N160" i="7"/>
  <c r="W160" i="7" s="1"/>
  <c r="M171" i="7"/>
  <c r="N172" i="7"/>
  <c r="W172" i="7" s="1"/>
  <c r="M183" i="7"/>
  <c r="M195" i="7"/>
  <c r="N196" i="7"/>
  <c r="R196" i="7" s="1"/>
  <c r="M207" i="7"/>
  <c r="N218" i="7"/>
  <c r="N219" i="7"/>
  <c r="M224" i="7"/>
  <c r="S224" i="7" s="1"/>
  <c r="N229" i="7"/>
  <c r="N235" i="7"/>
  <c r="S235" i="7" s="1"/>
  <c r="L238" i="7"/>
  <c r="J238" i="7"/>
  <c r="K258" i="7"/>
  <c r="W258" i="7" s="1"/>
  <c r="M258" i="7"/>
  <c r="V258" i="7" s="1"/>
  <c r="J258" i="7"/>
  <c r="S262" i="7"/>
  <c r="R262" i="7"/>
  <c r="M264" i="7"/>
  <c r="L264" i="7"/>
  <c r="K264" i="7"/>
  <c r="J264" i="7"/>
  <c r="P283" i="7"/>
  <c r="V286" i="7"/>
  <c r="W286" i="7"/>
  <c r="S291" i="7"/>
  <c r="N309" i="7"/>
  <c r="L309" i="7"/>
  <c r="K309" i="7"/>
  <c r="J309" i="7"/>
  <c r="S312" i="7"/>
  <c r="R312" i="7"/>
  <c r="U312" i="7" s="1"/>
  <c r="J317" i="7"/>
  <c r="O317" i="7"/>
  <c r="M317" i="7"/>
  <c r="L317" i="7"/>
  <c r="K317" i="7"/>
  <c r="N171" i="7"/>
  <c r="N183" i="7"/>
  <c r="J46" i="8" s="1"/>
  <c r="N195" i="7"/>
  <c r="N207" i="7"/>
  <c r="N224" i="7"/>
  <c r="N240" i="7"/>
  <c r="L240" i="7"/>
  <c r="K240" i="7"/>
  <c r="S240" i="7" s="1"/>
  <c r="M274" i="7"/>
  <c r="L274" i="7"/>
  <c r="W275" i="7"/>
  <c r="V275" i="7"/>
  <c r="R291" i="7"/>
  <c r="V322" i="7"/>
  <c r="N337" i="7"/>
  <c r="M337" i="7"/>
  <c r="L337" i="7"/>
  <c r="K337" i="7"/>
  <c r="J337" i="7"/>
  <c r="V356" i="7"/>
  <c r="R357" i="7"/>
  <c r="U357" i="7" s="1"/>
  <c r="S357" i="7"/>
  <c r="M218" i="7"/>
  <c r="L229" i="7"/>
  <c r="V262" i="7"/>
  <c r="R277" i="7"/>
  <c r="U277" i="7" s="1"/>
  <c r="S277" i="7"/>
  <c r="M279" i="7"/>
  <c r="L279" i="7"/>
  <c r="V287" i="7"/>
  <c r="M289" i="7"/>
  <c r="K289" i="7"/>
  <c r="J289" i="7"/>
  <c r="V291" i="7"/>
  <c r="W291" i="7"/>
  <c r="N297" i="7"/>
  <c r="M297" i="7"/>
  <c r="L297" i="7"/>
  <c r="K297" i="7"/>
  <c r="J297" i="7"/>
  <c r="W312" i="7"/>
  <c r="V312" i="7"/>
  <c r="W357" i="7"/>
  <c r="V357" i="7"/>
  <c r="M398" i="7"/>
  <c r="K398" i="7"/>
  <c r="L398" i="7"/>
  <c r="J398" i="7"/>
  <c r="O398" i="7"/>
  <c r="N398" i="7"/>
  <c r="N304" i="7"/>
  <c r="M304" i="7"/>
  <c r="L304" i="7"/>
  <c r="S316" i="7"/>
  <c r="R316" i="7"/>
  <c r="U316" i="7" s="1"/>
  <c r="P321" i="7"/>
  <c r="S321" i="7" s="1"/>
  <c r="V52" i="13" s="1"/>
  <c r="S324" i="7"/>
  <c r="R324" i="7"/>
  <c r="U324" i="7" s="1"/>
  <c r="J326" i="7"/>
  <c r="N326" i="7"/>
  <c r="M326" i="7"/>
  <c r="L326" i="7"/>
  <c r="K326" i="7"/>
  <c r="N366" i="7"/>
  <c r="M366" i="7"/>
  <c r="O366" i="7"/>
  <c r="L366" i="7"/>
  <c r="K366" i="7"/>
  <c r="J366" i="7"/>
  <c r="L367" i="7"/>
  <c r="M367" i="7"/>
  <c r="S369" i="7"/>
  <c r="R369" i="7"/>
  <c r="U369" i="7" s="1"/>
  <c r="J265" i="7"/>
  <c r="L269" i="7"/>
  <c r="J269" i="7"/>
  <c r="N273" i="7"/>
  <c r="M273" i="7"/>
  <c r="W273" i="7" s="1"/>
  <c r="M282" i="7"/>
  <c r="W282" i="7" s="1"/>
  <c r="K282" i="7"/>
  <c r="J282" i="7"/>
  <c r="J283" i="7"/>
  <c r="P287" i="7"/>
  <c r="J290" i="7"/>
  <c r="N295" i="7"/>
  <c r="L295" i="7"/>
  <c r="K295" i="7"/>
  <c r="J295" i="7"/>
  <c r="S300" i="7"/>
  <c r="R300" i="7"/>
  <c r="U300" i="7" s="1"/>
  <c r="V305" i="7"/>
  <c r="M318" i="7"/>
  <c r="K318" i="7"/>
  <c r="O318" i="7"/>
  <c r="N318" i="7"/>
  <c r="L318" i="7"/>
  <c r="J318" i="7"/>
  <c r="W338" i="7"/>
  <c r="V338" i="7"/>
  <c r="N339" i="7"/>
  <c r="M339" i="7"/>
  <c r="L339" i="7"/>
  <c r="K339" i="7"/>
  <c r="J339" i="7"/>
  <c r="O339" i="7"/>
  <c r="K363" i="7"/>
  <c r="J363" i="7"/>
  <c r="O363" i="7"/>
  <c r="N363" i="7"/>
  <c r="M363" i="7"/>
  <c r="L363" i="7"/>
  <c r="N256" i="7"/>
  <c r="W256" i="7" s="1"/>
  <c r="O261" i="7"/>
  <c r="R261" i="7" s="1"/>
  <c r="U261" i="7" s="1"/>
  <c r="P263" i="7"/>
  <c r="K265" i="7"/>
  <c r="N266" i="7"/>
  <c r="R266" i="7" s="1"/>
  <c r="U266" i="7" s="1"/>
  <c r="L277" i="7"/>
  <c r="M283" i="7"/>
  <c r="K290" i="7"/>
  <c r="L293" i="7"/>
  <c r="J293" i="7"/>
  <c r="L298" i="7"/>
  <c r="L307" i="7"/>
  <c r="J307" i="7"/>
  <c r="O307" i="7"/>
  <c r="M307" i="7"/>
  <c r="K307" i="7"/>
  <c r="N323" i="7"/>
  <c r="L323" i="7"/>
  <c r="K323" i="7"/>
  <c r="J323" i="7"/>
  <c r="N328" i="7"/>
  <c r="L328" i="7"/>
  <c r="K328" i="7"/>
  <c r="J328" i="7"/>
  <c r="O328" i="7"/>
  <c r="M328" i="7"/>
  <c r="S370" i="7"/>
  <c r="L265" i="7"/>
  <c r="L290" i="7"/>
  <c r="V353" i="7"/>
  <c r="W360" i="7"/>
  <c r="V360" i="7"/>
  <c r="W386" i="7"/>
  <c r="V386" i="7"/>
  <c r="L241" i="7"/>
  <c r="N243" i="7"/>
  <c r="S243" i="7" s="1"/>
  <c r="L253" i="7"/>
  <c r="N255" i="7"/>
  <c r="M259" i="7"/>
  <c r="M265" i="7"/>
  <c r="M268" i="7"/>
  <c r="P273" i="7"/>
  <c r="P280" i="7"/>
  <c r="R280" i="7" s="1"/>
  <c r="U280" i="7" s="1"/>
  <c r="N281" i="7"/>
  <c r="L285" i="7"/>
  <c r="M290" i="7"/>
  <c r="L302" i="7"/>
  <c r="J302" i="7"/>
  <c r="W310" i="7"/>
  <c r="V310" i="7"/>
  <c r="M313" i="7"/>
  <c r="R313" i="7" s="1"/>
  <c r="U313" i="7" s="1"/>
  <c r="P339" i="7"/>
  <c r="M241" i="7"/>
  <c r="P14" i="13" s="1"/>
  <c r="M253" i="7"/>
  <c r="M260" i="7"/>
  <c r="W260" i="7" s="1"/>
  <c r="N265" i="7"/>
  <c r="N268" i="7"/>
  <c r="W268" i="7" s="1"/>
  <c r="M277" i="7"/>
  <c r="O313" i="7"/>
  <c r="M331" i="7"/>
  <c r="L331" i="7"/>
  <c r="N331" i="7"/>
  <c r="K331" i="7"/>
  <c r="J331" i="7"/>
  <c r="O331" i="7"/>
  <c r="V333" i="7"/>
  <c r="W333" i="7"/>
  <c r="N283" i="7"/>
  <c r="L283" i="7"/>
  <c r="K283" i="7"/>
  <c r="W287" i="7"/>
  <c r="N290" i="7"/>
  <c r="V316" i="7"/>
  <c r="V324" i="7"/>
  <c r="S345" i="7"/>
  <c r="V362" i="7"/>
  <c r="W362" i="7"/>
  <c r="L259" i="7"/>
  <c r="M270" i="7"/>
  <c r="V270" i="7" s="1"/>
  <c r="K270" i="7"/>
  <c r="J270" i="7"/>
  <c r="P275" i="7"/>
  <c r="J279" i="7"/>
  <c r="L281" i="7"/>
  <c r="J281" i="7"/>
  <c r="N285" i="7"/>
  <c r="M285" i="7"/>
  <c r="R285" i="7" s="1"/>
  <c r="U285" i="7" s="1"/>
  <c r="S299" i="7"/>
  <c r="S301" i="7"/>
  <c r="J304" i="7"/>
  <c r="R315" i="7"/>
  <c r="O326" i="7"/>
  <c r="M342" i="7"/>
  <c r="M359" i="7"/>
  <c r="L359" i="7"/>
  <c r="J359" i="7"/>
  <c r="K275" i="7"/>
  <c r="R275" i="7" s="1"/>
  <c r="U275" i="7" s="1"/>
  <c r="O279" i="7"/>
  <c r="K287" i="7"/>
  <c r="S287" i="7" s="1"/>
  <c r="K305" i="7"/>
  <c r="W305" i="7" s="1"/>
  <c r="K316" i="7"/>
  <c r="W316" i="7" s="1"/>
  <c r="P334" i="7"/>
  <c r="R334" i="7" s="1"/>
  <c r="U334" i="7" s="1"/>
  <c r="L347" i="7"/>
  <c r="K347" i="7"/>
  <c r="J347" i="7"/>
  <c r="P350" i="7"/>
  <c r="S373" i="7"/>
  <c r="N397" i="7"/>
  <c r="M397" i="7"/>
  <c r="L397" i="7"/>
  <c r="P301" i="7"/>
  <c r="M321" i="7"/>
  <c r="R321" i="7" s="1"/>
  <c r="L327" i="7"/>
  <c r="J327" i="7"/>
  <c r="N335" i="7"/>
  <c r="M335" i="7"/>
  <c r="L335" i="7"/>
  <c r="K335" i="7"/>
  <c r="J335" i="7"/>
  <c r="N344" i="7"/>
  <c r="M344" i="7"/>
  <c r="L344" i="7"/>
  <c r="K344" i="7"/>
  <c r="J344" i="7"/>
  <c r="R358" i="7"/>
  <c r="S358" i="7"/>
  <c r="W368" i="7"/>
  <c r="V368" i="7"/>
  <c r="S395" i="7"/>
  <c r="R395" i="7"/>
  <c r="U395" i="7" s="1"/>
  <c r="A22" i="9"/>
  <c r="B33" i="8"/>
  <c r="M33" i="8"/>
  <c r="G33" i="8"/>
  <c r="D36" i="9"/>
  <c r="B36" i="9"/>
  <c r="N299" i="7"/>
  <c r="R299" i="7" s="1"/>
  <c r="L311" i="7"/>
  <c r="P313" i="7"/>
  <c r="L315" i="7"/>
  <c r="N319" i="7"/>
  <c r="L319" i="7"/>
  <c r="J319" i="7"/>
  <c r="L330" i="7"/>
  <c r="K330" i="7"/>
  <c r="J330" i="7"/>
  <c r="L352" i="7"/>
  <c r="J352" i="7"/>
  <c r="K352" i="7"/>
  <c r="O352" i="7"/>
  <c r="M272" i="7"/>
  <c r="M284" i="7"/>
  <c r="W284" i="7" s="1"/>
  <c r="M296" i="7"/>
  <c r="V296" i="7" s="1"/>
  <c r="M308" i="7"/>
  <c r="V308" i="7" s="1"/>
  <c r="K308" i="7"/>
  <c r="M311" i="7"/>
  <c r="M315" i="7"/>
  <c r="P325" i="7"/>
  <c r="K338" i="7"/>
  <c r="J338" i="7"/>
  <c r="R342" i="7"/>
  <c r="J374" i="7"/>
  <c r="N374" i="7"/>
  <c r="Q12" i="13" s="1"/>
  <c r="M374" i="7"/>
  <c r="W374" i="7" s="1"/>
  <c r="S379" i="7"/>
  <c r="R379" i="7"/>
  <c r="U379" i="7" s="1"/>
  <c r="P383" i="7"/>
  <c r="N321" i="7"/>
  <c r="Q52" i="13" s="1"/>
  <c r="L321" i="7"/>
  <c r="W334" i="7"/>
  <c r="V334" i="7"/>
  <c r="M341" i="7"/>
  <c r="V341" i="7" s="1"/>
  <c r="K341" i="7"/>
  <c r="W341" i="7" s="1"/>
  <c r="J341" i="7"/>
  <c r="W346" i="7"/>
  <c r="S381" i="7"/>
  <c r="W320" i="7"/>
  <c r="S343" i="7"/>
  <c r="W345" i="7"/>
  <c r="M347" i="7"/>
  <c r="L349" i="7"/>
  <c r="K349" i="7"/>
  <c r="R349" i="7" s="1"/>
  <c r="U349" i="7" s="1"/>
  <c r="R351" i="7"/>
  <c r="U351" i="7" s="1"/>
  <c r="N354" i="7"/>
  <c r="L354" i="7"/>
  <c r="K354" i="7"/>
  <c r="O354" i="7"/>
  <c r="N347" i="7"/>
  <c r="W351" i="7"/>
  <c r="L364" i="7"/>
  <c r="K364" i="7"/>
  <c r="O364" i="7"/>
  <c r="N364" i="7"/>
  <c r="M364" i="7"/>
  <c r="J364" i="7"/>
  <c r="P368" i="7"/>
  <c r="S368" i="7" s="1"/>
  <c r="K380" i="7"/>
  <c r="J380" i="7"/>
  <c r="V390" i="7"/>
  <c r="W390" i="7"/>
  <c r="S396" i="7"/>
  <c r="L403" i="7"/>
  <c r="J403" i="7"/>
  <c r="N403" i="7"/>
  <c r="N361" i="7"/>
  <c r="M361" i="7"/>
  <c r="L361" i="7"/>
  <c r="K361" i="7"/>
  <c r="L371" i="7"/>
  <c r="K371" i="7"/>
  <c r="J371" i="7"/>
  <c r="N377" i="7"/>
  <c r="M377" i="7"/>
  <c r="L377" i="7"/>
  <c r="J377" i="7"/>
  <c r="J385" i="7"/>
  <c r="O385" i="7"/>
  <c r="N385" i="7"/>
  <c r="M385" i="7"/>
  <c r="L385" i="7"/>
  <c r="K385" i="7"/>
  <c r="L394" i="7"/>
  <c r="J394" i="7"/>
  <c r="K394" i="7"/>
  <c r="O394" i="7"/>
  <c r="W396" i="7"/>
  <c r="V396" i="7"/>
  <c r="B71" i="12"/>
  <c r="D23" i="10"/>
  <c r="M310" i="7"/>
  <c r="R310" i="7" s="1"/>
  <c r="U310" i="7" s="1"/>
  <c r="K320" i="7"/>
  <c r="R320" i="7" s="1"/>
  <c r="U320" i="7" s="1"/>
  <c r="M322" i="7"/>
  <c r="R322" i="7" s="1"/>
  <c r="U322" i="7" s="1"/>
  <c r="M336" i="7"/>
  <c r="N340" i="7"/>
  <c r="V340" i="7" s="1"/>
  <c r="L348" i="7"/>
  <c r="R348" i="7" s="1"/>
  <c r="U348" i="7" s="1"/>
  <c r="V369" i="7"/>
  <c r="K370" i="7"/>
  <c r="M378" i="7"/>
  <c r="L378" i="7"/>
  <c r="L382" i="7"/>
  <c r="K382" i="7"/>
  <c r="J382" i="7"/>
  <c r="M382" i="7"/>
  <c r="S384" i="7"/>
  <c r="R396" i="7"/>
  <c r="N356" i="7"/>
  <c r="R356" i="7" s="1"/>
  <c r="U356" i="7" s="1"/>
  <c r="M356" i="7"/>
  <c r="V370" i="7"/>
  <c r="L387" i="7"/>
  <c r="M387" i="7"/>
  <c r="K387" i="7"/>
  <c r="J387" i="7"/>
  <c r="O387" i="7"/>
  <c r="N387" i="7"/>
  <c r="K391" i="7"/>
  <c r="J391" i="7"/>
  <c r="O391" i="7"/>
  <c r="N391" i="7"/>
  <c r="M391" i="7"/>
  <c r="L391" i="7"/>
  <c r="M320" i="7"/>
  <c r="V320" i="7" s="1"/>
  <c r="K329" i="7"/>
  <c r="W329" i="7" s="1"/>
  <c r="J329" i="7"/>
  <c r="N332" i="7"/>
  <c r="M332" i="7"/>
  <c r="V332" i="7" s="1"/>
  <c r="P346" i="7"/>
  <c r="R346" i="7" s="1"/>
  <c r="U346" i="7" s="1"/>
  <c r="N348" i="7"/>
  <c r="K350" i="7"/>
  <c r="K351" i="7"/>
  <c r="S351" i="7" s="1"/>
  <c r="M370" i="7"/>
  <c r="R370" i="7" s="1"/>
  <c r="U370" i="7" s="1"/>
  <c r="K375" i="7"/>
  <c r="J375" i="7"/>
  <c r="O375" i="7"/>
  <c r="N375" i="7"/>
  <c r="M375" i="7"/>
  <c r="L375" i="7"/>
  <c r="P378" i="7"/>
  <c r="L380" i="7"/>
  <c r="K403" i="7"/>
  <c r="A34" i="9"/>
  <c r="M45" i="8"/>
  <c r="V346" i="7"/>
  <c r="L350" i="7"/>
  <c r="S350" i="7" s="1"/>
  <c r="K360" i="7"/>
  <c r="J360" i="7"/>
  <c r="J361" i="7"/>
  <c r="M371" i="7"/>
  <c r="K377" i="7"/>
  <c r="M380" i="7"/>
  <c r="M394" i="7"/>
  <c r="S399" i="7"/>
  <c r="R399" i="7"/>
  <c r="M403" i="7"/>
  <c r="B45" i="8"/>
  <c r="N342" i="7"/>
  <c r="L342" i="7"/>
  <c r="K342" i="7"/>
  <c r="M350" i="7"/>
  <c r="M353" i="7"/>
  <c r="K353" i="7"/>
  <c r="W353" i="7" s="1"/>
  <c r="J353" i="7"/>
  <c r="P356" i="7"/>
  <c r="S356" i="7" s="1"/>
  <c r="O361" i="7"/>
  <c r="K32" i="8" s="1"/>
  <c r="N371" i="7"/>
  <c r="O377" i="7"/>
  <c r="W379" i="7"/>
  <c r="N380" i="7"/>
  <c r="S386" i="7"/>
  <c r="R386" i="7"/>
  <c r="U386" i="7" s="1"/>
  <c r="P387" i="7"/>
  <c r="N394" i="7"/>
  <c r="O403" i="7"/>
  <c r="R405" i="7"/>
  <c r="U405" i="7" s="1"/>
  <c r="S405" i="7"/>
  <c r="M47" i="8"/>
  <c r="D26" i="9"/>
  <c r="B26" i="9"/>
  <c r="W381" i="7"/>
  <c r="V381" i="7"/>
  <c r="M388" i="7"/>
  <c r="R388" i="7" s="1"/>
  <c r="U388" i="7" s="1"/>
  <c r="O388" i="7"/>
  <c r="N388" i="7"/>
  <c r="L388" i="7"/>
  <c r="S388" i="7" s="1"/>
  <c r="J392" i="7"/>
  <c r="O392" i="7"/>
  <c r="N392" i="7"/>
  <c r="M392" i="7"/>
  <c r="V392" i="7" s="1"/>
  <c r="S393" i="7"/>
  <c r="R402" i="7"/>
  <c r="U402" i="7" s="1"/>
  <c r="M381" i="7"/>
  <c r="S389" i="7"/>
  <c r="R389" i="7"/>
  <c r="P396" i="7"/>
  <c r="N401" i="7"/>
  <c r="L401" i="7"/>
  <c r="K401" i="7"/>
  <c r="J401" i="7"/>
  <c r="J404" i="7"/>
  <c r="M404" i="7"/>
  <c r="L404" i="7"/>
  <c r="H47" i="8" s="1"/>
  <c r="K404" i="7"/>
  <c r="N333" i="7"/>
  <c r="S333" i="7" s="1"/>
  <c r="L343" i="7"/>
  <c r="N345" i="7"/>
  <c r="V345" i="7" s="1"/>
  <c r="L355" i="7"/>
  <c r="N357" i="7"/>
  <c r="O362" i="7"/>
  <c r="S362" i="7" s="1"/>
  <c r="M365" i="7"/>
  <c r="L365" i="7"/>
  <c r="R365" i="7" s="1"/>
  <c r="U365" i="7" s="1"/>
  <c r="L372" i="7"/>
  <c r="L376" i="7"/>
  <c r="R376" i="7" s="1"/>
  <c r="U376" i="7" s="1"/>
  <c r="K376" i="7"/>
  <c r="S376" i="7" s="1"/>
  <c r="N381" i="7"/>
  <c r="P384" i="7"/>
  <c r="M393" i="7"/>
  <c r="V393" i="7" s="1"/>
  <c r="P398" i="7"/>
  <c r="A30" i="10"/>
  <c r="M343" i="7"/>
  <c r="R343" i="7" s="1"/>
  <c r="U343" i="7" s="1"/>
  <c r="M355" i="7"/>
  <c r="M372" i="7"/>
  <c r="O381" i="7"/>
  <c r="N393" i="7"/>
  <c r="A35" i="9"/>
  <c r="L46" i="8"/>
  <c r="B46" i="8"/>
  <c r="R381" i="7"/>
  <c r="U381" i="7" s="1"/>
  <c r="N383" i="7"/>
  <c r="M383" i="7"/>
  <c r="R383" i="7" s="1"/>
  <c r="L383" i="7"/>
  <c r="S383" i="7" s="1"/>
  <c r="M395" i="7"/>
  <c r="N395" i="7"/>
  <c r="L395" i="7"/>
  <c r="K395" i="7"/>
  <c r="A23" i="9"/>
  <c r="J34" i="8"/>
  <c r="G34" i="8"/>
  <c r="I34" i="8"/>
  <c r="H34" i="8"/>
  <c r="A33" i="9"/>
  <c r="M44" i="8"/>
  <c r="D24" i="9"/>
  <c r="B24" i="9"/>
  <c r="S402" i="7"/>
  <c r="V405" i="7"/>
  <c r="B34" i="8"/>
  <c r="B44" i="8"/>
  <c r="A21" i="10"/>
  <c r="D20" i="9"/>
  <c r="B20" i="9"/>
  <c r="B70" i="12"/>
  <c r="B69" i="12"/>
  <c r="C23" i="10"/>
  <c r="N367" i="7"/>
  <c r="N384" i="7"/>
  <c r="R384" i="7" s="1"/>
  <c r="U384" i="7" s="1"/>
  <c r="P403" i="7"/>
  <c r="A21" i="9"/>
  <c r="N399" i="7"/>
  <c r="L399" i="7"/>
  <c r="B32" i="8"/>
  <c r="A37" i="9"/>
  <c r="D44" i="9"/>
  <c r="B44" i="9"/>
  <c r="B48" i="8"/>
  <c r="J397" i="7"/>
  <c r="M400" i="7"/>
  <c r="S400" i="7" s="1"/>
  <c r="H31" i="8"/>
  <c r="G44" i="12"/>
  <c r="E25" i="8" l="1"/>
  <c r="U383" i="7"/>
  <c r="U28" i="12"/>
  <c r="U24" i="7"/>
  <c r="U11" i="12"/>
  <c r="U29" i="12"/>
  <c r="U321" i="7"/>
  <c r="X52" i="13" s="1"/>
  <c r="U52" i="13"/>
  <c r="AC17" i="13"/>
  <c r="U196" i="7"/>
  <c r="K49" i="8"/>
  <c r="W372" i="7"/>
  <c r="V372" i="7"/>
  <c r="R372" i="7"/>
  <c r="U372" i="7" s="1"/>
  <c r="W330" i="7"/>
  <c r="V330" i="7"/>
  <c r="V313" i="7"/>
  <c r="W336" i="7"/>
  <c r="V336" i="7"/>
  <c r="W219" i="7"/>
  <c r="V219" i="7"/>
  <c r="V123" i="7"/>
  <c r="W123" i="7"/>
  <c r="S115" i="7"/>
  <c r="V38" i="13" s="1"/>
  <c r="R115" i="7"/>
  <c r="F46" i="8"/>
  <c r="R19" i="7"/>
  <c r="S19" i="7"/>
  <c r="V11" i="13" s="1"/>
  <c r="W290" i="7"/>
  <c r="V290" i="7"/>
  <c r="A2" i="10"/>
  <c r="A7" i="10"/>
  <c r="W104" i="7"/>
  <c r="V104" i="7"/>
  <c r="W14" i="7"/>
  <c r="V14" i="7"/>
  <c r="D75" i="8" s="1"/>
  <c r="R11" i="7"/>
  <c r="S11" i="7"/>
  <c r="V10" i="13" s="1"/>
  <c r="M10" i="13"/>
  <c r="S25" i="7"/>
  <c r="R25" i="7"/>
  <c r="U25" i="7" s="1"/>
  <c r="S401" i="7"/>
  <c r="R401" i="7"/>
  <c r="U401" i="7" s="1"/>
  <c r="R323" i="7"/>
  <c r="U323" i="7" s="1"/>
  <c r="S323" i="7"/>
  <c r="U291" i="7"/>
  <c r="R294" i="7"/>
  <c r="U294" i="7" s="1"/>
  <c r="S294" i="7"/>
  <c r="W228" i="7"/>
  <c r="V228" i="7"/>
  <c r="R249" i="7"/>
  <c r="U249" i="7" s="1"/>
  <c r="U102" i="7"/>
  <c r="S191" i="7"/>
  <c r="R191" i="7"/>
  <c r="U191" i="7" s="1"/>
  <c r="R81" i="7"/>
  <c r="U81" i="7" s="1"/>
  <c r="S81" i="7"/>
  <c r="W19" i="7"/>
  <c r="V19" i="7"/>
  <c r="U220" i="7"/>
  <c r="M11" i="13"/>
  <c r="AC43" i="13"/>
  <c r="R20" i="7"/>
  <c r="U20" i="7" s="1"/>
  <c r="W69" i="7"/>
  <c r="V69" i="7"/>
  <c r="D13" i="9"/>
  <c r="H48" i="8"/>
  <c r="B23" i="9"/>
  <c r="D23" i="9"/>
  <c r="C23" i="9"/>
  <c r="K46" i="8"/>
  <c r="R393" i="7"/>
  <c r="U393" i="7" s="1"/>
  <c r="W387" i="7"/>
  <c r="V387" i="7"/>
  <c r="W382" i="7"/>
  <c r="V382" i="7"/>
  <c r="R362" i="7"/>
  <c r="S341" i="7"/>
  <c r="R341" i="7"/>
  <c r="U341" i="7" s="1"/>
  <c r="S374" i="7"/>
  <c r="V12" i="13" s="1"/>
  <c r="R374" i="7"/>
  <c r="V315" i="7"/>
  <c r="W315" i="7"/>
  <c r="S315" i="7"/>
  <c r="L33" i="8"/>
  <c r="R368" i="7"/>
  <c r="U368" i="7" s="1"/>
  <c r="S359" i="7"/>
  <c r="R359" i="7"/>
  <c r="U359" i="7" s="1"/>
  <c r="R345" i="7"/>
  <c r="U345" i="7" s="1"/>
  <c r="W302" i="7"/>
  <c r="V302" i="7"/>
  <c r="W241" i="7"/>
  <c r="V241" i="7"/>
  <c r="W265" i="7"/>
  <c r="V265" i="7"/>
  <c r="S363" i="7"/>
  <c r="R363" i="7"/>
  <c r="U363" i="7" s="1"/>
  <c r="S318" i="7"/>
  <c r="R318" i="7"/>
  <c r="U318" i="7" s="1"/>
  <c r="V269" i="7"/>
  <c r="W269" i="7"/>
  <c r="R332" i="7"/>
  <c r="U332" i="7" s="1"/>
  <c r="R305" i="7"/>
  <c r="U305" i="7" s="1"/>
  <c r="W332" i="7"/>
  <c r="R289" i="7"/>
  <c r="U289" i="7" s="1"/>
  <c r="S289" i="7"/>
  <c r="W204" i="7"/>
  <c r="V204" i="7"/>
  <c r="V143" i="7"/>
  <c r="W143" i="7"/>
  <c r="V235" i="7"/>
  <c r="S135" i="7"/>
  <c r="R135" i="7"/>
  <c r="U135" i="7" s="1"/>
  <c r="W271" i="7"/>
  <c r="V271" i="7"/>
  <c r="W252" i="7"/>
  <c r="V252" i="7"/>
  <c r="S166" i="7"/>
  <c r="R166" i="7"/>
  <c r="U166" i="7" s="1"/>
  <c r="W154" i="7"/>
  <c r="V154" i="7"/>
  <c r="V260" i="7"/>
  <c r="W189" i="7"/>
  <c r="V189" i="7"/>
  <c r="R68" i="7"/>
  <c r="U68" i="7" s="1"/>
  <c r="W255" i="7"/>
  <c r="V255" i="7"/>
  <c r="S201" i="7"/>
  <c r="W57" i="7"/>
  <c r="V57" i="7"/>
  <c r="S57" i="7"/>
  <c r="R57" i="7"/>
  <c r="U57" i="7" s="1"/>
  <c r="V250" i="7"/>
  <c r="W250" i="7"/>
  <c r="W90" i="7"/>
  <c r="S90" i="7"/>
  <c r="W175" i="7"/>
  <c r="V175" i="7"/>
  <c r="R157" i="7"/>
  <c r="U157" i="7" s="1"/>
  <c r="S157" i="7"/>
  <c r="W235" i="7"/>
  <c r="V114" i="7"/>
  <c r="U185" i="7"/>
  <c r="R117" i="7"/>
  <c r="U117" i="7" s="1"/>
  <c r="S117" i="7"/>
  <c r="S94" i="7"/>
  <c r="V62" i="7"/>
  <c r="R33" i="7"/>
  <c r="U33" i="7" s="1"/>
  <c r="B46" i="12"/>
  <c r="C7" i="11"/>
  <c r="D7" i="11" s="1"/>
  <c r="E7" i="11" s="1"/>
  <c r="C8" i="9"/>
  <c r="D21" i="8"/>
  <c r="E21" i="8" s="1"/>
  <c r="E50" i="9"/>
  <c r="E53" i="9" s="1"/>
  <c r="D8" i="9"/>
  <c r="D50" i="9" s="1"/>
  <c r="C21" i="8"/>
  <c r="W6" i="7"/>
  <c r="V6" i="7"/>
  <c r="J32" i="8"/>
  <c r="J39" i="8" s="1"/>
  <c r="W168" i="7"/>
  <c r="V168" i="7"/>
  <c r="W102" i="7"/>
  <c r="S80" i="7"/>
  <c r="R80" i="7"/>
  <c r="U80" i="7" s="1"/>
  <c r="S51" i="7"/>
  <c r="R51" i="7"/>
  <c r="U76" i="7"/>
  <c r="X44" i="13"/>
  <c r="AC44" i="13"/>
  <c r="W83" i="7"/>
  <c r="R37" i="13"/>
  <c r="P12" i="13"/>
  <c r="M38" i="13"/>
  <c r="W89" i="7"/>
  <c r="V89" i="7"/>
  <c r="V107" i="7"/>
  <c r="R74" i="7"/>
  <c r="U74" i="7" s="1"/>
  <c r="S74" i="7"/>
  <c r="W42" i="7"/>
  <c r="V42" i="7"/>
  <c r="H39" i="8"/>
  <c r="W364" i="7"/>
  <c r="V364" i="7"/>
  <c r="V397" i="7"/>
  <c r="W397" i="7"/>
  <c r="G45" i="8"/>
  <c r="S319" i="7"/>
  <c r="R319" i="7"/>
  <c r="U319" i="7" s="1"/>
  <c r="R287" i="7"/>
  <c r="U287" i="7" s="1"/>
  <c r="W313" i="7"/>
  <c r="W181" i="7"/>
  <c r="V181" i="7"/>
  <c r="S188" i="7"/>
  <c r="R188" i="7"/>
  <c r="U188" i="7" s="1"/>
  <c r="S17" i="7"/>
  <c r="R17" i="7"/>
  <c r="U17" i="7" s="1"/>
  <c r="W73" i="7"/>
  <c r="V73" i="7"/>
  <c r="R353" i="7"/>
  <c r="U353" i="7" s="1"/>
  <c r="S353" i="7"/>
  <c r="S329" i="7"/>
  <c r="R329" i="7"/>
  <c r="U329" i="7" s="1"/>
  <c r="S382" i="7"/>
  <c r="R382" i="7"/>
  <c r="U382" i="7" s="1"/>
  <c r="V319" i="7"/>
  <c r="W319" i="7"/>
  <c r="W253" i="7"/>
  <c r="V253" i="7"/>
  <c r="S253" i="7"/>
  <c r="R253" i="7"/>
  <c r="U253" i="7" s="1"/>
  <c r="W322" i="7"/>
  <c r="S144" i="7"/>
  <c r="R144" i="7"/>
  <c r="U144" i="7" s="1"/>
  <c r="S143" i="7"/>
  <c r="R143" i="7"/>
  <c r="U143" i="7" s="1"/>
  <c r="S248" i="7"/>
  <c r="R248" i="7"/>
  <c r="U248" i="7" s="1"/>
  <c r="S276" i="7"/>
  <c r="R276" i="7"/>
  <c r="U276" i="7" s="1"/>
  <c r="S175" i="7"/>
  <c r="R175" i="7"/>
  <c r="U175" i="7" s="1"/>
  <c r="S168" i="7"/>
  <c r="R168" i="7"/>
  <c r="U168" i="7" s="1"/>
  <c r="B51" i="12"/>
  <c r="B8" i="9"/>
  <c r="B21" i="8"/>
  <c r="O4" i="13"/>
  <c r="S269" i="7"/>
  <c r="R269" i="7"/>
  <c r="U269" i="7" s="1"/>
  <c r="W229" i="7"/>
  <c r="V229" i="7"/>
  <c r="V374" i="7"/>
  <c r="W292" i="7"/>
  <c r="V292" i="7"/>
  <c r="W144" i="7"/>
  <c r="V144" i="7"/>
  <c r="Q34" i="13"/>
  <c r="W10" i="7"/>
  <c r="V10" i="7"/>
  <c r="S10" i="7"/>
  <c r="V34" i="13" s="1"/>
  <c r="R10" i="7"/>
  <c r="E23" i="9" s="1"/>
  <c r="S250" i="7"/>
  <c r="R250" i="7"/>
  <c r="U250" i="7" s="1"/>
  <c r="W234" i="7"/>
  <c r="V234" i="7"/>
  <c r="F44" i="8"/>
  <c r="R355" i="7"/>
  <c r="U355" i="7" s="1"/>
  <c r="V355" i="7"/>
  <c r="S355" i="7"/>
  <c r="W355" i="7"/>
  <c r="S375" i="7"/>
  <c r="R375" i="7"/>
  <c r="U375" i="7" s="1"/>
  <c r="W354" i="7"/>
  <c r="V354" i="7"/>
  <c r="W295" i="7"/>
  <c r="V295" i="7"/>
  <c r="V317" i="7"/>
  <c r="W317" i="7"/>
  <c r="W150" i="7"/>
  <c r="V150" i="7"/>
  <c r="W8" i="7"/>
  <c r="V8" i="7"/>
  <c r="R8" i="7"/>
  <c r="R7" i="7"/>
  <c r="S7" i="7"/>
  <c r="V22" i="13" s="1"/>
  <c r="M22" i="13"/>
  <c r="U23" i="7"/>
  <c r="X29" i="13" s="1"/>
  <c r="S213" i="7"/>
  <c r="R213" i="7"/>
  <c r="U213" i="7" s="1"/>
  <c r="V155" i="7"/>
  <c r="W155" i="7"/>
  <c r="W151" i="7"/>
  <c r="S151" i="7"/>
  <c r="V151" i="7"/>
  <c r="B77" i="8" s="1"/>
  <c r="V21" i="13"/>
  <c r="G23" i="10"/>
  <c r="A24" i="10"/>
  <c r="G44" i="8"/>
  <c r="G49" i="8" s="1"/>
  <c r="M46" i="8"/>
  <c r="L47" i="8"/>
  <c r="S342" i="7"/>
  <c r="S360" i="7"/>
  <c r="R360" i="7"/>
  <c r="U360" i="7" s="1"/>
  <c r="H45" i="8"/>
  <c r="H49" i="8" s="1"/>
  <c r="W370" i="7"/>
  <c r="S385" i="7"/>
  <c r="R385" i="7"/>
  <c r="U385" i="7" s="1"/>
  <c r="W361" i="7"/>
  <c r="V361" i="7"/>
  <c r="S338" i="7"/>
  <c r="V23" i="13" s="1"/>
  <c r="R338" i="7"/>
  <c r="V311" i="7"/>
  <c r="W311" i="7"/>
  <c r="S327" i="7"/>
  <c r="R327" i="7"/>
  <c r="U327" i="7" s="1"/>
  <c r="V281" i="7"/>
  <c r="W281" i="7"/>
  <c r="S331" i="7"/>
  <c r="R331" i="7"/>
  <c r="U331" i="7" s="1"/>
  <c r="W285" i="7"/>
  <c r="V285" i="7"/>
  <c r="S285" i="7"/>
  <c r="W277" i="7"/>
  <c r="V277" i="7"/>
  <c r="V274" i="7"/>
  <c r="W274" i="7"/>
  <c r="S274" i="7"/>
  <c r="R274" i="7"/>
  <c r="U274" i="7" s="1"/>
  <c r="W224" i="7"/>
  <c r="V224" i="7"/>
  <c r="R224" i="7"/>
  <c r="U224" i="7" s="1"/>
  <c r="S348" i="7"/>
  <c r="R233" i="7"/>
  <c r="U233" i="7" s="1"/>
  <c r="S233" i="7"/>
  <c r="R223" i="7"/>
  <c r="U223" i="7" s="1"/>
  <c r="S223" i="7"/>
  <c r="W133" i="7"/>
  <c r="V133" i="7"/>
  <c r="U288" i="7"/>
  <c r="S221" i="7"/>
  <c r="W145" i="7"/>
  <c r="V145" i="7"/>
  <c r="S222" i="7"/>
  <c r="R222" i="7"/>
  <c r="R241" i="7"/>
  <c r="R146" i="7"/>
  <c r="U146" i="7" s="1"/>
  <c r="S146" i="7"/>
  <c r="R142" i="7"/>
  <c r="U142" i="7" s="1"/>
  <c r="R46" i="7"/>
  <c r="U46" i="7" s="1"/>
  <c r="S46" i="7"/>
  <c r="U246" i="7"/>
  <c r="R172" i="7"/>
  <c r="U172" i="7" s="1"/>
  <c r="V75" i="7"/>
  <c r="W75" i="7"/>
  <c r="W215" i="7"/>
  <c r="V215" i="7"/>
  <c r="S340" i="7"/>
  <c r="V172" i="7"/>
  <c r="S247" i="7"/>
  <c r="R247" i="7"/>
  <c r="U247" i="7" s="1"/>
  <c r="V87" i="7"/>
  <c r="W87" i="7"/>
  <c r="W117" i="7"/>
  <c r="V117" i="7"/>
  <c r="S53" i="7"/>
  <c r="V53" i="13" s="1"/>
  <c r="R53" i="7"/>
  <c r="S48" i="7"/>
  <c r="V28" i="13" s="1"/>
  <c r="S52" i="13"/>
  <c r="S8" i="7"/>
  <c r="R147" i="7"/>
  <c r="U147" i="7" s="1"/>
  <c r="L36" i="8"/>
  <c r="L31" i="8"/>
  <c r="X56" i="13"/>
  <c r="AC56" i="13" s="1"/>
  <c r="V98" i="7"/>
  <c r="R211" i="7"/>
  <c r="U211" i="7" s="1"/>
  <c r="S129" i="7"/>
  <c r="R129" i="7"/>
  <c r="U129" i="7" s="1"/>
  <c r="W80" i="7"/>
  <c r="V80" i="7"/>
  <c r="R14" i="7"/>
  <c r="U14" i="7" s="1"/>
  <c r="R206" i="7"/>
  <c r="U206" i="7" s="1"/>
  <c r="S18" i="7"/>
  <c r="R18" i="7"/>
  <c r="R26" i="7"/>
  <c r="Q51" i="13"/>
  <c r="U7" i="13"/>
  <c r="AC7" i="13" s="1"/>
  <c r="R207" i="7"/>
  <c r="U207" i="7" s="1"/>
  <c r="R9" i="7"/>
  <c r="W74" i="7"/>
  <c r="V74" i="7"/>
  <c r="V27" i="7"/>
  <c r="W27" i="7"/>
  <c r="W62" i="7"/>
  <c r="S41" i="7"/>
  <c r="R41" i="7"/>
  <c r="U41" i="7" s="1"/>
  <c r="C23" i="8"/>
  <c r="B10" i="9"/>
  <c r="B23" i="8"/>
  <c r="Q4" i="13"/>
  <c r="O14" i="13"/>
  <c r="W103" i="7"/>
  <c r="V103" i="7"/>
  <c r="W294" i="7"/>
  <c r="V294" i="7"/>
  <c r="S164" i="7"/>
  <c r="V13" i="13" s="1"/>
  <c r="R164" i="7"/>
  <c r="S239" i="7"/>
  <c r="R239" i="7"/>
  <c r="W40" i="7"/>
  <c r="V40" i="7"/>
  <c r="S397" i="7"/>
  <c r="R397" i="7"/>
  <c r="U397" i="7" s="1"/>
  <c r="J33" i="8"/>
  <c r="C12" i="9"/>
  <c r="W31" i="7"/>
  <c r="V31" i="7"/>
  <c r="I46" i="8"/>
  <c r="W58" i="7"/>
  <c r="V58" i="7"/>
  <c r="Q15" i="13"/>
  <c r="S58" i="7"/>
  <c r="V15" i="13" s="1"/>
  <c r="R78" i="7"/>
  <c r="U78" i="7" s="1"/>
  <c r="S78" i="7"/>
  <c r="R281" i="7"/>
  <c r="U281" i="7" s="1"/>
  <c r="S281" i="7"/>
  <c r="W194" i="7"/>
  <c r="V194" i="7"/>
  <c r="U138" i="7"/>
  <c r="W115" i="7"/>
  <c r="V115" i="7"/>
  <c r="W56" i="7"/>
  <c r="V56" i="7"/>
  <c r="R56" i="7"/>
  <c r="U56" i="7" s="1"/>
  <c r="S92" i="7"/>
  <c r="V50" i="13" s="1"/>
  <c r="R92" i="7"/>
  <c r="R48" i="7"/>
  <c r="V102" i="7"/>
  <c r="U358" i="7"/>
  <c r="S279" i="7"/>
  <c r="R279" i="7"/>
  <c r="U279" i="7" s="1"/>
  <c r="W266" i="7"/>
  <c r="V266" i="7"/>
  <c r="W326" i="7"/>
  <c r="V326" i="7"/>
  <c r="S241" i="7"/>
  <c r="V14" i="13" s="1"/>
  <c r="S88" i="7"/>
  <c r="V30" i="13" s="1"/>
  <c r="R88" i="7"/>
  <c r="V236" i="7"/>
  <c r="W236" i="7"/>
  <c r="W140" i="7"/>
  <c r="V140" i="7"/>
  <c r="W100" i="7"/>
  <c r="V100" i="7"/>
  <c r="R100" i="7"/>
  <c r="U100" i="7" s="1"/>
  <c r="W45" i="7"/>
  <c r="V45" i="7"/>
  <c r="S170" i="7"/>
  <c r="R170" i="7"/>
  <c r="U170" i="7" s="1"/>
  <c r="R340" i="7"/>
  <c r="U340" i="7" s="1"/>
  <c r="S91" i="7"/>
  <c r="R91" i="7"/>
  <c r="U91" i="7" s="1"/>
  <c r="V178" i="7"/>
  <c r="W178" i="7"/>
  <c r="W7" i="7"/>
  <c r="V7" i="7"/>
  <c r="C75" i="8" s="1"/>
  <c r="O22" i="13"/>
  <c r="R45" i="7"/>
  <c r="U45" i="7" s="1"/>
  <c r="S147" i="7"/>
  <c r="S39" i="7"/>
  <c r="R39" i="7"/>
  <c r="U39" i="7" s="1"/>
  <c r="V57" i="13"/>
  <c r="W81" i="7"/>
  <c r="V81" i="7"/>
  <c r="U72" i="7"/>
  <c r="W43" i="7"/>
  <c r="V43" i="7"/>
  <c r="S14" i="7"/>
  <c r="V213" i="7"/>
  <c r="W213" i="7"/>
  <c r="S86" i="7"/>
  <c r="S73" i="7"/>
  <c r="R73" i="7"/>
  <c r="U73" i="7" s="1"/>
  <c r="S105" i="7"/>
  <c r="R105" i="7"/>
  <c r="O38" i="13"/>
  <c r="U59" i="7"/>
  <c r="P52" i="13"/>
  <c r="W82" i="7"/>
  <c r="S9" i="7"/>
  <c r="V16" i="13" s="1"/>
  <c r="S134" i="7"/>
  <c r="R134" i="7"/>
  <c r="U134" i="7" s="1"/>
  <c r="S15" i="7"/>
  <c r="V42" i="13" s="1"/>
  <c r="R15" i="7"/>
  <c r="R55" i="7"/>
  <c r="U55" i="7" s="1"/>
  <c r="S55" i="7"/>
  <c r="E52" i="9"/>
  <c r="W36" i="7"/>
  <c r="S45" i="7"/>
  <c r="V25" i="7"/>
  <c r="W25" i="7"/>
  <c r="W120" i="7"/>
  <c r="V120" i="7"/>
  <c r="D21" i="9"/>
  <c r="B21" i="9"/>
  <c r="V307" i="7"/>
  <c r="W307" i="7"/>
  <c r="W340" i="7"/>
  <c r="W365" i="7"/>
  <c r="V365" i="7"/>
  <c r="V298" i="7"/>
  <c r="S298" i="7"/>
  <c r="W298" i="7"/>
  <c r="W303" i="7"/>
  <c r="V303" i="7"/>
  <c r="W206" i="7"/>
  <c r="V206" i="7"/>
  <c r="W159" i="7"/>
  <c r="V159" i="7"/>
  <c r="W205" i="7"/>
  <c r="V205" i="7"/>
  <c r="W21" i="7"/>
  <c r="V21" i="7"/>
  <c r="S21" i="7"/>
  <c r="R21" i="7"/>
  <c r="U21" i="7" s="1"/>
  <c r="W199" i="7"/>
  <c r="V199" i="7"/>
  <c r="D23" i="8"/>
  <c r="D34" i="9"/>
  <c r="B34" i="9"/>
  <c r="W20" i="7"/>
  <c r="V20" i="7"/>
  <c r="C6" i="9"/>
  <c r="B44" i="12"/>
  <c r="J26" i="10"/>
  <c r="K26" i="10" s="1"/>
  <c r="J25" i="10"/>
  <c r="C5" i="11"/>
  <c r="C19" i="8"/>
  <c r="D6" i="9"/>
  <c r="D19" i="8"/>
  <c r="E19" i="8" s="1"/>
  <c r="S6" i="7"/>
  <c r="R6" i="7"/>
  <c r="H32" i="8"/>
  <c r="W124" i="7"/>
  <c r="V124" i="7"/>
  <c r="R124" i="7"/>
  <c r="U124" i="7" s="1"/>
  <c r="S124" i="7"/>
  <c r="S365" i="7"/>
  <c r="V293" i="7"/>
  <c r="W293" i="7"/>
  <c r="R298" i="7"/>
  <c r="U298" i="7" s="1"/>
  <c r="R139" i="7"/>
  <c r="U139" i="7" s="1"/>
  <c r="S139" i="7"/>
  <c r="S156" i="7"/>
  <c r="R156" i="7"/>
  <c r="U156" i="7" s="1"/>
  <c r="W163" i="7"/>
  <c r="V163" i="7"/>
  <c r="U119" i="7"/>
  <c r="F45" i="8"/>
  <c r="W378" i="7"/>
  <c r="V378" i="7"/>
  <c r="R378" i="7"/>
  <c r="S378" i="7"/>
  <c r="S347" i="7"/>
  <c r="R347" i="7"/>
  <c r="U347" i="7" s="1"/>
  <c r="R265" i="7"/>
  <c r="U265" i="7" s="1"/>
  <c r="S265" i="7"/>
  <c r="S169" i="7"/>
  <c r="V35" i="13" s="1"/>
  <c r="R169" i="7"/>
  <c r="W182" i="7"/>
  <c r="V182" i="7"/>
  <c r="W276" i="7"/>
  <c r="V276" i="7"/>
  <c r="V142" i="7"/>
  <c r="W142" i="7"/>
  <c r="W116" i="7"/>
  <c r="V116" i="7"/>
  <c r="C8" i="11"/>
  <c r="D8" i="11" s="1"/>
  <c r="E8" i="11" s="1"/>
  <c r="D9" i="9"/>
  <c r="D51" i="9" s="1"/>
  <c r="B47" i="12"/>
  <c r="C22" i="8"/>
  <c r="C9" i="9"/>
  <c r="E51" i="9"/>
  <c r="D22" i="8"/>
  <c r="E22" i="8" s="1"/>
  <c r="W67" i="7"/>
  <c r="V67" i="7"/>
  <c r="S377" i="7"/>
  <c r="R377" i="7"/>
  <c r="U377" i="7" s="1"/>
  <c r="S364" i="7"/>
  <c r="R364" i="7"/>
  <c r="U364" i="7" s="1"/>
  <c r="U299" i="7"/>
  <c r="W327" i="7"/>
  <c r="V327" i="7"/>
  <c r="W347" i="7"/>
  <c r="V347" i="7"/>
  <c r="W308" i="7"/>
  <c r="S290" i="7"/>
  <c r="R290" i="7"/>
  <c r="U290" i="7" s="1"/>
  <c r="S178" i="7"/>
  <c r="R178" i="7"/>
  <c r="U178" i="7" s="1"/>
  <c r="W132" i="7"/>
  <c r="V132" i="7"/>
  <c r="R273" i="7"/>
  <c r="U273" i="7" s="1"/>
  <c r="S216" i="7"/>
  <c r="R216" i="7"/>
  <c r="U216" i="7" s="1"/>
  <c r="R325" i="7"/>
  <c r="U325" i="7" s="1"/>
  <c r="S325" i="7"/>
  <c r="S266" i="7"/>
  <c r="S177" i="7"/>
  <c r="R177" i="7"/>
  <c r="U177" i="7" s="1"/>
  <c r="L44" i="8"/>
  <c r="L49" i="8" s="1"/>
  <c r="W393" i="7"/>
  <c r="S392" i="7"/>
  <c r="R392" i="7"/>
  <c r="U392" i="7" s="1"/>
  <c r="V350" i="7"/>
  <c r="W350" i="7"/>
  <c r="W377" i="7"/>
  <c r="V377" i="7"/>
  <c r="S352" i="7"/>
  <c r="R352" i="7"/>
  <c r="U352" i="7" s="1"/>
  <c r="D22" i="9"/>
  <c r="D28" i="9" s="1"/>
  <c r="B22" i="9"/>
  <c r="S344" i="7"/>
  <c r="R344" i="7"/>
  <c r="U344" i="7" s="1"/>
  <c r="R311" i="7"/>
  <c r="U311" i="7" s="1"/>
  <c r="S354" i="7"/>
  <c r="W299" i="7"/>
  <c r="V282" i="7"/>
  <c r="S337" i="7"/>
  <c r="R337" i="7"/>
  <c r="U337" i="7" s="1"/>
  <c r="S317" i="7"/>
  <c r="R317" i="7"/>
  <c r="U317" i="7" s="1"/>
  <c r="S275" i="7"/>
  <c r="S238" i="7"/>
  <c r="R238" i="7"/>
  <c r="U238" i="7" s="1"/>
  <c r="W171" i="7"/>
  <c r="W218" i="7"/>
  <c r="V218" i="7"/>
  <c r="R218" i="7"/>
  <c r="U218" i="7" s="1"/>
  <c r="S311" i="7"/>
  <c r="U230" i="7"/>
  <c r="R167" i="7"/>
  <c r="U167" i="7" s="1"/>
  <c r="S167" i="7"/>
  <c r="W223" i="7"/>
  <c r="V223" i="7"/>
  <c r="S180" i="7"/>
  <c r="R180" i="7"/>
  <c r="U180" i="7" s="1"/>
  <c r="U257" i="7"/>
  <c r="U23" i="12" s="1"/>
  <c r="V273" i="7"/>
  <c r="W211" i="7"/>
  <c r="V211" i="7"/>
  <c r="S273" i="7"/>
  <c r="U244" i="7"/>
  <c r="R219" i="7"/>
  <c r="U219" i="7" s="1"/>
  <c r="S336" i="7"/>
  <c r="V39" i="13" s="1"/>
  <c r="R260" i="7"/>
  <c r="U260" i="7" s="1"/>
  <c r="V227" i="7"/>
  <c r="W227" i="7"/>
  <c r="S64" i="7"/>
  <c r="R64" i="7"/>
  <c r="U64" i="7" s="1"/>
  <c r="V171" i="7"/>
  <c r="W93" i="7"/>
  <c r="V93" i="7"/>
  <c r="W44" i="7"/>
  <c r="V44" i="7"/>
  <c r="R44" i="7"/>
  <c r="U44" i="7" s="1"/>
  <c r="R159" i="7"/>
  <c r="U159" i="7" s="1"/>
  <c r="S278" i="7"/>
  <c r="R278" i="7"/>
  <c r="W157" i="7"/>
  <c r="V157" i="7"/>
  <c r="W247" i="7"/>
  <c r="V247" i="7"/>
  <c r="W53" i="7"/>
  <c r="V53" i="7"/>
  <c r="S30" i="7"/>
  <c r="R30" i="7"/>
  <c r="U30" i="7" s="1"/>
  <c r="M50" i="13"/>
  <c r="W147" i="7"/>
  <c r="B39" i="8"/>
  <c r="F31" i="8"/>
  <c r="I38" i="8"/>
  <c r="V95" i="7"/>
  <c r="S29" i="7"/>
  <c r="V55" i="13" s="1"/>
  <c r="R29" i="7"/>
  <c r="M55" i="13"/>
  <c r="J48" i="8"/>
  <c r="J49" i="8" s="1"/>
  <c r="V226" i="7"/>
  <c r="S160" i="7"/>
  <c r="R87" i="7"/>
  <c r="U87" i="7" s="1"/>
  <c r="W129" i="7"/>
  <c r="V129" i="7"/>
  <c r="S346" i="7"/>
  <c r="R86" i="7"/>
  <c r="U86" i="7" s="1"/>
  <c r="W18" i="7"/>
  <c r="V18" i="7"/>
  <c r="N11" i="13"/>
  <c r="P39" i="13"/>
  <c r="C24" i="8"/>
  <c r="W41" i="7"/>
  <c r="V41" i="7"/>
  <c r="B48" i="12"/>
  <c r="S38" i="7"/>
  <c r="R38" i="7"/>
  <c r="U38" i="7" s="1"/>
  <c r="V278" i="7"/>
  <c r="W394" i="7"/>
  <c r="V394" i="7"/>
  <c r="S304" i="7"/>
  <c r="R304" i="7"/>
  <c r="U304" i="7" s="1"/>
  <c r="W366" i="7"/>
  <c r="V366" i="7"/>
  <c r="S227" i="7"/>
  <c r="V54" i="13" s="1"/>
  <c r="R227" i="7"/>
  <c r="I33" i="8"/>
  <c r="W283" i="7"/>
  <c r="V283" i="7"/>
  <c r="V328" i="7"/>
  <c r="W328" i="7"/>
  <c r="W309" i="7"/>
  <c r="V309" i="7"/>
  <c r="W217" i="7"/>
  <c r="V217" i="7"/>
  <c r="W99" i="7"/>
  <c r="V99" i="7"/>
  <c r="M49" i="8"/>
  <c r="S404" i="7"/>
  <c r="R404" i="7"/>
  <c r="U404" i="7" s="1"/>
  <c r="S179" i="7"/>
  <c r="R179" i="7"/>
  <c r="S154" i="7"/>
  <c r="R154" i="7"/>
  <c r="U154" i="7" s="1"/>
  <c r="W68" i="7"/>
  <c r="V68" i="7"/>
  <c r="R123" i="7"/>
  <c r="U123" i="7" s="1"/>
  <c r="AC29" i="13"/>
  <c r="S372" i="7"/>
  <c r="W272" i="7"/>
  <c r="V272" i="7"/>
  <c r="W164" i="7"/>
  <c r="V164" i="7"/>
  <c r="W37" i="7"/>
  <c r="V37" i="7"/>
  <c r="W17" i="7"/>
  <c r="V17" i="7"/>
  <c r="V63" i="7"/>
  <c r="W63" i="7"/>
  <c r="W318" i="7"/>
  <c r="V318" i="7"/>
  <c r="S332" i="7"/>
  <c r="W193" i="7"/>
  <c r="V193" i="7"/>
  <c r="W314" i="7"/>
  <c r="V314" i="7"/>
  <c r="S267" i="7"/>
  <c r="R267" i="7"/>
  <c r="U267" i="7" s="1"/>
  <c r="S121" i="7"/>
  <c r="R121" i="7"/>
  <c r="U121" i="7" s="1"/>
  <c r="S56" i="7"/>
  <c r="H46" i="8"/>
  <c r="R43" i="7"/>
  <c r="U43" i="7" s="1"/>
  <c r="S43" i="7"/>
  <c r="I44" i="8"/>
  <c r="I49" i="8" s="1"/>
  <c r="W392" i="7"/>
  <c r="W169" i="7"/>
  <c r="V169" i="7"/>
  <c r="U162" i="7"/>
  <c r="V138" i="7"/>
  <c r="W138" i="7"/>
  <c r="B28" i="9"/>
  <c r="B33" i="9"/>
  <c r="D33" i="9"/>
  <c r="D35" i="9"/>
  <c r="B35" i="9"/>
  <c r="U389" i="7"/>
  <c r="U17" i="12" s="1"/>
  <c r="W388" i="7"/>
  <c r="V388" i="7"/>
  <c r="F47" i="8"/>
  <c r="V384" i="7"/>
  <c r="R350" i="7"/>
  <c r="U350" i="7" s="1"/>
  <c r="S391" i="7"/>
  <c r="R391" i="7"/>
  <c r="U391" i="7" s="1"/>
  <c r="W349" i="7"/>
  <c r="V349" i="7"/>
  <c r="W321" i="7"/>
  <c r="V321" i="7"/>
  <c r="V352" i="7"/>
  <c r="W352" i="7"/>
  <c r="F33" i="8"/>
  <c r="R333" i="7"/>
  <c r="U333" i="7" s="1"/>
  <c r="S322" i="7"/>
  <c r="R270" i="7"/>
  <c r="U270" i="7" s="1"/>
  <c r="S270" i="7"/>
  <c r="W296" i="7"/>
  <c r="W331" i="7"/>
  <c r="V331" i="7"/>
  <c r="R339" i="7"/>
  <c r="U339" i="7" s="1"/>
  <c r="S339" i="7"/>
  <c r="S283" i="7"/>
  <c r="R283" i="7"/>
  <c r="U283" i="7" s="1"/>
  <c r="W367" i="7"/>
  <c r="V367" i="7"/>
  <c r="S367" i="7"/>
  <c r="R367" i="7"/>
  <c r="U367" i="7" s="1"/>
  <c r="S297" i="7"/>
  <c r="R297" i="7"/>
  <c r="W240" i="7"/>
  <c r="V240" i="7"/>
  <c r="V238" i="7"/>
  <c r="W238" i="7"/>
  <c r="W207" i="7"/>
  <c r="V207" i="7"/>
  <c r="S217" i="7"/>
  <c r="R217" i="7"/>
  <c r="U217" i="7" s="1"/>
  <c r="S260" i="7"/>
  <c r="W216" i="7"/>
  <c r="V216" i="7"/>
  <c r="W325" i="7"/>
  <c r="V325" i="7"/>
  <c r="U200" i="7"/>
  <c r="R336" i="7"/>
  <c r="S245" i="7"/>
  <c r="R245" i="7"/>
  <c r="U245" i="7" s="1"/>
  <c r="U187" i="7"/>
  <c r="U174" i="7"/>
  <c r="U31" i="12" s="1"/>
  <c r="U25" i="12"/>
  <c r="W146" i="7"/>
  <c r="V146" i="7"/>
  <c r="S52" i="7"/>
  <c r="R52" i="7"/>
  <c r="U52" i="7" s="1"/>
  <c r="S236" i="7"/>
  <c r="R236" i="7"/>
  <c r="U236" i="7" s="1"/>
  <c r="S159" i="7"/>
  <c r="U137" i="7"/>
  <c r="R176" i="7"/>
  <c r="U176" i="7" s="1"/>
  <c r="W61" i="7"/>
  <c r="V61" i="7"/>
  <c r="C74" i="8" s="1"/>
  <c r="E13" i="9"/>
  <c r="E12" i="9"/>
  <c r="E6" i="9"/>
  <c r="E11" i="9"/>
  <c r="E9" i="9"/>
  <c r="R118" i="7"/>
  <c r="U118" i="7" s="1"/>
  <c r="S118" i="7"/>
  <c r="B45" i="9"/>
  <c r="S196" i="7"/>
  <c r="U15" i="12" s="1"/>
  <c r="K48" i="8"/>
  <c r="R149" i="7"/>
  <c r="U149" i="7" s="1"/>
  <c r="S87" i="7"/>
  <c r="V202" i="7"/>
  <c r="W202" i="7"/>
  <c r="O24" i="13"/>
  <c r="S70" i="7"/>
  <c r="R70" i="7"/>
  <c r="U70" i="7" s="1"/>
  <c r="R82" i="7"/>
  <c r="U82" i="7" s="1"/>
  <c r="S63" i="7"/>
  <c r="R63" i="7"/>
  <c r="U63" i="7" s="1"/>
  <c r="V94" i="7"/>
  <c r="M23" i="13"/>
  <c r="M42" i="13"/>
  <c r="O11" i="13"/>
  <c r="S98" i="7"/>
  <c r="D24" i="8"/>
  <c r="W55" i="7"/>
  <c r="V55" i="7"/>
  <c r="S54" i="7"/>
  <c r="R54" i="7"/>
  <c r="U54" i="7" s="1"/>
  <c r="S67" i="7"/>
  <c r="R67" i="7"/>
  <c r="U67" i="7" s="1"/>
  <c r="Q11" i="13"/>
  <c r="W15" i="7"/>
  <c r="R34" i="7"/>
  <c r="U34" i="7" s="1"/>
  <c r="W259" i="7"/>
  <c r="V259" i="7"/>
  <c r="R259" i="7"/>
  <c r="U259" i="7" s="1"/>
  <c r="S259" i="7"/>
  <c r="S305" i="7"/>
  <c r="W363" i="7"/>
  <c r="V363" i="7"/>
  <c r="V158" i="7"/>
  <c r="W158" i="7"/>
  <c r="S158" i="7"/>
  <c r="S252" i="7"/>
  <c r="R252" i="7"/>
  <c r="U252" i="7" s="1"/>
  <c r="W375" i="7"/>
  <c r="V375" i="7"/>
  <c r="R387" i="7"/>
  <c r="U387" i="7" s="1"/>
  <c r="S387" i="7"/>
  <c r="W371" i="7"/>
  <c r="V371" i="7"/>
  <c r="S335" i="7"/>
  <c r="R335" i="7"/>
  <c r="U335" i="7" s="1"/>
  <c r="W264" i="7"/>
  <c r="V264" i="7"/>
  <c r="S263" i="7"/>
  <c r="R263" i="7"/>
  <c r="U263" i="7" s="1"/>
  <c r="S296" i="7"/>
  <c r="W192" i="7"/>
  <c r="V192" i="7"/>
  <c r="R234" i="7"/>
  <c r="U234" i="7" s="1"/>
  <c r="S234" i="7"/>
  <c r="S202" i="7"/>
  <c r="V24" i="13" s="1"/>
  <c r="R202" i="7"/>
  <c r="F13" i="9"/>
  <c r="J19" i="10"/>
  <c r="S293" i="7"/>
  <c r="R293" i="7"/>
  <c r="U293" i="7" s="1"/>
  <c r="S194" i="7"/>
  <c r="R194" i="7"/>
  <c r="U194" i="7" s="1"/>
  <c r="S228" i="7"/>
  <c r="R228" i="7"/>
  <c r="U228" i="7" s="1"/>
  <c r="H37" i="8"/>
  <c r="R89" i="7"/>
  <c r="U89" i="7" s="1"/>
  <c r="S89" i="7"/>
  <c r="S69" i="7"/>
  <c r="R69" i="7"/>
  <c r="U69" i="7" s="1"/>
  <c r="R42" i="7"/>
  <c r="S42" i="7"/>
  <c r="V49" i="13" s="1"/>
  <c r="X33" i="13"/>
  <c r="AC33" i="13" s="1"/>
  <c r="R302" i="7"/>
  <c r="U302" i="7" s="1"/>
  <c r="S302" i="7"/>
  <c r="U262" i="7"/>
  <c r="S123" i="7"/>
  <c r="B50" i="12"/>
  <c r="B49" i="8"/>
  <c r="S361" i="7"/>
  <c r="R361" i="7"/>
  <c r="U361" i="7" s="1"/>
  <c r="U342" i="7"/>
  <c r="W323" i="7"/>
  <c r="V323" i="7"/>
  <c r="V304" i="7"/>
  <c r="W304" i="7"/>
  <c r="S258" i="7"/>
  <c r="R258" i="7"/>
  <c r="U258" i="7" s="1"/>
  <c r="S140" i="7"/>
  <c r="R140" i="7"/>
  <c r="U140" i="7" s="1"/>
  <c r="W167" i="7"/>
  <c r="V167" i="7"/>
  <c r="S255" i="7"/>
  <c r="U108" i="7"/>
  <c r="U18" i="12" s="1"/>
  <c r="O8" i="13"/>
  <c r="V399" i="7"/>
  <c r="W399" i="7"/>
  <c r="W395" i="7"/>
  <c r="V395" i="7"/>
  <c r="W343" i="7"/>
  <c r="V343" i="7"/>
  <c r="W342" i="7"/>
  <c r="V342" i="7"/>
  <c r="R354" i="7"/>
  <c r="U354" i="7" s="1"/>
  <c r="V299" i="7"/>
  <c r="I32" i="8"/>
  <c r="I39" i="8" s="1"/>
  <c r="W383" i="7"/>
  <c r="V383" i="7"/>
  <c r="W384" i="7"/>
  <c r="R403" i="7"/>
  <c r="U403" i="7" s="1"/>
  <c r="S403" i="7"/>
  <c r="S330" i="7"/>
  <c r="R330" i="7"/>
  <c r="U330" i="7" s="1"/>
  <c r="H33" i="8"/>
  <c r="W344" i="7"/>
  <c r="V344" i="7"/>
  <c r="V400" i="7"/>
  <c r="U315" i="7"/>
  <c r="V268" i="7"/>
  <c r="S268" i="7"/>
  <c r="R268" i="7"/>
  <c r="U268" i="7" s="1"/>
  <c r="S313" i="7"/>
  <c r="R282" i="7"/>
  <c r="U282" i="7" s="1"/>
  <c r="S282" i="7"/>
  <c r="S366" i="7"/>
  <c r="R366" i="7"/>
  <c r="U366" i="7" s="1"/>
  <c r="S326" i="7"/>
  <c r="R326" i="7"/>
  <c r="U326" i="7" s="1"/>
  <c r="S398" i="7"/>
  <c r="R398" i="7"/>
  <c r="U398" i="7" s="1"/>
  <c r="V279" i="7"/>
  <c r="W279" i="7"/>
  <c r="V337" i="7"/>
  <c r="W337" i="7"/>
  <c r="R272" i="7"/>
  <c r="U272" i="7" s="1"/>
  <c r="V148" i="7"/>
  <c r="W148" i="7"/>
  <c r="W195" i="7"/>
  <c r="V195" i="7"/>
  <c r="W254" i="7"/>
  <c r="V254" i="7"/>
  <c r="S219" i="7"/>
  <c r="W180" i="7"/>
  <c r="V180" i="7"/>
  <c r="W122" i="7"/>
  <c r="V122" i="7"/>
  <c r="S320" i="7"/>
  <c r="R182" i="7"/>
  <c r="S203" i="7"/>
  <c r="R203" i="7"/>
  <c r="U203" i="7" s="1"/>
  <c r="R254" i="7"/>
  <c r="U254" i="7" s="1"/>
  <c r="S237" i="7"/>
  <c r="R237" i="7"/>
  <c r="U237" i="7" s="1"/>
  <c r="R132" i="7"/>
  <c r="U132" i="7" s="1"/>
  <c r="S132" i="7"/>
  <c r="R163" i="7"/>
  <c r="U163" i="7" s="1"/>
  <c r="S128" i="7"/>
  <c r="V19" i="13" s="1"/>
  <c r="R128" i="7"/>
  <c r="S40" i="7"/>
  <c r="R40" i="7"/>
  <c r="C21" i="9" s="1"/>
  <c r="U93" i="7"/>
  <c r="W33" i="7"/>
  <c r="V33" i="7"/>
  <c r="S226" i="7"/>
  <c r="V51" i="13" s="1"/>
  <c r="R226" i="7"/>
  <c r="V256" i="7"/>
  <c r="S215" i="7"/>
  <c r="R215" i="7"/>
  <c r="U215" i="7" s="1"/>
  <c r="W170" i="7"/>
  <c r="V170" i="7"/>
  <c r="S242" i="7"/>
  <c r="R242" i="7"/>
  <c r="U242" i="7" s="1"/>
  <c r="R75" i="7"/>
  <c r="W121" i="7"/>
  <c r="V121" i="7"/>
  <c r="W92" i="7"/>
  <c r="V92" i="7"/>
  <c r="B20" i="8"/>
  <c r="B7" i="9"/>
  <c r="N4" i="13"/>
  <c r="X59" i="13" s="1"/>
  <c r="AC59" i="13" s="1"/>
  <c r="W30" i="7"/>
  <c r="V30" i="7"/>
  <c r="S66" i="7"/>
  <c r="R66" i="7"/>
  <c r="U66" i="7" s="1"/>
  <c r="D45" i="9"/>
  <c r="S65" i="7"/>
  <c r="R65" i="7"/>
  <c r="U65" i="7" s="1"/>
  <c r="L37" i="8"/>
  <c r="K35" i="8"/>
  <c r="S93" i="7"/>
  <c r="W29" i="7"/>
  <c r="V29" i="7"/>
  <c r="R195" i="7"/>
  <c r="U195" i="7" s="1"/>
  <c r="S149" i="7"/>
  <c r="R85" i="7"/>
  <c r="U85" i="7" s="1"/>
  <c r="S85" i="7"/>
  <c r="S113" i="7"/>
  <c r="R113" i="7"/>
  <c r="U113" i="7" s="1"/>
  <c r="U35" i="7"/>
  <c r="D12" i="9"/>
  <c r="J23" i="10" s="1"/>
  <c r="K23" i="10" s="1"/>
  <c r="S82" i="7"/>
  <c r="S13" i="7"/>
  <c r="R13" i="7"/>
  <c r="X31" i="13"/>
  <c r="AC31" i="13" s="1"/>
  <c r="N6" i="13"/>
  <c r="V34" i="7"/>
  <c r="T9" i="7"/>
  <c r="W16" i="13" s="1"/>
  <c r="T16" i="13"/>
  <c r="C11" i="9"/>
  <c r="S27" i="7"/>
  <c r="R27" i="7"/>
  <c r="U27" i="7" s="1"/>
  <c r="C10" i="9"/>
  <c r="R62" i="7"/>
  <c r="U62" i="7" s="1"/>
  <c r="W9" i="7"/>
  <c r="S103" i="7"/>
  <c r="R103" i="7"/>
  <c r="U103" i="7" s="1"/>
  <c r="W38" i="7"/>
  <c r="V38" i="7"/>
  <c r="AC40" i="13"/>
  <c r="X40" i="13"/>
  <c r="V404" i="7"/>
  <c r="W404" i="7"/>
  <c r="S251" i="7"/>
  <c r="R251" i="7"/>
  <c r="U251" i="7" s="1"/>
  <c r="S79" i="7"/>
  <c r="V6" i="13" s="1"/>
  <c r="R79" i="7"/>
  <c r="T11" i="7"/>
  <c r="W10" i="13" s="1"/>
  <c r="T10" i="13"/>
  <c r="V385" i="7"/>
  <c r="W385" i="7"/>
  <c r="V284" i="7"/>
  <c r="R284" i="7"/>
  <c r="U284" i="7" s="1"/>
  <c r="R204" i="7"/>
  <c r="U204" i="7" s="1"/>
  <c r="S204" i="7"/>
  <c r="S271" i="7"/>
  <c r="R271" i="7"/>
  <c r="U271" i="7" s="1"/>
  <c r="S292" i="7"/>
  <c r="R292" i="7"/>
  <c r="U292" i="7" s="1"/>
  <c r="S380" i="7"/>
  <c r="R380" i="7"/>
  <c r="U380" i="7" s="1"/>
  <c r="W335" i="7"/>
  <c r="V335" i="7"/>
  <c r="S295" i="7"/>
  <c r="R295" i="7"/>
  <c r="U295" i="7" s="1"/>
  <c r="S193" i="7"/>
  <c r="R193" i="7"/>
  <c r="U193" i="7" s="1"/>
  <c r="S314" i="7"/>
  <c r="R314" i="7"/>
  <c r="U314" i="7" s="1"/>
  <c r="R150" i="7"/>
  <c r="U150" i="7" s="1"/>
  <c r="S150" i="7"/>
  <c r="R201" i="7"/>
  <c r="U201" i="7" s="1"/>
  <c r="S116" i="7"/>
  <c r="R116" i="7"/>
  <c r="U116" i="7" s="1"/>
  <c r="U61" i="7"/>
  <c r="X18" i="13" s="1"/>
  <c r="AC18" i="13" s="1"/>
  <c r="B45" i="12"/>
  <c r="C6" i="11"/>
  <c r="D6" i="11" s="1"/>
  <c r="E6" i="11" s="1"/>
  <c r="D7" i="9"/>
  <c r="D20" i="8"/>
  <c r="C7" i="9"/>
  <c r="C20" i="8"/>
  <c r="D37" i="9"/>
  <c r="B37" i="9"/>
  <c r="R400" i="7"/>
  <c r="U400" i="7" s="1"/>
  <c r="W401" i="7"/>
  <c r="V401" i="7"/>
  <c r="W391" i="7"/>
  <c r="V391" i="7"/>
  <c r="V359" i="7"/>
  <c r="W359" i="7"/>
  <c r="M31" i="8"/>
  <c r="M39" i="8" s="1"/>
  <c r="F34" i="8"/>
  <c r="W376" i="7"/>
  <c r="V376" i="7"/>
  <c r="U399" i="7"/>
  <c r="W380" i="7"/>
  <c r="V380" i="7"/>
  <c r="U396" i="7"/>
  <c r="W348" i="7"/>
  <c r="V348" i="7"/>
  <c r="S394" i="7"/>
  <c r="R394" i="7"/>
  <c r="U394" i="7" s="1"/>
  <c r="S371" i="7"/>
  <c r="R371" i="7"/>
  <c r="U371" i="7" s="1"/>
  <c r="W403" i="7"/>
  <c r="V403" i="7"/>
  <c r="S308" i="7"/>
  <c r="R308" i="7"/>
  <c r="U308" i="7" s="1"/>
  <c r="K33" i="8"/>
  <c r="K39" i="8" s="1"/>
  <c r="W400" i="7"/>
  <c r="R328" i="7"/>
  <c r="U328" i="7" s="1"/>
  <c r="S328" i="7"/>
  <c r="S307" i="7"/>
  <c r="R307" i="7"/>
  <c r="U307" i="7" s="1"/>
  <c r="W339" i="7"/>
  <c r="V339" i="7"/>
  <c r="W398" i="7"/>
  <c r="V398" i="7"/>
  <c r="W297" i="7"/>
  <c r="V297" i="7"/>
  <c r="S309" i="7"/>
  <c r="R309" i="7"/>
  <c r="U309" i="7" s="1"/>
  <c r="S264" i="7"/>
  <c r="R264" i="7"/>
  <c r="U264" i="7" s="1"/>
  <c r="W183" i="7"/>
  <c r="V183" i="7"/>
  <c r="S183" i="7"/>
  <c r="R183" i="7"/>
  <c r="U183" i="7" s="1"/>
  <c r="R155" i="7"/>
  <c r="S155" i="7"/>
  <c r="R303" i="7"/>
  <c r="U303" i="7" s="1"/>
  <c r="S303" i="7"/>
  <c r="U210" i="7"/>
  <c r="X17" i="13" s="1"/>
  <c r="R229" i="7"/>
  <c r="U229" i="7" s="1"/>
  <c r="W176" i="7"/>
  <c r="V176" i="7"/>
  <c r="V248" i="7"/>
  <c r="W248" i="7"/>
  <c r="W237" i="7"/>
  <c r="V237" i="7"/>
  <c r="S192" i="7"/>
  <c r="R192" i="7"/>
  <c r="U192" i="7" s="1"/>
  <c r="V245" i="7"/>
  <c r="W245" i="7"/>
  <c r="S181" i="7"/>
  <c r="R181" i="7"/>
  <c r="U181" i="7" s="1"/>
  <c r="S163" i="7"/>
  <c r="V201" i="7"/>
  <c r="S28" i="7"/>
  <c r="R28" i="7"/>
  <c r="U28" i="7" s="1"/>
  <c r="S229" i="7"/>
  <c r="S306" i="7"/>
  <c r="R306" i="7"/>
  <c r="U306" i="7" s="1"/>
  <c r="R205" i="7"/>
  <c r="S205" i="7"/>
  <c r="V8" i="13" s="1"/>
  <c r="U152" i="7"/>
  <c r="W136" i="7"/>
  <c r="V136" i="7"/>
  <c r="S136" i="7"/>
  <c r="R136" i="7"/>
  <c r="U136" i="7" s="1"/>
  <c r="W32" i="7"/>
  <c r="V32" i="7"/>
  <c r="R32" i="7"/>
  <c r="U32" i="7" s="1"/>
  <c r="R212" i="7"/>
  <c r="U212" i="7" s="1"/>
  <c r="U126" i="7"/>
  <c r="S199" i="7"/>
  <c r="R199" i="7"/>
  <c r="U199" i="7" s="1"/>
  <c r="S75" i="7"/>
  <c r="R235" i="7"/>
  <c r="U235" i="7" s="1"/>
  <c r="W50" i="7"/>
  <c r="V50" i="7"/>
  <c r="W118" i="7"/>
  <c r="V118" i="7"/>
  <c r="S99" i="7"/>
  <c r="R99" i="7"/>
  <c r="S32" i="7"/>
  <c r="W191" i="7"/>
  <c r="V191" i="7"/>
  <c r="F32" i="8"/>
  <c r="H36" i="8"/>
  <c r="V160" i="7"/>
  <c r="R12" i="7"/>
  <c r="S195" i="7"/>
  <c r="W128" i="7"/>
  <c r="V128" i="7"/>
  <c r="W70" i="7"/>
  <c r="V70" i="7"/>
  <c r="C11" i="11"/>
  <c r="D11" i="11" s="1"/>
  <c r="E11" i="11" s="1"/>
  <c r="W105" i="7"/>
  <c r="V105" i="7"/>
  <c r="W13" i="7"/>
  <c r="V13" i="7"/>
  <c r="W88" i="7"/>
  <c r="V88" i="7"/>
  <c r="M24" i="13"/>
  <c r="O13" i="13"/>
  <c r="W34" i="7"/>
  <c r="O54" i="13"/>
  <c r="V134" i="7"/>
  <c r="W134" i="7"/>
  <c r="C10" i="11"/>
  <c r="D10" i="11" s="1"/>
  <c r="E10" i="11" s="1"/>
  <c r="W54" i="7"/>
  <c r="V54" i="7"/>
  <c r="C9" i="11"/>
  <c r="D9" i="11" s="1"/>
  <c r="E9" i="11" s="1"/>
  <c r="J27" i="10"/>
  <c r="K27" i="10" s="1"/>
  <c r="C14" i="11"/>
  <c r="D14" i="11" s="1"/>
  <c r="E14" i="11" s="1"/>
  <c r="B14" i="8"/>
  <c r="C13" i="11"/>
  <c r="D13" i="11" s="1"/>
  <c r="E13" i="11" s="1"/>
  <c r="B15" i="8"/>
  <c r="J28" i="10" s="1"/>
  <c r="B22" i="8"/>
  <c r="B9" i="9"/>
  <c r="P4" i="13"/>
  <c r="S120" i="7"/>
  <c r="R120" i="7"/>
  <c r="U120" i="7" s="1"/>
  <c r="R22" i="7"/>
  <c r="U22" i="7" s="1"/>
  <c r="S16" i="7"/>
  <c r="R16" i="7"/>
  <c r="U16" i="7" s="1"/>
  <c r="V212" i="7"/>
  <c r="W306" i="7"/>
  <c r="V306" i="7"/>
  <c r="V106" i="7"/>
  <c r="W106" i="7"/>
  <c r="S104" i="7"/>
  <c r="R104" i="7"/>
  <c r="U104" i="7" s="1"/>
  <c r="W242" i="7"/>
  <c r="V242" i="7"/>
  <c r="V153" i="7"/>
  <c r="V267" i="7"/>
  <c r="W267" i="7"/>
  <c r="W49" i="7"/>
  <c r="V49" i="7"/>
  <c r="S77" i="7"/>
  <c r="R77" i="7"/>
  <c r="U77" i="7" s="1"/>
  <c r="W66" i="7"/>
  <c r="V66" i="7"/>
  <c r="W65" i="7"/>
  <c r="V65" i="7"/>
  <c r="F37" i="8"/>
  <c r="H35" i="8"/>
  <c r="F38" i="8"/>
  <c r="G37" i="8"/>
  <c r="G39" i="8" s="1"/>
  <c r="W85" i="7"/>
  <c r="V85" i="7"/>
  <c r="W113" i="7"/>
  <c r="V113" i="7"/>
  <c r="W239" i="7"/>
  <c r="V239" i="7"/>
  <c r="V78" i="7"/>
  <c r="W78" i="7"/>
  <c r="S49" i="7"/>
  <c r="Q7" i="13"/>
  <c r="R37" i="7"/>
  <c r="U37" i="7" s="1"/>
  <c r="R31" i="7"/>
  <c r="U31" i="7" s="1"/>
  <c r="S31" i="7"/>
  <c r="D10" i="9"/>
  <c r="D52" i="9" s="1"/>
  <c r="F52" i="9" s="1"/>
  <c r="U111" i="7"/>
  <c r="U9" i="12" s="1"/>
  <c r="D26" i="8"/>
  <c r="E26" i="8" s="1"/>
  <c r="AC20" i="13"/>
  <c r="X20" i="13"/>
  <c r="M13" i="13"/>
  <c r="R58" i="7"/>
  <c r="C76" i="8" l="1"/>
  <c r="C15" i="9"/>
  <c r="C20" i="11"/>
  <c r="D20" i="11" s="1"/>
  <c r="E20" i="11" s="1"/>
  <c r="C17" i="11"/>
  <c r="D17" i="11" s="1"/>
  <c r="E17" i="11" s="1"/>
  <c r="D15" i="9"/>
  <c r="B7" i="8"/>
  <c r="B8" i="8"/>
  <c r="D7" i="10" s="1"/>
  <c r="U6" i="7"/>
  <c r="D33" i="8"/>
  <c r="C44" i="9"/>
  <c r="E44" i="9"/>
  <c r="F44" i="9" s="1"/>
  <c r="C46" i="8"/>
  <c r="E46" i="8" s="1"/>
  <c r="C33" i="8"/>
  <c r="E33" i="8" s="1"/>
  <c r="D46" i="8"/>
  <c r="U239" i="7"/>
  <c r="U33" i="12"/>
  <c r="D53" i="9"/>
  <c r="F53" i="9" s="1"/>
  <c r="F50" i="9"/>
  <c r="U99" i="7"/>
  <c r="U14" i="12"/>
  <c r="E37" i="9"/>
  <c r="F37" i="9" s="1"/>
  <c r="B11" i="8"/>
  <c r="U13" i="7"/>
  <c r="C27" i="9"/>
  <c r="D38" i="8"/>
  <c r="C38" i="8"/>
  <c r="E38" i="8" s="1"/>
  <c r="E27" i="9"/>
  <c r="F27" i="9" s="1"/>
  <c r="U378" i="7"/>
  <c r="U34" i="12"/>
  <c r="U164" i="7"/>
  <c r="X13" i="13" s="1"/>
  <c r="U13" i="13"/>
  <c r="X41" i="13"/>
  <c r="AC41" i="13" s="1"/>
  <c r="U79" i="7"/>
  <c r="X6" i="13" s="1"/>
  <c r="U6" i="13"/>
  <c r="U128" i="7"/>
  <c r="X19" i="13" s="1"/>
  <c r="U19" i="13"/>
  <c r="AC19" i="13" s="1"/>
  <c r="U202" i="7"/>
  <c r="X24" i="13" s="1"/>
  <c r="U24" i="13"/>
  <c r="AC24" i="13" s="1"/>
  <c r="D14" i="9"/>
  <c r="J24" i="10"/>
  <c r="K24" i="10" s="1"/>
  <c r="F34" i="9"/>
  <c r="L39" i="8"/>
  <c r="X32" i="13"/>
  <c r="AC32" i="13" s="1"/>
  <c r="C50" i="9"/>
  <c r="F8" i="9"/>
  <c r="J14" i="10"/>
  <c r="C34" i="9"/>
  <c r="U26" i="7"/>
  <c r="X37" i="13" s="1"/>
  <c r="U37" i="13"/>
  <c r="AC37" i="13" s="1"/>
  <c r="E34" i="9"/>
  <c r="E20" i="8"/>
  <c r="J16" i="10"/>
  <c r="C52" i="9"/>
  <c r="G52" i="9" s="1"/>
  <c r="F10" i="9"/>
  <c r="B75" i="8"/>
  <c r="C27" i="8"/>
  <c r="F49" i="8"/>
  <c r="X21" i="13"/>
  <c r="AC21" i="13" s="1"/>
  <c r="U336" i="7"/>
  <c r="X39" i="13" s="1"/>
  <c r="U39" i="13"/>
  <c r="C35" i="9"/>
  <c r="U29" i="7"/>
  <c r="X55" i="13" s="1"/>
  <c r="U55" i="13"/>
  <c r="D36" i="8"/>
  <c r="E25" i="9"/>
  <c r="F25" i="9" s="1"/>
  <c r="C36" i="8"/>
  <c r="E36" i="8" s="1"/>
  <c r="C25" i="9"/>
  <c r="J15" i="10"/>
  <c r="F9" i="9"/>
  <c r="C51" i="9"/>
  <c r="G51" i="9" s="1"/>
  <c r="X47" i="13"/>
  <c r="AC47" i="13" s="1"/>
  <c r="C15" i="11"/>
  <c r="D15" i="11" s="1"/>
  <c r="E15" i="11" s="1"/>
  <c r="D5" i="11"/>
  <c r="E23" i="8"/>
  <c r="U338" i="7"/>
  <c r="X23" i="13" s="1"/>
  <c r="U23" i="13"/>
  <c r="AC23" i="13" s="1"/>
  <c r="X45" i="13"/>
  <c r="AC45" i="13" s="1"/>
  <c r="U362" i="7"/>
  <c r="U24" i="12"/>
  <c r="X48" i="13"/>
  <c r="AC48" i="13" s="1"/>
  <c r="U227" i="7"/>
  <c r="X54" i="13" s="1"/>
  <c r="U54" i="13"/>
  <c r="U15" i="7"/>
  <c r="X42" i="13" s="1"/>
  <c r="U42" i="13"/>
  <c r="U88" i="7"/>
  <c r="X30" i="13" s="1"/>
  <c r="U30" i="13"/>
  <c r="U92" i="7"/>
  <c r="X50" i="13" s="1"/>
  <c r="U50" i="13"/>
  <c r="AC50" i="13" s="1"/>
  <c r="U5" i="12"/>
  <c r="U13" i="12"/>
  <c r="B64" i="8"/>
  <c r="B66" i="8"/>
  <c r="B65" i="8"/>
  <c r="J31" i="10"/>
  <c r="K31" i="10" s="1"/>
  <c r="U374" i="7"/>
  <c r="X12" i="13" s="1"/>
  <c r="U12" i="13"/>
  <c r="AC12" i="13" s="1"/>
  <c r="U10" i="12"/>
  <c r="U169" i="7"/>
  <c r="X35" i="13" s="1"/>
  <c r="U22" i="12"/>
  <c r="U35" i="13"/>
  <c r="AC35" i="13" s="1"/>
  <c r="U58" i="7"/>
  <c r="X15" i="13" s="1"/>
  <c r="U15" i="13"/>
  <c r="AC15" i="13" s="1"/>
  <c r="E8" i="9"/>
  <c r="U297" i="7"/>
  <c r="U21" i="12"/>
  <c r="E35" i="9"/>
  <c r="U179" i="7"/>
  <c r="U20" i="12"/>
  <c r="B52" i="12"/>
  <c r="U9" i="7"/>
  <c r="X16" i="13" s="1"/>
  <c r="U16" i="13"/>
  <c r="AC16" i="13" s="1"/>
  <c r="U222" i="7"/>
  <c r="U16" i="12"/>
  <c r="B74" i="8"/>
  <c r="U12" i="7"/>
  <c r="D37" i="8"/>
  <c r="E26" i="9"/>
  <c r="F26" i="9" s="1"/>
  <c r="C37" i="8"/>
  <c r="E37" i="8" s="1"/>
  <c r="C26" i="9"/>
  <c r="U42" i="7"/>
  <c r="X49" i="13" s="1"/>
  <c r="U49" i="13"/>
  <c r="AC49" i="13" s="1"/>
  <c r="D38" i="9"/>
  <c r="F39" i="8"/>
  <c r="C22" i="9"/>
  <c r="F51" i="9"/>
  <c r="J12" i="10"/>
  <c r="A59" i="9"/>
  <c r="C14" i="9"/>
  <c r="F6" i="9"/>
  <c r="E21" i="9"/>
  <c r="F21" i="9" s="1"/>
  <c r="U53" i="7"/>
  <c r="X53" i="13" s="1"/>
  <c r="U53" i="13"/>
  <c r="AC53" i="13" s="1"/>
  <c r="U10" i="7"/>
  <c r="X34" i="13" s="1"/>
  <c r="U34" i="13"/>
  <c r="D34" i="8"/>
  <c r="D48" i="8"/>
  <c r="C48" i="8"/>
  <c r="E48" i="8" s="1"/>
  <c r="C34" i="8"/>
  <c r="E34" i="8" s="1"/>
  <c r="U51" i="7"/>
  <c r="U12" i="12" s="1"/>
  <c r="U18" i="7"/>
  <c r="U30" i="12"/>
  <c r="F7" i="9"/>
  <c r="J13" i="10"/>
  <c r="A60" i="9"/>
  <c r="J29" i="10"/>
  <c r="K29" i="10" s="1"/>
  <c r="X26" i="13"/>
  <c r="AC26" i="13" s="1"/>
  <c r="U226" i="7"/>
  <c r="X51" i="13" s="1"/>
  <c r="U51" i="13"/>
  <c r="AC51" i="13" s="1"/>
  <c r="X58" i="13"/>
  <c r="AC58" i="13" s="1"/>
  <c r="J18" i="10"/>
  <c r="F12" i="9"/>
  <c r="U241" i="7"/>
  <c r="X14" i="13" s="1"/>
  <c r="U14" i="13"/>
  <c r="AC14" i="13" s="1"/>
  <c r="F11" i="9"/>
  <c r="J17" i="10"/>
  <c r="F35" i="9"/>
  <c r="U205" i="7"/>
  <c r="X8" i="13" s="1"/>
  <c r="U8" i="13"/>
  <c r="AC8" i="13" s="1"/>
  <c r="U75" i="7"/>
  <c r="U8" i="12" s="1"/>
  <c r="B50" i="8"/>
  <c r="E7" i="9"/>
  <c r="B38" i="9"/>
  <c r="U278" i="7"/>
  <c r="U7" i="12" s="1"/>
  <c r="E22" i="9"/>
  <c r="F22" i="9" s="1"/>
  <c r="U7" i="7"/>
  <c r="X22" i="13" s="1"/>
  <c r="U22" i="13"/>
  <c r="C44" i="8"/>
  <c r="D32" i="8"/>
  <c r="C32" i="8"/>
  <c r="E32" i="8" s="1"/>
  <c r="D44" i="8"/>
  <c r="D74" i="8"/>
  <c r="D76" i="8" s="1"/>
  <c r="U19" i="7"/>
  <c r="X11" i="13" s="1"/>
  <c r="U11" i="13"/>
  <c r="AC11" i="13" s="1"/>
  <c r="E33" i="9"/>
  <c r="F33" i="9" s="1"/>
  <c r="U115" i="7"/>
  <c r="X38" i="13" s="1"/>
  <c r="U38" i="13"/>
  <c r="AC38" i="13" s="1"/>
  <c r="F23" i="9"/>
  <c r="D77" i="8"/>
  <c r="E24" i="8"/>
  <c r="U105" i="7"/>
  <c r="U26" i="12"/>
  <c r="U48" i="7"/>
  <c r="X28" i="13" s="1"/>
  <c r="U28" i="13"/>
  <c r="C78" i="8"/>
  <c r="D78" i="8"/>
  <c r="B78" i="8"/>
  <c r="B79" i="8" s="1"/>
  <c r="C77" i="8"/>
  <c r="C79" i="8" s="1"/>
  <c r="U155" i="7"/>
  <c r="U27" i="12" s="1"/>
  <c r="C37" i="9"/>
  <c r="U40" i="7"/>
  <c r="E36" i="9"/>
  <c r="F36" i="9" s="1"/>
  <c r="C36" i="9"/>
  <c r="D47" i="8"/>
  <c r="C47" i="8"/>
  <c r="E47" i="8" s="1"/>
  <c r="U182" i="7"/>
  <c r="X46" i="13" s="1"/>
  <c r="U32" i="12"/>
  <c r="U46" i="13"/>
  <c r="X60" i="13"/>
  <c r="AC60" i="13" s="1"/>
  <c r="E10" i="9"/>
  <c r="C33" i="9"/>
  <c r="B40" i="8"/>
  <c r="X36" i="13"/>
  <c r="AC36" i="13" s="1"/>
  <c r="X57" i="13"/>
  <c r="AC57" i="13" s="1"/>
  <c r="U8" i="7"/>
  <c r="E24" i="9"/>
  <c r="F24" i="9" s="1"/>
  <c r="D45" i="8"/>
  <c r="C24" i="9"/>
  <c r="E43" i="9"/>
  <c r="C45" i="8"/>
  <c r="E45" i="8" s="1"/>
  <c r="C43" i="9"/>
  <c r="C45" i="9" s="1"/>
  <c r="D35" i="8"/>
  <c r="C35" i="8"/>
  <c r="E35" i="8" s="1"/>
  <c r="U11" i="7"/>
  <c r="X10" i="13" s="1"/>
  <c r="U10" i="13"/>
  <c r="C20" i="9"/>
  <c r="C31" i="8"/>
  <c r="E20" i="9"/>
  <c r="D31" i="8"/>
  <c r="AC52" i="13"/>
  <c r="B80" i="8" l="1"/>
  <c r="B76" i="8"/>
  <c r="G50" i="9"/>
  <c r="C53" i="9"/>
  <c r="C18" i="11"/>
  <c r="D18" i="11" s="1"/>
  <c r="E18" i="11" s="1"/>
  <c r="C19" i="11"/>
  <c r="D19" i="11" s="1"/>
  <c r="E19" i="11" s="1"/>
  <c r="B12" i="8"/>
  <c r="B13" i="8"/>
  <c r="E45" i="9"/>
  <c r="F45" i="9" s="1"/>
  <c r="F43" i="9"/>
  <c r="A62" i="9" s="1"/>
  <c r="AC46" i="13"/>
  <c r="AC34" i="13"/>
  <c r="AC13" i="13"/>
  <c r="B68" i="8"/>
  <c r="C7" i="10"/>
  <c r="B10" i="8"/>
  <c r="A33" i="10"/>
  <c r="B9" i="8"/>
  <c r="E7" i="10" s="1"/>
  <c r="J30" i="10"/>
  <c r="K30" i="10" s="1"/>
  <c r="F7" i="10" s="1"/>
  <c r="E15" i="9"/>
  <c r="A58" i="9" s="1"/>
  <c r="E28" i="9"/>
  <c r="F28" i="9" s="1"/>
  <c r="F20" i="9"/>
  <c r="AC28" i="13"/>
  <c r="AC55" i="13"/>
  <c r="C39" i="8"/>
  <c r="E39" i="8" s="1"/>
  <c r="E31" i="8"/>
  <c r="AC30" i="13"/>
  <c r="D39" i="8"/>
  <c r="D49" i="8"/>
  <c r="E5" i="11"/>
  <c r="F15" i="9"/>
  <c r="B67" i="8"/>
  <c r="C28" i="9"/>
  <c r="B29" i="9" s="1"/>
  <c r="AC10" i="13"/>
  <c r="AC42" i="13"/>
  <c r="AC39" i="13"/>
  <c r="E38" i="9"/>
  <c r="F38" i="9" s="1"/>
  <c r="D79" i="8"/>
  <c r="C49" i="8"/>
  <c r="E49" i="8" s="1"/>
  <c r="E44" i="8"/>
  <c r="I18" i="10"/>
  <c r="I15" i="10"/>
  <c r="I16" i="10"/>
  <c r="I19" i="10"/>
  <c r="I13" i="10"/>
  <c r="I17" i="10"/>
  <c r="I14" i="10"/>
  <c r="I12" i="10"/>
  <c r="AC54" i="13"/>
  <c r="C38" i="9"/>
  <c r="B39" i="9" s="1"/>
  <c r="AC22" i="13"/>
  <c r="AC6" i="13"/>
  <c r="B17" i="10" l="1"/>
  <c r="C17" i="10" s="1"/>
  <c r="G17" i="10"/>
  <c r="E17" i="10"/>
  <c r="F17" i="10" s="1"/>
  <c r="D17" i="10"/>
  <c r="B3" i="13"/>
  <c r="D2" i="13"/>
  <c r="B2" i="13"/>
  <c r="A23" i="11"/>
  <c r="G11" i="10"/>
  <c r="D11" i="10"/>
  <c r="B11" i="10"/>
  <c r="C11" i="10" s="1"/>
  <c r="E11" i="10"/>
  <c r="F11" i="10" s="1"/>
  <c r="G13" i="10"/>
  <c r="E13" i="10"/>
  <c r="F13" i="10" s="1"/>
  <c r="D13" i="10"/>
  <c r="B13" i="10"/>
  <c r="C13" i="10" s="1"/>
  <c r="A19" i="10"/>
  <c r="G16" i="10"/>
  <c r="D16" i="10"/>
  <c r="E16" i="10"/>
  <c r="F16" i="10" s="1"/>
  <c r="B16" i="10"/>
  <c r="C16" i="10" s="1"/>
  <c r="A4" i="10"/>
  <c r="A31" i="10"/>
  <c r="G53" i="9"/>
  <c r="A61" i="9"/>
  <c r="G12" i="10"/>
  <c r="D12" i="10"/>
  <c r="E12" i="10"/>
  <c r="F12" i="10" s="1"/>
  <c r="B12" i="10"/>
  <c r="C12" i="10" s="1"/>
  <c r="E18" i="10"/>
  <c r="F18" i="10" s="1"/>
  <c r="B18" i="10"/>
  <c r="C18" i="10" s="1"/>
  <c r="D18" i="10"/>
  <c r="G18" i="10"/>
  <c r="D15" i="10"/>
  <c r="E15" i="10"/>
  <c r="F15" i="10" s="1"/>
  <c r="B15" i="10"/>
  <c r="C15" i="10" s="1"/>
  <c r="G15" i="10"/>
  <c r="B69" i="8"/>
  <c r="A27" i="10"/>
  <c r="D14" i="10"/>
  <c r="G14" i="10"/>
  <c r="E14" i="10"/>
  <c r="F14" i="10" s="1"/>
  <c r="B14" i="10"/>
  <c r="C14" i="10" s="1"/>
  <c r="B46" i="9"/>
  <c r="C65" i="13" l="1"/>
  <c r="A65" i="13"/>
</calcChain>
</file>

<file path=xl/sharedStrings.xml><?xml version="1.0" encoding="utf-8"?>
<sst xmlns="http://schemas.openxmlformats.org/spreadsheetml/2006/main" count="5199" uniqueCount="1214">
  <si>
    <t>T06  Expense claim policy checker</t>
  </si>
  <si>
    <t>Mini project | 30 marks | Build something with free LLM tools</t>
  </si>
  <si>
    <t>Task ID</t>
  </si>
  <si>
    <t>T06</t>
  </si>
  <si>
    <t>Task</t>
  </si>
  <si>
    <t>Expense claim policy checker</t>
  </si>
  <si>
    <t>Theme</t>
  </si>
  <si>
    <t>No-code apps &amp; dashboards</t>
  </si>
  <si>
    <t>Suggested free tools</t>
  </si>
  <si>
    <t>Gemini Canvas, ChatGPT Canvas or Claude (free) to generate the app; Excel / Google Sheets to verify numbers</t>
  </si>
  <si>
    <t>What students do</t>
  </si>
  <si>
    <t>1. Convert the travel policy rules into checks with the help of an LLM.
2. Build a tool that flags each claim as compliant or violation, with the rule broken.
3. Manually audit 30 flagged claims to measure false alarms.
4. Summarise the top violation types for the CFO.</t>
  </si>
  <si>
    <t>Deliverables</t>
  </si>
  <si>
    <t>Checker tool; audit sheet; CFO summary; AI-use log</t>
  </si>
  <si>
    <t>Dataset in this file</t>
  </si>
  <si>
    <t>400 expense claims + 15 travel policy rules
- 'Claims' sheet: 400 rows x 14 columns
- 'Policy Rules' sheet: 15 rows x 3 columns</t>
  </si>
  <si>
    <t>About the data</t>
  </si>
  <si>
    <t>All data is synthetic and created for teaching; companies, people and figures are fictional. Treat it as if it were real business data. If a 'Gold Labels (evaluation)' sheet is present, do NOT give it to the AI tool - use it only at the end to measure your accuracy.</t>
  </si>
  <si>
    <t>Team size</t>
  </si>
  <si>
    <t>Individual (or pairs if your faculty allows)</t>
  </si>
  <si>
    <t>Responsible AI rules</t>
  </si>
  <si>
    <t>Use only free tools; never paste real personal or confidential data into public AI tools; verify every number the AI gives you; disclose AI-generated content.</t>
  </si>
  <si>
    <t>Submission</t>
  </si>
  <si>
    <t>1) Build link / file / screen recording  2) This workbook with your outputs added as new sheets  3) Completed 'AI Use Log' sheet (minimum 15 entries)  4) 3-5 page report with recommendation and reflection</t>
  </si>
  <si>
    <t>Evaluation rubric (30 marks)</t>
  </si>
  <si>
    <t>Criterion</t>
  </si>
  <si>
    <t>What is assessed</t>
  </si>
  <si>
    <t>Marks</t>
  </si>
  <si>
    <t>Excellent</t>
  </si>
  <si>
    <t>Good</t>
  </si>
  <si>
    <t>Fair</t>
  </si>
  <si>
    <t>Poor</t>
  </si>
  <si>
    <t>1. Working build</t>
  </si>
  <si>
    <t>Tool / bot / app / automation works end to end on the provided data; link, file or screen recording submitted</t>
  </si>
  <si>
    <t>Runs fully (7-8)</t>
  </si>
  <si>
    <t>Minor gaps (5-6)</t>
  </si>
  <si>
    <t>Partly working (3-4)</t>
  </si>
  <si>
    <t>Not working (0-2)</t>
  </si>
  <si>
    <t>2. Correctness and verification</t>
  </si>
  <si>
    <t>Outputs checked against the data or gold labels; accuracy measured; errors found and fixed</t>
  </si>
  <si>
    <t>Systematic checks with numbers (6-7)</t>
  </si>
  <si>
    <t>Some checks (4-5)</t>
  </si>
  <si>
    <t>Few checks (2-3)</t>
  </si>
  <si>
    <t>None (0-1)</t>
  </si>
  <si>
    <t>3. Prompting and iteration</t>
  </si>
  <si>
    <t>Clear, structured prompts; at least 3 documented improvement rounds with reasons</t>
  </si>
  <si>
    <t>Strong iteration (5)</t>
  </si>
  <si>
    <t>Some iteration (3-4)</t>
  </si>
  <si>
    <t>Mostly one-shot (2)</t>
  </si>
  <si>
    <t>No log (0-1)</t>
  </si>
  <si>
    <t>4. Business insight and recommendation</t>
  </si>
  <si>
    <t>Specific, data-backed recommendation for the stated manager or customer</t>
  </si>
  <si>
    <t>Actionable and quantified (6)</t>
  </si>
  <si>
    <t>Sound but generic (4-5)</t>
  </si>
  <si>
    <t>Descriptive only (2-3)</t>
  </si>
  <si>
    <t>Missing (0-1)</t>
  </si>
  <si>
    <t>5. Documentation and reflection</t>
  </si>
  <si>
    <t>Complete AI-use log, limitations, responsible-AI notes and personal reflection</t>
  </si>
  <si>
    <t>Complete and honest (4)</t>
  </si>
  <si>
    <t>Mostly complete (3)</t>
  </si>
  <si>
    <t>Thin (2)</t>
  </si>
  <si>
    <t>Total</t>
  </si>
  <si>
    <t>claim_id</t>
  </si>
  <si>
    <t>employee_id</t>
  </si>
  <si>
    <t>employee_name</t>
  </si>
  <si>
    <t>grade</t>
  </si>
  <si>
    <t>expense_type</t>
  </si>
  <si>
    <t>city</t>
  </si>
  <si>
    <t>city_class</t>
  </si>
  <si>
    <t>amount_inr</t>
  </si>
  <si>
    <t>trip_end_date</t>
  </si>
  <si>
    <t>claim_submitted_date</t>
  </si>
  <si>
    <t>receipt_attached</t>
  </si>
  <si>
    <t>purpose_note</t>
  </si>
  <si>
    <t>days_booked_before_flight</t>
  </si>
  <si>
    <t>flight_class</t>
  </si>
  <si>
    <t>EXP00001</t>
  </si>
  <si>
    <t>EMP003</t>
  </si>
  <si>
    <t>Rahul Kaur</t>
  </si>
  <si>
    <t>M3</t>
  </si>
  <si>
    <t>Meals/DA</t>
  </si>
  <si>
    <t>Jaipur</t>
  </si>
  <si>
    <t>Non-metro</t>
  </si>
  <si>
    <t>No</t>
  </si>
  <si>
    <t>Client dinner</t>
  </si>
  <si>
    <t>EXP00002</t>
  </si>
  <si>
    <t>EMP055</t>
  </si>
  <si>
    <t>Aditya Kulkarni</t>
  </si>
  <si>
    <t>M1</t>
  </si>
  <si>
    <t>Hotel</t>
  </si>
  <si>
    <t>Yes</t>
  </si>
  <si>
    <t>EXP00003</t>
  </si>
  <si>
    <t>EMP033</t>
  </si>
  <si>
    <t>Deepika Desai</t>
  </si>
  <si>
    <t>M2</t>
  </si>
  <si>
    <t>Local Cab</t>
  </si>
  <si>
    <t>Mumbai</t>
  </si>
  <si>
    <t>Metro</t>
  </si>
  <si>
    <t>Vendor meeting</t>
  </si>
  <si>
    <t>EXP00004</t>
  </si>
  <si>
    <t>Chennai</t>
  </si>
  <si>
    <t>Site visit</t>
  </si>
  <si>
    <t>EXP00005</t>
  </si>
  <si>
    <t>EMP009</t>
  </si>
  <si>
    <t>Aditya D'Souza</t>
  </si>
  <si>
    <t>M5</t>
  </si>
  <si>
    <t>Alcohol</t>
  </si>
  <si>
    <t>Airport cab</t>
  </si>
  <si>
    <t>EXP00006</t>
  </si>
  <si>
    <t>EMP024</t>
  </si>
  <si>
    <t>Gurpreet Khan</t>
  </si>
  <si>
    <t>Flight</t>
  </si>
  <si>
    <t>Nashik</t>
  </si>
  <si>
    <t>Team meeting</t>
  </si>
  <si>
    <t>Economy</t>
  </si>
  <si>
    <t>EXP00007</t>
  </si>
  <si>
    <t>EMP010</t>
  </si>
  <si>
    <t>Imran Jadhav</t>
  </si>
  <si>
    <t>Stationery</t>
  </si>
  <si>
    <t>Indore</t>
  </si>
  <si>
    <t>EXP00008</t>
  </si>
  <si>
    <t>EMP034</t>
  </si>
  <si>
    <t>Simran Mukherjee</t>
  </si>
  <si>
    <t>Client Entertainment</t>
  </si>
  <si>
    <t>Delhi</t>
  </si>
  <si>
    <t>Flight booked</t>
  </si>
  <si>
    <t>EXP00009</t>
  </si>
  <si>
    <t>EMP005</t>
  </si>
  <si>
    <t>Yash Patil</t>
  </si>
  <si>
    <t>Kochi</t>
  </si>
  <si>
    <t>Hotel stay</t>
  </si>
  <si>
    <t>EXP00010</t>
  </si>
  <si>
    <t>EMP018</t>
  </si>
  <si>
    <t>Vivaan Kulkarni</t>
  </si>
  <si>
    <t>EXP00011</t>
  </si>
  <si>
    <t>EMP028</t>
  </si>
  <si>
    <t>Rajesh Sharma</t>
  </si>
  <si>
    <t>EXP00012</t>
  </si>
  <si>
    <t>Conference</t>
  </si>
  <si>
    <t>EXP00013</t>
  </si>
  <si>
    <t>EMP012</t>
  </si>
  <si>
    <t>Sandeep Verma</t>
  </si>
  <si>
    <t>EXP00014</t>
  </si>
  <si>
    <t>EMP042</t>
  </si>
  <si>
    <t>Rahul Mishra</t>
  </si>
  <si>
    <t>EXP00015</t>
  </si>
  <si>
    <t>EMP019</t>
  </si>
  <si>
    <t>Kavya Pawar</t>
  </si>
  <si>
    <t>Bengaluru</t>
  </si>
  <si>
    <t>EXP00016</t>
  </si>
  <si>
    <t>EMP039</t>
  </si>
  <si>
    <t>Farhan Khan</t>
  </si>
  <si>
    <t>EXP00017</t>
  </si>
  <si>
    <t>EXP00018</t>
  </si>
  <si>
    <t>EMP013</t>
  </si>
  <si>
    <t>Suresh Mishra</t>
  </si>
  <si>
    <t>EXP00019</t>
  </si>
  <si>
    <t>EXP00020</t>
  </si>
  <si>
    <t>EMP052</t>
  </si>
  <si>
    <t>Anil Pawar</t>
  </si>
  <si>
    <t>EXP00021</t>
  </si>
  <si>
    <t>EMP057</t>
  </si>
  <si>
    <t>Yash Gupta</t>
  </si>
  <si>
    <t>EXP00022</t>
  </si>
  <si>
    <t>EMP002</t>
  </si>
  <si>
    <t>Simran Gupta</t>
  </si>
  <si>
    <t>EXP00023</t>
  </si>
  <si>
    <t>EMP023</t>
  </si>
  <si>
    <t>Manish Jadhav</t>
  </si>
  <si>
    <t>EXP00024</t>
  </si>
  <si>
    <t>EMP022</t>
  </si>
  <si>
    <t>Fatima Mukherjee</t>
  </si>
  <si>
    <t>Train</t>
  </si>
  <si>
    <t>EXP00025</t>
  </si>
  <si>
    <t>EXP00026</t>
  </si>
  <si>
    <t>EXP00027</t>
  </si>
  <si>
    <t>EMP016</t>
  </si>
  <si>
    <t>Riya Khan</t>
  </si>
  <si>
    <t>EXP00028</t>
  </si>
  <si>
    <t>EXP00029</t>
  </si>
  <si>
    <t>EXP00030</t>
  </si>
  <si>
    <t>EXP00031</t>
  </si>
  <si>
    <t>EXP00032</t>
  </si>
  <si>
    <t>EXP00033</t>
  </si>
  <si>
    <t>EXP00034</t>
  </si>
  <si>
    <t>EMP001</t>
  </si>
  <si>
    <t>Meera Nair</t>
  </si>
  <si>
    <t>EXP00035</t>
  </si>
  <si>
    <t>EMP045</t>
  </si>
  <si>
    <t>Nisha Sharma</t>
  </si>
  <si>
    <t>M4</t>
  </si>
  <si>
    <t>EXP00036</t>
  </si>
  <si>
    <t>EMP051</t>
  </si>
  <si>
    <t>Harsh Chatterjee</t>
  </si>
  <si>
    <t>EXP00037</t>
  </si>
  <si>
    <t>EMP059</t>
  </si>
  <si>
    <t>Harpreet Pillai</t>
  </si>
  <si>
    <t>EXP00038</t>
  </si>
  <si>
    <t>EXP00039</t>
  </si>
  <si>
    <t>EXP00040</t>
  </si>
  <si>
    <t>EMP040</t>
  </si>
  <si>
    <t>Rohan Nair</t>
  </si>
  <si>
    <t>EXP00041</t>
  </si>
  <si>
    <t>EMP035</t>
  </si>
  <si>
    <t>Siddharth Shah</t>
  </si>
  <si>
    <t>EXP00042</t>
  </si>
  <si>
    <t>EMP032</t>
  </si>
  <si>
    <t>Suresh Mehta</t>
  </si>
  <si>
    <t>EXP00043</t>
  </si>
  <si>
    <t>EMP043</t>
  </si>
  <si>
    <t>Neha Kaur</t>
  </si>
  <si>
    <t>EXP00044</t>
  </si>
  <si>
    <t>EMP014</t>
  </si>
  <si>
    <t>Swati Iyer</t>
  </si>
  <si>
    <t>EXP00045</t>
  </si>
  <si>
    <t>EXP00046</t>
  </si>
  <si>
    <t>EXP00047</t>
  </si>
  <si>
    <t>EMP020</t>
  </si>
  <si>
    <t>Vivaan D'Souza</t>
  </si>
  <si>
    <t>EXP00048</t>
  </si>
  <si>
    <t>EMP017</t>
  </si>
  <si>
    <t>Tanvi Pillai</t>
  </si>
  <si>
    <t>EXP00049</t>
  </si>
  <si>
    <t>EXP00050</t>
  </si>
  <si>
    <t>EMP041</t>
  </si>
  <si>
    <t>Zoya Khan</t>
  </si>
  <si>
    <t>EXP00051</t>
  </si>
  <si>
    <t>EXP00052</t>
  </si>
  <si>
    <t>EXP00053</t>
  </si>
  <si>
    <t>EXP00054</t>
  </si>
  <si>
    <t>EMP053</t>
  </si>
  <si>
    <t>Aarav Kaur</t>
  </si>
  <si>
    <t>EXP00055</t>
  </si>
  <si>
    <t>EMP054</t>
  </si>
  <si>
    <t>Gauri Pawar</t>
  </si>
  <si>
    <t>EXP00056</t>
  </si>
  <si>
    <t>EXP00057</t>
  </si>
  <si>
    <t>EXP00058</t>
  </si>
  <si>
    <t>EXP00059</t>
  </si>
  <si>
    <t>EMP047</t>
  </si>
  <si>
    <t>Harpreet Kulkarni</t>
  </si>
  <si>
    <t>EXP00060</t>
  </si>
  <si>
    <t>EXP00061</t>
  </si>
  <si>
    <t>EXP00062</t>
  </si>
  <si>
    <t>EXP00063</t>
  </si>
  <si>
    <t>EXP00064</t>
  </si>
  <si>
    <t>EMP056</t>
  </si>
  <si>
    <t>Aditya Shah</t>
  </si>
  <si>
    <t>EXP00065</t>
  </si>
  <si>
    <t>EXP00066</t>
  </si>
  <si>
    <t>EXP00067</t>
  </si>
  <si>
    <t>EMP049</t>
  </si>
  <si>
    <t>Kabir Chatterjee</t>
  </si>
  <si>
    <t>EXP00068</t>
  </si>
  <si>
    <t>EXP00069</t>
  </si>
  <si>
    <t>EXP00070</t>
  </si>
  <si>
    <t>EXP00071</t>
  </si>
  <si>
    <t>EMP030</t>
  </si>
  <si>
    <t>Neha Mehta</t>
  </si>
  <si>
    <t>EXP00072</t>
  </si>
  <si>
    <t>EMP050</t>
  </si>
  <si>
    <t>Diya Desai</t>
  </si>
  <si>
    <t>EXP00073</t>
  </si>
  <si>
    <t>EMP026</t>
  </si>
  <si>
    <t>Rahul Reddy</t>
  </si>
  <si>
    <t>EXP00074</t>
  </si>
  <si>
    <t>Business</t>
  </si>
  <si>
    <t>EXP00075</t>
  </si>
  <si>
    <t>EMP046</t>
  </si>
  <si>
    <t>Vivaan Reddy</t>
  </si>
  <si>
    <t>EXP00076</t>
  </si>
  <si>
    <t>EXP00077</t>
  </si>
  <si>
    <t>EXP00078</t>
  </si>
  <si>
    <t>EMP011</t>
  </si>
  <si>
    <t>Ananya Verma</t>
  </si>
  <si>
    <t>EXP00079</t>
  </si>
  <si>
    <t>EXP00080</t>
  </si>
  <si>
    <t>EXP00081</t>
  </si>
  <si>
    <t>EXP00082</t>
  </si>
  <si>
    <t>EMP021</t>
  </si>
  <si>
    <t>Kavya Mishra</t>
  </si>
  <si>
    <t>EXP00083</t>
  </si>
  <si>
    <t>EXP00084</t>
  </si>
  <si>
    <t>EXP00085</t>
  </si>
  <si>
    <t>EXP00086</t>
  </si>
  <si>
    <t>EMP038</t>
  </si>
  <si>
    <t>Simran Shinde</t>
  </si>
  <si>
    <t>EXP00087</t>
  </si>
  <si>
    <t>EXP00088</t>
  </si>
  <si>
    <t>EMP008</t>
  </si>
  <si>
    <t>Aditi Jadhav</t>
  </si>
  <si>
    <t>EXP00089</t>
  </si>
  <si>
    <t>EXP00090</t>
  </si>
  <si>
    <t>EMP025</t>
  </si>
  <si>
    <t>Karan Pawar</t>
  </si>
  <si>
    <t>EXP00091</t>
  </si>
  <si>
    <t>EXP00092</t>
  </si>
  <si>
    <t>EMP037</t>
  </si>
  <si>
    <t>Madhuri Jadhav</t>
  </si>
  <si>
    <t>EXP00093</t>
  </si>
  <si>
    <t>EXP00094</t>
  </si>
  <si>
    <t>EXP00095</t>
  </si>
  <si>
    <t>EXP00096</t>
  </si>
  <si>
    <t>EXP00097</t>
  </si>
  <si>
    <t>EXP00098</t>
  </si>
  <si>
    <t>EXP00099</t>
  </si>
  <si>
    <t>EMP015</t>
  </si>
  <si>
    <t>Deepika Sharma</t>
  </si>
  <si>
    <t>EXP00100</t>
  </si>
  <si>
    <t>EXP00101</t>
  </si>
  <si>
    <t>EXP00102</t>
  </si>
  <si>
    <t>EXP00103</t>
  </si>
  <si>
    <t>EXP00104</t>
  </si>
  <si>
    <t>EXP00105</t>
  </si>
  <si>
    <t>EXP00106</t>
  </si>
  <si>
    <t>EXP00107</t>
  </si>
  <si>
    <t>EMP060</t>
  </si>
  <si>
    <t>Joseph Chatterjee</t>
  </si>
  <si>
    <t>EXP00108</t>
  </si>
  <si>
    <t>EXP00109</t>
  </si>
  <si>
    <t>EXP00110</t>
  </si>
  <si>
    <t>EXP00111</t>
  </si>
  <si>
    <t>EXP00112</t>
  </si>
  <si>
    <t>EMP006</t>
  </si>
  <si>
    <t>Harpreet Chatterjee</t>
  </si>
  <si>
    <t>EXP00113</t>
  </si>
  <si>
    <t>EMP029</t>
  </si>
  <si>
    <t>Lakshmi Iyer</t>
  </si>
  <si>
    <t>EXP00114</t>
  </si>
  <si>
    <t>EXP00115</t>
  </si>
  <si>
    <t>EXP00116</t>
  </si>
  <si>
    <t>EXP00117</t>
  </si>
  <si>
    <t>EXP00118</t>
  </si>
  <si>
    <t>EMP031</t>
  </si>
  <si>
    <t>Siddharth Pillai</t>
  </si>
  <si>
    <t>EXP00119</t>
  </si>
  <si>
    <t>EXP00120</t>
  </si>
  <si>
    <t>EXP00121</t>
  </si>
  <si>
    <t>EXP00122</t>
  </si>
  <si>
    <t>EXP00123</t>
  </si>
  <si>
    <t>EXP00124</t>
  </si>
  <si>
    <t>EXP00125</t>
  </si>
  <si>
    <t>EXP00126</t>
  </si>
  <si>
    <t>EXP00127</t>
  </si>
  <si>
    <t>EMP027</t>
  </si>
  <si>
    <t>Arjun Rao</t>
  </si>
  <si>
    <t>EXP00128</t>
  </si>
  <si>
    <t>EXP00129</t>
  </si>
  <si>
    <t>EMP044</t>
  </si>
  <si>
    <t>Manish Pillai</t>
  </si>
  <si>
    <t>EXP00130</t>
  </si>
  <si>
    <t>EMP007</t>
  </si>
  <si>
    <t>Sakshi Desai</t>
  </si>
  <si>
    <t>EXP00131</t>
  </si>
  <si>
    <t>EXP00132</t>
  </si>
  <si>
    <t>EXP00133</t>
  </si>
  <si>
    <t>EXP00134</t>
  </si>
  <si>
    <t>EXP00135</t>
  </si>
  <si>
    <t>EXP00136</t>
  </si>
  <si>
    <t>EXP00137</t>
  </si>
  <si>
    <t>EXP00138</t>
  </si>
  <si>
    <t>EXP00139</t>
  </si>
  <si>
    <t>EXP00140</t>
  </si>
  <si>
    <t>EXP00141</t>
  </si>
  <si>
    <t>EXP00142</t>
  </si>
  <si>
    <t>EXP00143</t>
  </si>
  <si>
    <t>EXP00144</t>
  </si>
  <si>
    <t>EXP00145</t>
  </si>
  <si>
    <t>EXP00146</t>
  </si>
  <si>
    <t>EXP00147</t>
  </si>
  <si>
    <t>EMP058</t>
  </si>
  <si>
    <t>Rohan Mehta</t>
  </si>
  <si>
    <t>EXP00148</t>
  </si>
  <si>
    <t>EXP00149</t>
  </si>
  <si>
    <t>EXP00150</t>
  </si>
  <si>
    <t>EXP00151</t>
  </si>
  <si>
    <t>EXP00152</t>
  </si>
  <si>
    <t>EXP00153</t>
  </si>
  <si>
    <t>EXP00154</t>
  </si>
  <si>
    <t>EXP00155</t>
  </si>
  <si>
    <t>EXP00156</t>
  </si>
  <si>
    <t>EXP00157</t>
  </si>
  <si>
    <t>EXP00158</t>
  </si>
  <si>
    <t>EXP00159</t>
  </si>
  <si>
    <t>EXP00160</t>
  </si>
  <si>
    <t>EXP00161</t>
  </si>
  <si>
    <t>EXP00162</t>
  </si>
  <si>
    <t>EXP00163</t>
  </si>
  <si>
    <t>EXP00164</t>
  </si>
  <si>
    <t>EXP00165</t>
  </si>
  <si>
    <t>EXP00166</t>
  </si>
  <si>
    <t>EMP036</t>
  </si>
  <si>
    <t>Lakshmi Reddy</t>
  </si>
  <si>
    <t>EXP00167</t>
  </si>
  <si>
    <t>EXP00168</t>
  </si>
  <si>
    <t>EXP00169</t>
  </si>
  <si>
    <t>EXP00170</t>
  </si>
  <si>
    <t>EXP00171</t>
  </si>
  <si>
    <t>EXP00172</t>
  </si>
  <si>
    <t>EXP00173</t>
  </si>
  <si>
    <t>EXP00174</t>
  </si>
  <si>
    <t>EXP00175</t>
  </si>
  <si>
    <t>EXP00176</t>
  </si>
  <si>
    <t>EXP00177</t>
  </si>
  <si>
    <t>EXP00178</t>
  </si>
  <si>
    <t>EXP00179</t>
  </si>
  <si>
    <t>EXP00180</t>
  </si>
  <si>
    <t>EXP00181</t>
  </si>
  <si>
    <t>EXP00182</t>
  </si>
  <si>
    <t>EXP00183</t>
  </si>
  <si>
    <t>EXP00184</t>
  </si>
  <si>
    <t>EXP00185</t>
  </si>
  <si>
    <t>EXP00186</t>
  </si>
  <si>
    <t>EXP00187</t>
  </si>
  <si>
    <t>EXP00188</t>
  </si>
  <si>
    <t>EXP00189</t>
  </si>
  <si>
    <t>EXP00190</t>
  </si>
  <si>
    <t>EXP00191</t>
  </si>
  <si>
    <t>EXP00192</t>
  </si>
  <si>
    <t>EXP00193</t>
  </si>
  <si>
    <t>EXP00194</t>
  </si>
  <si>
    <t>EXP00195</t>
  </si>
  <si>
    <t>EXP00196</t>
  </si>
  <si>
    <t>EXP00197</t>
  </si>
  <si>
    <t>EXP00198</t>
  </si>
  <si>
    <t>EXP00199</t>
  </si>
  <si>
    <t>EXP00200</t>
  </si>
  <si>
    <t>EXP00201</t>
  </si>
  <si>
    <t>EXP00202</t>
  </si>
  <si>
    <t>EXP00203</t>
  </si>
  <si>
    <t>EXP00204</t>
  </si>
  <si>
    <t>EXP00205</t>
  </si>
  <si>
    <t>EXP00206</t>
  </si>
  <si>
    <t>EXP00207</t>
  </si>
  <si>
    <t>EXP00208</t>
  </si>
  <si>
    <t>EXP00209</t>
  </si>
  <si>
    <t>EXP00210</t>
  </si>
  <si>
    <t>EXP00211</t>
  </si>
  <si>
    <t>EXP00212</t>
  </si>
  <si>
    <t>EXP00213</t>
  </si>
  <si>
    <t>EXP00214</t>
  </si>
  <si>
    <t>EXP00215</t>
  </si>
  <si>
    <t>EXP00216</t>
  </si>
  <si>
    <t>EXP00217</t>
  </si>
  <si>
    <t>EXP00218</t>
  </si>
  <si>
    <t>EXP00219</t>
  </si>
  <si>
    <t>EXP00220</t>
  </si>
  <si>
    <t>EXP00221</t>
  </si>
  <si>
    <t>EXP00222</t>
  </si>
  <si>
    <t>EXP00223</t>
  </si>
  <si>
    <t>EXP00224</t>
  </si>
  <si>
    <t>EXP00225</t>
  </si>
  <si>
    <t>EXP00226</t>
  </si>
  <si>
    <t>EXP00227</t>
  </si>
  <si>
    <t>EXP00228</t>
  </si>
  <si>
    <t>EXP00229</t>
  </si>
  <si>
    <t>EXP00230</t>
  </si>
  <si>
    <t>EXP00231</t>
  </si>
  <si>
    <t>EXP00232</t>
  </si>
  <si>
    <t>EXP00233</t>
  </si>
  <si>
    <t>EXP00234</t>
  </si>
  <si>
    <t>EXP00235</t>
  </si>
  <si>
    <t>EXP00236</t>
  </si>
  <si>
    <t>EXP00237</t>
  </si>
  <si>
    <t>EMP048</t>
  </si>
  <si>
    <t>Vivaan Mehta</t>
  </si>
  <si>
    <t>EXP00238</t>
  </si>
  <si>
    <t>EXP00239</t>
  </si>
  <si>
    <t>EXP00240</t>
  </si>
  <si>
    <t>EXP00241</t>
  </si>
  <si>
    <t>EMP004</t>
  </si>
  <si>
    <t>Pooja Joshi</t>
  </si>
  <si>
    <t>EXP00242</t>
  </si>
  <si>
    <t>EXP00243</t>
  </si>
  <si>
    <t>EXP00244</t>
  </si>
  <si>
    <t>EXP00245</t>
  </si>
  <si>
    <t>EXP00246</t>
  </si>
  <si>
    <t>EXP00247</t>
  </si>
  <si>
    <t>EXP00248</t>
  </si>
  <si>
    <t>EXP00249</t>
  </si>
  <si>
    <t>EXP00250</t>
  </si>
  <si>
    <t>EXP00251</t>
  </si>
  <si>
    <t>EXP00252</t>
  </si>
  <si>
    <t>EXP00253</t>
  </si>
  <si>
    <t>EXP00254</t>
  </si>
  <si>
    <t>EXP00255</t>
  </si>
  <si>
    <t>EXP00256</t>
  </si>
  <si>
    <t>EXP00257</t>
  </si>
  <si>
    <t>EXP00258</t>
  </si>
  <si>
    <t>EXP00259</t>
  </si>
  <si>
    <t>EXP00260</t>
  </si>
  <si>
    <t>EXP00261</t>
  </si>
  <si>
    <t>EXP00262</t>
  </si>
  <si>
    <t>EXP00263</t>
  </si>
  <si>
    <t>EXP00264</t>
  </si>
  <si>
    <t>EXP00265</t>
  </si>
  <si>
    <t>EXP00266</t>
  </si>
  <si>
    <t>EXP00267</t>
  </si>
  <si>
    <t>EXP00268</t>
  </si>
  <si>
    <t>EXP00269</t>
  </si>
  <si>
    <t>EXP00270</t>
  </si>
  <si>
    <t>EXP00271</t>
  </si>
  <si>
    <t>EXP00272</t>
  </si>
  <si>
    <t>EXP00273</t>
  </si>
  <si>
    <t>EXP00274</t>
  </si>
  <si>
    <t>EXP00275</t>
  </si>
  <si>
    <t>EXP00276</t>
  </si>
  <si>
    <t>EXP00277</t>
  </si>
  <si>
    <t>EXP00278</t>
  </si>
  <si>
    <t>EXP00279</t>
  </si>
  <si>
    <t>EXP00280</t>
  </si>
  <si>
    <t>EXP00281</t>
  </si>
  <si>
    <t>EXP00282</t>
  </si>
  <si>
    <t>EXP00283</t>
  </si>
  <si>
    <t>EXP00284</t>
  </si>
  <si>
    <t>EXP00285</t>
  </si>
  <si>
    <t>EXP00286</t>
  </si>
  <si>
    <t>EXP00287</t>
  </si>
  <si>
    <t>EXP00288</t>
  </si>
  <si>
    <t>EXP00289</t>
  </si>
  <si>
    <t>EXP00290</t>
  </si>
  <si>
    <t>EXP00291</t>
  </si>
  <si>
    <t>EXP00292</t>
  </si>
  <si>
    <t>EXP00293</t>
  </si>
  <si>
    <t>EXP00294</t>
  </si>
  <si>
    <t>EXP00295</t>
  </si>
  <si>
    <t>EXP00296</t>
  </si>
  <si>
    <t>EXP00297</t>
  </si>
  <si>
    <t>EXP00298</t>
  </si>
  <si>
    <t>EXP00299</t>
  </si>
  <si>
    <t>EXP00300</t>
  </si>
  <si>
    <t>EXP00301</t>
  </si>
  <si>
    <t>EXP00302</t>
  </si>
  <si>
    <t>EXP00303</t>
  </si>
  <si>
    <t>EXP00304</t>
  </si>
  <si>
    <t>EXP00305</t>
  </si>
  <si>
    <t>EXP00306</t>
  </si>
  <si>
    <t>EXP00307</t>
  </si>
  <si>
    <t>EXP00308</t>
  </si>
  <si>
    <t>EXP00309</t>
  </si>
  <si>
    <t>EXP00310</t>
  </si>
  <si>
    <t>EXP00311</t>
  </si>
  <si>
    <t>EXP00312</t>
  </si>
  <si>
    <t>EXP00313</t>
  </si>
  <si>
    <t>EXP00314</t>
  </si>
  <si>
    <t>EXP00315</t>
  </si>
  <si>
    <t>EXP00316</t>
  </si>
  <si>
    <t>EXP00317</t>
  </si>
  <si>
    <t>EXP00318</t>
  </si>
  <si>
    <t>EXP00319</t>
  </si>
  <si>
    <t>EXP00320</t>
  </si>
  <si>
    <t>EXP00321</t>
  </si>
  <si>
    <t>EXP00322</t>
  </si>
  <si>
    <t>EXP00323</t>
  </si>
  <si>
    <t>EXP00324</t>
  </si>
  <si>
    <t>EXP00325</t>
  </si>
  <si>
    <t>EXP00326</t>
  </si>
  <si>
    <t>EXP00327</t>
  </si>
  <si>
    <t>EXP00328</t>
  </si>
  <si>
    <t>EXP00329</t>
  </si>
  <si>
    <t>EXP00330</t>
  </si>
  <si>
    <t>EXP00331</t>
  </si>
  <si>
    <t>EXP00332</t>
  </si>
  <si>
    <t>EXP00333</t>
  </si>
  <si>
    <t>EXP00334</t>
  </si>
  <si>
    <t>EXP00335</t>
  </si>
  <si>
    <t>EXP00336</t>
  </si>
  <si>
    <t>EXP00337</t>
  </si>
  <si>
    <t>EXP00338</t>
  </si>
  <si>
    <t>EXP00339</t>
  </si>
  <si>
    <t>EXP00340</t>
  </si>
  <si>
    <t>EXP00341</t>
  </si>
  <si>
    <t>EXP00342</t>
  </si>
  <si>
    <t>EXP00343</t>
  </si>
  <si>
    <t>EXP00344</t>
  </si>
  <si>
    <t>EXP00345</t>
  </si>
  <si>
    <t>EXP00346</t>
  </si>
  <si>
    <t>EXP00347</t>
  </si>
  <si>
    <t>EXP00348</t>
  </si>
  <si>
    <t>EXP00349</t>
  </si>
  <si>
    <t>EXP00350</t>
  </si>
  <si>
    <t>EXP00351</t>
  </si>
  <si>
    <t>EXP00352</t>
  </si>
  <si>
    <t>EXP00353</t>
  </si>
  <si>
    <t>EXP00354</t>
  </si>
  <si>
    <t>EXP00355</t>
  </si>
  <si>
    <t>EXP00356</t>
  </si>
  <si>
    <t>EXP00357</t>
  </si>
  <si>
    <t>EXP00358</t>
  </si>
  <si>
    <t>EXP00359</t>
  </si>
  <si>
    <t>EXP00360</t>
  </si>
  <si>
    <t>EXP00361</t>
  </si>
  <si>
    <t>EXP00362</t>
  </si>
  <si>
    <t>EXP00363</t>
  </si>
  <si>
    <t>EXP00364</t>
  </si>
  <si>
    <t>EXP00365</t>
  </si>
  <si>
    <t>EXP00366</t>
  </si>
  <si>
    <t>EXP00367</t>
  </si>
  <si>
    <t>EXP00368</t>
  </si>
  <si>
    <t>EXP00369</t>
  </si>
  <si>
    <t>EXP00370</t>
  </si>
  <si>
    <t>EXP00371</t>
  </si>
  <si>
    <t>EXP00372</t>
  </si>
  <si>
    <t>EXP00373</t>
  </si>
  <si>
    <t>EXP00374</t>
  </si>
  <si>
    <t>EXP00375</t>
  </si>
  <si>
    <t>EXP00376</t>
  </si>
  <si>
    <t>EXP00377</t>
  </si>
  <si>
    <t>EXP00378</t>
  </si>
  <si>
    <t>EXP00379</t>
  </si>
  <si>
    <t>EXP00380</t>
  </si>
  <si>
    <t>EXP00381</t>
  </si>
  <si>
    <t>EXP00382</t>
  </si>
  <si>
    <t>EXP00383</t>
  </si>
  <si>
    <t>EXP00384</t>
  </si>
  <si>
    <t>EXP00385</t>
  </si>
  <si>
    <t>EXP00386</t>
  </si>
  <si>
    <t>EXP00387</t>
  </si>
  <si>
    <t>EXP00388</t>
  </si>
  <si>
    <t>EXP00389</t>
  </si>
  <si>
    <t>EXP00390</t>
  </si>
  <si>
    <t>EXP00391</t>
  </si>
  <si>
    <t>EXP00392</t>
  </si>
  <si>
    <t>EXP00393</t>
  </si>
  <si>
    <t>EXP00394</t>
  </si>
  <si>
    <t>EXP00395</t>
  </si>
  <si>
    <t>EXP00396</t>
  </si>
  <si>
    <t>EXP00397</t>
  </si>
  <si>
    <t>EXP00398</t>
  </si>
  <si>
    <t>EXP00399</t>
  </si>
  <si>
    <t>EXP00400</t>
  </si>
  <si>
    <t>rule_id</t>
  </si>
  <si>
    <t>topic</t>
  </si>
  <si>
    <t>rule_text</t>
  </si>
  <si>
    <t>TP-01</t>
  </si>
  <si>
    <t>Air travel</t>
  </si>
  <si>
    <t>Economy class for all grades on flights under 4 hours. Grade M4 and above may fly business class on flights over 4 hours.</t>
  </si>
  <si>
    <t>TP-02</t>
  </si>
  <si>
    <t>Advance booking</t>
  </si>
  <si>
    <t>Flights must be booked at least 7 days before travel; later bookings need a written reason approved by the department head.</t>
  </si>
  <si>
    <t>TP-03</t>
  </si>
  <si>
    <t>Train travel</t>
  </si>
  <si>
    <t>AC 2-tier for grades M1-M3 and AC 1st class for M4 and above.</t>
  </si>
  <si>
    <t>TP-04</t>
  </si>
  <si>
    <t>Hotel limits - metro</t>
  </si>
  <si>
    <t>Maximum Rs 7,000 per night for M1-M2, Rs 10,000 for M3 and Rs 14,000 for M4 and above in metro cities.</t>
  </si>
  <si>
    <t>TP-05</t>
  </si>
  <si>
    <t>Hotel limits - non-metro</t>
  </si>
  <si>
    <t>Maximum Rs 4,500 per night for M1-M2, Rs 6,500 for M3 and Rs 9,000 for M4 and above in other cities.</t>
  </si>
  <si>
    <t>TP-06</t>
  </si>
  <si>
    <t>Daily allowance</t>
  </si>
  <si>
    <t>Rs 1,200 per day in metro cities and Rs 900 per day elsewhere, covering meals and incidentals.</t>
  </si>
  <si>
    <t>TP-07</t>
  </si>
  <si>
    <t>Local conveyance</t>
  </si>
  <si>
    <t>App-based cabs or auto-rickshaws; self-drive rental cars need prior approval.</t>
  </si>
  <si>
    <t>TP-08</t>
  </si>
  <si>
    <t>Alcohol is not reimbursable under any circumstances.</t>
  </si>
  <si>
    <t>TP-09</t>
  </si>
  <si>
    <t>Receipts</t>
  </si>
  <si>
    <t>Original receipts are required for every expense above Rs 500.</t>
  </si>
  <si>
    <t>TP-10</t>
  </si>
  <si>
    <t>Claim deadline</t>
  </si>
  <si>
    <t>Claims must be submitted within 15 days of returning; claims older than 60 days are rejected.</t>
  </si>
  <si>
    <t>TP-11</t>
  </si>
  <si>
    <t>International travel</t>
  </si>
  <si>
    <t>Needs approval from the business unit head and CFO at least 21 days before departure.</t>
  </si>
  <si>
    <t>TP-12</t>
  </si>
  <si>
    <t>Personal extension</t>
  </si>
  <si>
    <t>Personal days added to a business trip are at the employee's cost, and the ticket fare must not exceed the business-only fare.</t>
  </si>
  <si>
    <t>TP-13</t>
  </si>
  <si>
    <t>Approval chain</t>
  </si>
  <si>
    <t>Domestic trips need manager approval; trips costing above Rs 1,00,000 also need the department head.</t>
  </si>
  <si>
    <t>TP-14</t>
  </si>
  <si>
    <t>Cancellation</t>
  </si>
  <si>
    <t>Cancellation charges caused by business reasons are reimbursed; charges from personal reasons are recovered.</t>
  </si>
  <si>
    <t>TP-15</t>
  </si>
  <si>
    <t>Spouse travel</t>
  </si>
  <si>
    <t>Travel costs of a spouse or family member are not reimbursable.</t>
  </si>
  <si>
    <t>sheet</t>
  </si>
  <si>
    <t>column</t>
  </si>
  <si>
    <t>data_type</t>
  </si>
  <si>
    <t>example_value</t>
  </si>
  <si>
    <t>non_empty_values</t>
  </si>
  <si>
    <t>distinct_values</t>
  </si>
  <si>
    <t>Claims</t>
  </si>
  <si>
    <t>Text</t>
  </si>
  <si>
    <t>Decimal number</t>
  </si>
  <si>
    <t>1358.0</t>
  </si>
  <si>
    <t>Date/time</t>
  </si>
  <si>
    <t>2025-05-27</t>
  </si>
  <si>
    <t>2025-05-29</t>
  </si>
  <si>
    <t>3.0</t>
  </si>
  <si>
    <t>Policy Rules</t>
  </si>
  <si>
    <t>Economy class for all grades on flights under 4 hours. Grade M4 and above may fl</t>
  </si>
  <si>
    <t>AI Use Log - fill one row per prompt (minimum 15). Yellow cells are for you to fill.</t>
  </si>
  <si>
    <t>Evidence = shared chat link or screenshot file name. Keep rejected outputs too - they earn marks under 'Prompting and iteration'.</t>
  </si>
  <si>
    <t>#</t>
  </si>
  <si>
    <t>date</t>
  </si>
  <si>
    <t>tool</t>
  </si>
  <si>
    <t>model / mode</t>
  </si>
  <si>
    <t>settings used (if any)</t>
  </si>
  <si>
    <t>prompt (exact text)</t>
  </si>
  <si>
    <t>what the output did well / badly</t>
  </si>
  <si>
    <t>what I changed next and why</t>
  </si>
  <si>
    <t>kept or rejected</t>
  </si>
  <si>
    <t>evidence link / file</t>
  </si>
  <si>
    <t>Claude</t>
  </si>
  <si>
    <t>Claude Sonnet 5, claude.ai chat</t>
  </si>
  <si>
    <t>You are a business analyst supporting an MBA student. I am doing the mini project 'T06 Expense claim policy checker' (30 marks, individual). I am pasting the Task Brief, rubric, the 15 Policy Rules, the Data Dictionary and the Claims column headers with a few sample rows. Please analyse the assignment only and do not build anything yet. Cover: (1) what I must deliver and the four task steps; (2) the submission requirements and the rubric with marks; (3) constraints such as free tools only and responsible-AI rules; (4) which of the 15 policy rules appear testable with the 14 Claims columns, which are only partly testable and which cannot be tested, naming the missing fields; (5) dependencies between the steps; (6) risks, ambiguities and missing information; (7) a proposed execution strategy. Use only the text I provide, and where something is not stated, write 'Not stated - needs my confirmation' instead of assuming. Present the answer as short headed sections with one table for the rule-testability check (rule ID, testable / partial / not testable, fields used, what is missing).</t>
  </si>
  <si>
    <t>Covered deliverables, rubric, constraints and a rule-testability table (3 testable, 5 partial, 7 not testable). Missed that TP-10 has two thresholds (15 and 60 days) and the boundary wording of TP-02 and TP-09.</t>
  </si>
  <si>
    <t>Added the TP-10 two-threshold point and the exact boundaries to the Session 2 and 3 prompts.</t>
  </si>
  <si>
    <t>Kept</t>
  </si>
  <si>
    <t>https://drive.google.com/file/d/1W71MqVg8apF8terBuliPgteR6RNnApUs/view?usp=drivesdk</t>
  </si>
  <si>
    <t>You are a data analyst. Context: I am building an expense claim policy checker for the T06 mini project. I have attached the Claims sheet (400 rows, 14 columns, synthetic data) and its Data Dictionary. Task: profile the data before any policy checks. Report the row count, column types and blank counts, noting that days_booked_before_flight and flight_class should be filled only for Flight rows. Report counts by expense_type, grade, city_class and receipt_attached, and amount ranges by expense_type. Also report how the two date columns are stored, the distribution of days between trip_end_date and claim_submitted_date (minimum, median, maximum, and how many gaps exceed 15 and 60 days), and any anomalies, such as purpose_note values that do not match the expense_type. Constraints: use only the data I attached; do not judge policy compliance yet; explain how each number was calculated so I can reproduce it in Excel; label anything you are unsure of as 'to verify'. Output: a short findings list plus three small tables (counts, amount ranges, date-gap summary).</t>
  </si>
  <si>
    <t>Counts, amount ranges and date gaps were all correct when recalculated independently. Useful findings: amounts are whole rupees, only 7 distinct date gaps exist, purpose_note does not match expense_type. Hedged unsure points as 'to verify'.</t>
  </si>
  <si>
    <t>Used the verified counts in Session 3 and excluded purpose_note from all rule logic.</t>
  </si>
  <si>
    <t>https://drive.google.com/file/d/1Wt6bq82FxgyAaUMRNJxh82bwbGaMyN32/view?usp=drivesdk</t>
  </si>
  <si>
    <t>You are a compliance analyst. Context: the T06 expense claim checker must apply the 15 travel policy rules (TP-01 to TP-15, pasted below) to the Claims columns: claim_id, employee_id, grade, expense_type, city, city_class, amount_inr, trip_end_date, claim_submitted_date, receipt_attached, purpose_note, days_booked_before_flight, flight_class. Verified data facts: the two flight columns are filled only for the 58 Flight rows; amount_inr is a whole-rupee amount per claim; there is no nights, days, flight-duration, train-class or approval field; purpose_note does not match expense_type and must not be used. Task: convert each rule into a check using these decisions I have made. (1) Claim status is only Compliant or Violation, with a separate basis column, Definite or Assumption-based; a claim breaking several rules lists all rule IDs. (2) TP-01: Business class for grades M1 to M3 is a violation; Economy is compliant; Business for M4 and above is treated as compliant because duration is unknown. (3) TP-02: Flight rows only, days_booked_before_flight below 7 is a violation, exactly 7 is compliant, basis Assumption-based because the approval exception is not recorded. (4) TP-04 and TP-05: for Hotel rows compare amount_inr with the nightly cap for the grade and city_class, treating each claim as one night, basis Assumption-based. (5) TP-06: for Meals/DA rows compare amount_inr with Rs 1,200 for Metro or Rs 900 for Non-metro, treating each claim as one day, basis Assumption-based. (6) TP-08: every Alcohol row is a violation. (7) TP-09: receipt_attached = No and amount_inr above 500 is a violation; exactly 500 is compliant. (8) TP-10: gap = claim_submitted_date minus trip_end_date in calendar days; above 15 is a violation labelled Late; above 60 is a violation labelled Expired; one rule ID for both. (9) TP-03, TP-07 and TP-11 to TP-15 cannot be tested with these columns; list them as Not checked with the missing field, never as compliant. Stationery and Client Entertainment have no cap, so only TP-09 and TP-10 apply to them. For every rule give the check in plain English, columns used, applies-to expense types, exact boundary logic, violation message naming the rule ID, basis, and testability status. Constraints: apply my decisions exactly; do not add rules, fields or assumptions; if any decision contradicts the rule text, say so instead of changing it; do not calculate counts from the data. Output: one table with the columns Rule ID, Check in plain English, Columns used, Applies to, Logic and boundary, Violation message, Basis, Testability, followed by a short list of any contradictions or gaps you notice.
Policy rules:
TP-01 Air travel: Economy class for all grades on flights under 4 hours. Grade M4 and above may fly business class on flights over 4 hours.
TP-02 Advance booking: Flights must be booked at least 7 days before travel; later bookings need a written reason approved by the department head.
TP-03 Train travel: AC 2-tier for grades M1-M3 and AC 1st class for M4 and above.
TP-04 Hotel limits - metro: Maximum Rs 7,000 per night for M1-M2, Rs 10,000 for M3 and Rs 14,000 for M4 and above in metro cities.
TP-05 Hotel limits - non-metro: Maximum Rs 4,500 per night for M1-M2, Rs 6,500 for M3 and Rs 9,000 for M4 and above in other cities.
TP-06 Daily allowance: Rs 1,200 per day in metro cities and Rs 900 per day elsewhere, covering meals and incidentals.
TP-07 Local conveyance: App-based cabs or auto-rickshaws; self-drive rental cars need prior approval.
TP-08 Alcohol: Alcohol is not reimbursable under any circumstances.
TP-09 Receipts: Original receipts are required for every expense above Rs 500.
TP-10 Claim deadline: Claims must be submitted within 15 days of returning; claims older than 60 days are rejected.
TP-11 International travel: Needs approval from the business unit head and CFO at least 21 days before departure.
TP-12 Personal extension: Personal days added to a business trip are at the employee's cost, and the ticket fare must not exceed the business-only fare.
TP-13 Approval chain: Domestic trips need manager approval; trips costing above Rs 1,00,000 also need the department head.
TP-14 Cancellation: Cancellation charges caused by business reasons are reimbursed; charges from personal reasons are recovered.
TP-15 Spouse travel: Travel costs of a spouse or family member are not reimbursable.</t>
  </si>
  <si>
    <t>Table matched the rule text, caps and boundaries exactly and applied my decisions. Listed useful contradictions (TP-01 stricter reading, TP-02 approved exception, per-night/per-day assumptions). Left basis undefined for Compliant claims and for mixed Definite/Assumption claims.</t>
  </si>
  <si>
    <t>Resolved the open points: exactly at cap is Compliant, claim basis is Definite if any broken rule is Definite, Basis blank for Compliant. Carried into the Session 4 register.</t>
  </si>
  <si>
    <t>https://drive.google.com/file/d/1eQCyXQ4rKojceAHu2xyuftqs_JpeVHGb/view?usp=drivesdk</t>
  </si>
  <si>
    <t>You are a policy analyst. Context: I have a final rule-to-check specification for the T06 expense claim checker (pasted below) and the attached Claims sheet with 400 rows (columns: claim_id, employee_id, employee_name, grade, expense_type, city, city_class, amount_inr, trip_end_date, claim_submitted_date, receipt_attached, purpose_note, days_booked_before_flight, flight_class). Task: (1) create an Assumptions Register with one row per assumption: one claim equals one hotel night (TP-04 and TP-05); one claim equals one day (TP-06); a claim exactly at a cap or limit is Compliant; TP-02 late bookings are flagged even though an approved exception may exist; trip_end_date is treated as the return date (TP-10); Business class for grades M4 and above is Compliant because flight duration is unknown; claim-level basis is Definite if any broken rule is Definite, otherwise Assumption-based; 'Compliant' means no violation found among the 8 checked rules (TP-01, 02, 04, 05, 06, 08, 09, 10) while 7 rules (TP-03, 07, 11 to 15) are Not checked. For each assumption give what it affects, whether it is likely to over-flag or under-flag, and how my audit of 30 flagged claims could test it. (2) For Hotel rows and Meals/DA rows, compute how many claims would be flagged if each claim covered 1, 2 or 3 nights (hotel cap multiplied by 1, 2, 3) or days (daily limit multiplied by 1, 2, 3), and show the method so I can reproduce it in Excel. Constraints: do not change or challenge my decisions; do not propose alternative rules; use only the attached data and the specification; if a count cannot be computed from the data, say so; leave a line 'My confirmation: ______' under each assumption. Output: the register as a table with columns Assumption, Rule affected, Effect on flags, Over- or under-flag, How the audit can test it, My confirmation; then one small sensitivity table with the counts and the Excel method.
Specification:
TP-01 | Flight class allowed for the grade | Columns: expense_type, grade, flight_class | Flight rows | grade M1, M2, M3 with flight_class Business is a Violation; Economy is Compliant; grade M4, M5 with Business is Compliant (duration unknown) | Basis: Definite for M1 to M3 Business | Partial
TP-02 | Flight booked at least 7 days ahead | Columns: expense_type, days_booked_before_flight | Flight rows | days_booked_before_flight below 7 is a Violation; 7 or more is Compliant | Basis: Assumption-based (approval exception not recorded) | Partial
TP-03 | Train class for the grade | No columns | Train rows | Not checked, no train-class field | Not testable
TP-04 | Metro hotel cost within nightly cap | Columns: expense_type, city_class, grade, amount_inr | Hotel rows, Metro | One claim treated as one night; caps M1-M2 Rs 7,000, M3 Rs 10,000, M4-M5 Rs 14,000; amount above cap is a Violation; equal to cap is Compliant | Assumption-based | Partial
TP-05 | Non-metro hotel cost within nightly cap | Columns: expense_type, city_class, grade, amount_inr | Hotel rows, Non-metro | One claim treated as one night; caps M1-M2 Rs 4,500, M3 Rs 6,500, M4-M5 Rs 9,000; amount above cap is a Violation; equal to cap is Compliant | Assumption-based | Partial
TP-06 | Daily allowance within limit | Columns: expense_type, city_class, amount_inr | Meals/DA rows | One claim treated as one day; limit Rs 1,200 Metro, Rs 900 Non-metro; amount above limit is a Violation; equal is Compliant | Assumption-based | Partial
TP-07 | Cab type | No columns | Local Cab rows | Not checked, no cab-type or approval field | Not testable
TP-08 | Alcohol never reimbursable | Column: expense_type | Alcohol rows | Every Alcohol row is a Violation | Definite | Testable
TP-09 | Receipt required above Rs 500 | Columns: receipt_attached, amount_inr | All expense types | receipt_attached No and amount above 500 is a Violation; exactly 500 is Compliant | Definite | Testable
TP-10 | Claim submitted on time | Columns: trip_end_date, claim_submitted_date | All expense types | gap = claim_submitted_date minus trip_end_date in calendar days; gap above 60 is a Violation labelled Expired; gap above 15 up to 60 is a Violation labelled Late; gap 15 or less is Compliant | Definite | Testable
TP-11 to TP-15 | International approvals, personal extension, approval chain, cancellation, spouse travel | No columns | n/a | Not checked: the required fields (international flag, approvals, personal days, trip cost, cancellation flag, traveller relationship) are not in the data | Not testable
Stationery and Client Entertainment rows are assessed only under TP-09 and TP-10.</t>
  </si>
  <si>
    <t>Register and sensitivity counts were correct (hotel flagged 49/19/12, Meals/DA 55/12/0) with usable Excel formulas. Weak point: suggested checking TP-10 against a confirmed return date, which the data cannot support.</t>
  </si>
  <si>
    <t>Signed off the assumptions (confirmation lines) and used the sensitivity numbers as the basis for the limitations section.</t>
  </si>
  <si>
    <t>https://drive.google.com/file/d/1CD79v4L7Zv7fzJBP8N0emEmw0vS5aHGG/view?usp=drivesdk</t>
  </si>
  <si>
    <t>Act as a QA analyst. Using the attached rule-to-check specification and assumptions register (with my confirmations), give the evaluation order for the Checker and a test-case table for every checked rule (TP-01, 02, 04, 05, 06, 08, 09, 10): pass, fail and boundary cases such as exactly 7 days, 15 days, Rs 500 and cap amounts. Use real claim_ids from the Claims sheet where one exists, otherwise write 'synthetic case'. Do not add rules, change my decisions or compute totals. Table columns: Test ID, Rule ID, Input, Expected result, Claim ID or synthetic.</t>
  </si>
  <si>
    <t>Produced 50 test cases; every real claim_id and expected result was correct. It noted nothing was attached and used the earlier chat instead. Missing: boundary tests for the M3/M4/M5 caps and TP-06 at Rs 901, and Basis for Compliant claims was undefined.</t>
  </si>
  <si>
    <t>Added five extra boundary tests (S-01 to S-05) and decided Basis stays blank for Compliant claims.</t>
  </si>
  <si>
    <t>https://drive.google.com/file/d/1XnC5o3JAkzC9mgHl7nLOzaqcMxW__UWO/view?usp=drivesdk</t>
  </si>
  <si>
    <t>Add two sheets to the attached T06 workbook, leaving the original sheets untouched: Parameters (hotel caps by grade and city class, daily limits, and the 7-day, Rs 500 and 15/60-day thresholds, one input cell each) and Checker (one row per claim, 400 rows). Columns: one check per rule TP-01, 02, 04, 05, 06, 08, 09, 10, then Status (Compliant/Violation), Rules broken (all IDs, using TEXTJOIN), TP-10 Late/Expired label, and Basis (blank for Compliant). Use formulas only, referencing Parameters, with no macros and no hardcoded numbers. Follow the attached specification exactly. List the 7 Not checked rules below the table. Return the file.</t>
  </si>
  <si>
    <t>Workbook recalculated with 0 formula errors; all 400 rows matched an independent recalculation (231 Violation, 169 Compliant; Basis 139 Definite / 92 Assumption-based). Formulas reference Parameters and named ranges.</t>
  </si>
  <si>
    <t>Moved to running the test cases against the Checker in Session 7.</t>
  </si>
  <si>
    <t>https://drive.google.com/file/d/1VFzKxVW_Cw3RAVcquB7ViRUV--emwAzz/view?usp=drivesdk</t>
  </si>
  <si>
    <t>Attached is workbook v1 with the Checker sheet. Add a Test_Cases sheet from the attached test-case table (including my S-01 to S-05 additions): one row per test with the input fields, the expected result, and the actual result computed with the same formulas and Parameters as the Checker, plus a PASS/FAIL column and a pass count. For real claim_ids, look up the Checker row; for synthetic cases, enter the input fields. List every mismatch with cause and fix. Change only what is needed and do not alter my decisions. Return workbook v1.1 and a short change list.</t>
  </si>
  <si>
    <t>All 50 tests with expected results PASS, 0 FAIL; Checker and Parameters unchanged. S-01 to S-05 left as 'Awaiting input' because they were not attached. Limitation: synthetic cases re-apply the same formulas rather than running through the Checker row.</t>
  </si>
  <si>
    <t>Logged as Improvement Round 1: tests run, no defects found, no change made. Update: S-01 to S-05 were completed afterwards (M3/M4/M5 caps and TP-06 at Rs 901); all 55 tests now PASS.</t>
  </si>
  <si>
    <t>https://drive.google.com/file/d/1SW3_wxUlOD6l_P4Kz9_lZYJBWTAkCtev/view?usp=drivesdk</t>
  </si>
  <si>
    <t>Improve the attached workbook v1.1 without changing the approved logic. Add a Summary sheet using COUNTIFS on the Checker: violations per rule (with each rule's basis), by expense_type and by grade, plus total flagged and compliant claims. Add an AutoFilter and frozen headers on the Checker, and keep the 'Rules not checked' list with the missing field for each rule. Use formulas only, referencing the Checker, with no hardcoded results. Return workbook v2 and a short change list.</t>
  </si>
  <si>
    <t>Summary figures matched my recount (231 flagged, per-rule hits 7/18/18/31/55/12/60/78, by expense type and grade). Checker logic unchanged. AutoFilter and frozen headers added.</t>
  </si>
  <si>
    <t>Logged as Improvement Round 2: Summary sheet and AutoFilter added, logic unchanged.</t>
  </si>
  <si>
    <t>https://drive.google.com/file/d/1OUXjArduNqnCLaQnWy6w0sk8O4o-L5CJ/view?usp=drivesdk</t>
  </si>
  <si>
    <t>In the attached workbook v2, add a Verification sheet. For each checked rule (TP-01, 02, 04, 05, 06, 08, 09, 10), recompute the violation count directly from the raw Claims columns and Parameters using COUNTIFS or SUMPRODUCT, without using the Checker columns. Also recompute total flagged claims and the Definite versus Assumption-based split independently. Build a reconciliation table: Rule ID, Independent count, Checker count, Difference, Explanation. Do not change the Checker logic. Return workbook v2.1 and a short change list.</t>
  </si>
  <si>
    <t>All 16 reconciliation lines show difference 0. Limitation: both methods read the same Parameters, so it tests the formulas but not the policy values; two lines are derived by subtraction.</t>
  </si>
  <si>
    <t>Logged as Improvement Round 3: verification found 0 differences, no logic changed.</t>
  </si>
  <si>
    <t>https://drive.google.com/file/d/1kRXyZStfuVYfpxWSVSGO5iIN-pVaT0ak/view?usp=drivesdk</t>
  </si>
  <si>
    <t>You are an audit supervisor. Context: the attached workbook v2.1 has a Checker that flags 231 of 400 claims (rule flags: TP-01 7, TP-02 18, TP-04 18, TP-05 31, TP-06 55, TP-08 12, TP-09 60, TP-10 78; 139 claims have a Definite basis and 92 are Assumption-based only). Task: compare three ways to pick 30 flagged claims for a manual audit (simple random, stratified by rule, focused on Assumption-based flags), giving pros, cons and the false-alarm statistic each supports, then test my choice and verdict definitions for weaknesses. My choice: stratified by rule, with 30 claims = TP-01 3, TP-02 3, TP-04 3, TP-05 4, TP-06 4, TP-08 3, TP-09 5, TP-10 5, picked at random within each rule, no claim picked twice. My justification: rule sizes differ a lot (7 flags for TP-01 versus 78 for TP-10), so a simple random sample would include about one TP-01 claim on average and could miss TP-01 or TP-08 entirely; stratifying makes sure every rule is audited. I accept that small rules are over-represented, so I will report false alarms per rule and overall, say the overall rate is not a proportional estimate, and state that the audit measures false alarms only, not missed violations. Verdicts: True violation (breaks the policy text), False alarm (policy text and claim row show no breach), Cannot verify (depends on missing data such as nights, days or approval). Constraints: the brief only says 'audit 30 flagged claims'; do not select any claims yet; do not change my choice, only point out weaknesses. Output: a comparison table, a short critique of my choice, and the final verdict definitions.</t>
  </si>
  <si>
    <t>Comparison and probabilities were correct (about 37% chance of no TP-01 claim under simple random). Strong critique: False alarm is almost unreachable for TP-02/04/05/06, strata of 3 to 5 are tiny, the audit unit needs defining. Minor wording slip: said 92 claims or 122 rule flags (122 claims carry an Assumption-based flag, 92 are Assumption-only).</t>
  </si>
  <si>
    <t>Chose stratified sampling by rule with the 3/3/3/4/4/3/5/5 allocation; adopted verdict definitions with reason codes (CV-NIGHTS, CV-DAYS, CV-APPROVAL, CV-RETURN, CV-ORIGINAL); decided not to treat the Session 3 assumptions as facts in the audit.</t>
  </si>
  <si>
    <t>https://drive.google.com/file/d/192Iy22-_DIG-knr-d5QT4vAdQc_O_i00/view?usp=drivesdk</t>
  </si>
  <si>
    <t>Add an Audit sheet to the attached workbook v2.1 with 30 flagged claims, stratified by rule as decided: TP-01 3, TP-02 3, TP-04 3, TP-05 4, TP-06 4, TP-08 3, TP-09 5, TP-10 5. Draw at random with a recorded seed, smallest strata first, no claim twice, and store the selected IDs as values, not live RAND(). Columns: Claim ID, all claim fields, audited rule, the exact policy rule text from Policy Rules, then blank columns My verdict (True violation / False alarm / Cannot verify), Reason code (CV-NIGHTS, CV-DAYS, CV-APPROVAL, CV-RETURN, CV-ORIGINAL), and My reason; put the Checker's own message in the last column. Do not fill any verdict.</t>
  </si>
  <si>
    <t>Audit sheet created with 30 distinct flagged claims and the correct allocation; seed 20261001 recorded and the draw reproduced exactly when re-run. Verdict columns correctly left blank; exact policy text shown per claim.</t>
  </si>
  <si>
    <t>Audit verdicts and reasons for all 30 claims were then completed (drafted with Claude in a separate chat step, see disclosure note) and reviewed against the policy text.</t>
  </si>
  <si>
    <t>https://drive.google.com/file/d/1xM6hmqKIAcgNDJO-w0VRN9awEVIsaTeL/view?usp=drivesdk</t>
  </si>
  <si>
    <t>Act as a data analyst. Attached is the audited workbook v2.3. The audit of 30 stratified flagged claims found 16 True violations (TP-01 3, TP-08 3, TP-09 5, TP-10 5), 0 False alarms and 14 Cannot verify (CV-APPROVAL 3 for TP-02, CV-NIGHTS 7 for TP-04/05, CV-DAYS 4 for TP-06). Using only the Audit sheet and Checker, report the confirmed false-alarm rate and its possible range, group the 14 Cannot-verify claims by rule and cause, and say whether each stems from data limits, rule design or policy wording. Separate observed facts from interpretations, do not use the Checker's messages as audit evidence, and make no recommendations beyond what the audit supports. Output: a short findings list and one table by rule.</t>
  </si>
  <si>
    <t>Counts and causes matched the Audit sheet: 0 of 30 confirmed false alarms, possible range 0% to 46.7%, 14 Cannot verify all from TP-02/04/05/06. Correctly separated facts from interpretation and warned that 0% is not clean evidence for the Assumption-based rules.</t>
  </si>
  <si>
    <t>Decided not to change any rule logic (audit found no error); instead add transparency columns, a missing-data count and a sensitivity table in Session 13.</t>
  </si>
  <si>
    <t>https://drive.google.com/file/d/1L5OXZvgLt7bnQtMin5XgCDkzO9AxEr0v/view?usp=drivesdk</t>
  </si>
  <si>
    <t>Act as an Excel analyst. In the attached workbook v2.3, make only these audit-driven changes and keep Status, Rules broken and all claim counts unchanged: (1) add Checker columns V 'Min nights/days to comply' (ROUNDUP of amount ÷ cap or daily limit for TP-04/05/06 flags) and W 'Review note' (Needs nights, Needs days or Needs approval for TP-02/04/05/06 flags); (2) add to Summary the count of rule flags that need missing data to confirm, and a formula-based sensitivity table for 1, 2 and 3 nights or days; (3) add a values-only Final_Results sheet. Re-run Test_Cases and Verification, then return workbook v3 with a short change list.</t>
  </si>
  <si>
    <t>Columns V and W matched an independent recalculation for all 400 rows (49 Needs nights, 55 Needs days, 18 Needs approval). 122 flags need missing data (43.7% of 279). Sensitivity table correct (hotel 49/19/12, meals 55/12/0). Status and counts unchanged; Test_Cases 50 PASS; Verification all 0. Final_Results has no formulas.</t>
  </si>
  <si>
    <t>Logged as Improvement Round 4 (audit-driven). Noted that S-01 to S-05 still need to be entered and Final_Results rebuilt afterwards. Update: S-01 to S-05 were completed afterwards (M3/M4/M5 caps and TP-06 at Rs 901); all 55 tests now PASS.</t>
  </si>
  <si>
    <t>https://drive.google.com/file/d/1JjGMe34siiqC0LId3D44iJ-Q87YO9uKG/view?usp=drivesdk</t>
  </si>
  <si>
    <t>Act as a finance analyst. Using the attached workbook v3, add an Analytics sheet of formulas on the Checker: for each rule the number of flagged claims and the total value of those claims (label it 'value of flagged claims', not savings, and note that a claim breaking several rules appears under each), plus flagged counts and values by expense_type, grade and city_class, and for TP-04/05/06 the excess above the limit under the one-night/one-day assumption, labelled Assumption-based. Add five factual observations, with no recommendations, that mention the audit result (16 True violations, 0 False alarms, 14 Cannot verify). Return workbook v3.1.</t>
  </si>
  <si>
    <t>All values matched my independent recalculation: flagged value Rs 14,53,124 of Rs 20,51,519; by rule, expense type, grade and city class; excess above limit Rs 3,13,616 (TP-04 79,645, TP-05 2,00,786, TP-06 33,185). Observations were accurate and labelled value of flagged claims, not savings.</t>
  </si>
  <si>
    <t>Used the verified tables as evidence for the CFO recommendation; noted the excess is an upper bound under the one-night/one-day assumption.</t>
  </si>
  <si>
    <t>https://drive.google.com/file/d/1PdugvOHkAYp0bbLU9IEiz71mhEwfztUq/view?usp=drivesdk</t>
  </si>
  <si>
    <t>Act as a finance advisor. Context: the attached workbook v3.1 holds the Checker, Analytics and Audit results (30 audited flags: 16 True violations, 0 False alarms, 14 Cannot verify). Task: list the realistic actions open to a CFO, with the supporting data and trade-offs for each, then test my recommendation for weaknesses. My recommendation: (1) add number of nights, number of days and late-booking approval fields to the claim form, because 122 of 279 rule flags (Rs 9,17,734 of flagged claim value) cannot be confirmed from today's data; (2) enforce the Definite rules at submission: block alcohol claims (TP-08, 12 claims, Rs 42,600), require a receipt above Rs 500 (TP-09, 60 claims, Rs 3,39,018) and flag Business class for grades M1 to M3 (TP-01, 7 claims, Rs 91,597); (3) address late submission (TP-10, 78 claims, the most frequent flag, 15 over 60 days). My justification: the audit confirmed all 16 decided flags and could not verify any of the 14 Assumption-based flags, so the Definite rules can be enforced now while the data gap is closed first. Constraints: use only workbook figures, invent no savings, do not change my recommendation, only point out weaknesses. Output: an options table, a short critique, and a final wording of my recommendation.</t>
  </si>
  <si>
    <t>Options table and all figures verified (122 flags / Rs 9,17,734; 78 claims / Rs 4,68,885 counted once; 15 expired claims Rs 1,01,153). Good critique: ambiguous sequencing, claim value is not exposure, double-counting across rules, small audit strata, TP-10 action left vague.</t>
  </si>
  <si>
    <t>Clarified the sequencing (new fields before enforcing TP-02/04/05/06; Definite rules now), specified the TP-10 action and a success measure (flagged share, 57.8% today) in the final wording.</t>
  </si>
  <si>
    <t>https://drive.google.com/file/d/1yiw7z7HeSFGCrjOKH-VhMmDsF4PO1AWI/view?usp=drivesdk</t>
  </si>
  <si>
    <t>Act as a finance communications writer. Add a one-page, print-ready CFO_Summary sheet to the attached workbook v3.1. Pull every number from Summary, Analytics and Audit with formulas, and use my recommendation text below word for word. Include a headline, the top violation types by count and value (marked Definite or Assumption-based), the audit result (16 True violation, 0 False alarm, 14 Cannot verify), my recommendation, and a limits box (7 rules not checked, one-night/one-day and return-date assumptions, audit measures false alarms only, values are not savings). Do not add savings, targets or any figure not in the workbook. Return workbook v3.2.
Enforce now the three Definite-basis rules the audit confirmed (16 of 16 decided flags): block alcohol claims (TP-08: 12 claims, Rs 42,600), require a receipt above Rs 500 (TP-09: 60 claims, Rs 3,39,018) and flag Business class for grades M1 to M3 (TP-01: 7 claims, Rs 91,597); counted once, these are 78 claims worth Rs 4,68,885. For late submission (TP-10: 78 claims, the most frequent flag), apply the policy's own 60-day rejection to the 15 claims over 60 days (Rs 1,01,153) and add a reminder before the 15-day limit; this assumes trip_end_date is the return date. Before enforcing TP-02, 04, 05 and 06, add nights, days and late-booking approval fields to the claim form: 122 of 279 rule flags (claims worth Rs 9,17,734) cannot be confirmed from today's data, and the audit could not verify any of the 14 audited flags from these rules. Track success by re-running this Checker on new claims and watching the flagged share (57.8% today). All figures are values of flagged claims, not savings.</t>
  </si>
  <si>
    <t>CFO_Summary built with live formulas, one-page print area, no errors; recommendation text matched exactly; top violation table and limits box correct. Other sheets unchanged.</t>
  </si>
  <si>
    <t>Moved on to drafting the report.</t>
  </si>
  <si>
    <t>https://drive.google.com/file/d/1diUZWsNs0F1U9prnreS8vS5gnqDeM5xa/view?usp=drivesdk</t>
  </si>
  <si>
    <t>Parameters - T06 Expense claim policy checker</t>
  </si>
  <si>
    <t>Blue cells are the inputs; every Checker formula reads them (named ranges). Values come from the Policy Rules sheet, except where the note says "your decision" (Session 3 / 4 decisions).</t>
  </si>
  <si>
    <t>1. Hotel caps (INR per night) and Business class by grade  [TP-04, TP-05, TP-01]</t>
  </si>
  <si>
    <t>Grade</t>
  </si>
  <si>
    <t>Metro cap (INR)</t>
  </si>
  <si>
    <t>Non-metro cap (INR)</t>
  </si>
  <si>
    <t>Business class permitted?</t>
  </si>
  <si>
    <t>Note</t>
  </si>
  <si>
    <t>Caps: TP-04 / TP-05 text. One claim = one night (your assumption).</t>
  </si>
  <si>
    <t>Business: M1-M3 not permitted (TP-01).</t>
  </si>
  <si>
    <t>M4 and above: Business treated as Compliant because flight duration is unknown (your decision).</t>
  </si>
  <si>
    <t>2. Daily limits (INR per day)  [TP-06]</t>
  </si>
  <si>
    <t>City class</t>
  </si>
  <si>
    <t>Daily limit (INR)</t>
  </si>
  <si>
    <t>TP-06. One claim = one day (your assumption). Amount above limit = Violation; equal = Compliant.</t>
  </si>
  <si>
    <t>TP-06 ("elsewhere" = Non-metro).</t>
  </si>
  <si>
    <t>3. Thresholds</t>
  </si>
  <si>
    <t>Threshold</t>
  </si>
  <si>
    <t>Value</t>
  </si>
  <si>
    <t>Rule</t>
  </si>
  <si>
    <t>Minimum days booked before flight</t>
  </si>
  <si>
    <t>Below = Violation; exactly this value = Compliant. Approval exception not recorded (Assumption-based).</t>
  </si>
  <si>
    <t>Receipt required above (INR)</t>
  </si>
  <si>
    <t>Amount above this with no receipt = Violation; exactly this value = Compliant.</t>
  </si>
  <si>
    <t>Late if gap above (days)</t>
  </si>
  <si>
    <t>Gap = claim_submitted_date - trip_end_date, calendar days. trip_end_date treated as return date.</t>
  </si>
  <si>
    <t>Expired if gap above (days)</t>
  </si>
  <si>
    <t>Above this the TP-10 label is Expired; above Late threshold up to this is Late.</t>
  </si>
  <si>
    <t>4. Labels used by the formulas (must match the text in the Claims sheet)</t>
  </si>
  <si>
    <t>Label</t>
  </si>
  <si>
    <t>Expense type: Flight</t>
  </si>
  <si>
    <t>Expense type: Hotel</t>
  </si>
  <si>
    <t>Expense type: Meals/DA</t>
  </si>
  <si>
    <t>Expense type: Alcohol</t>
  </si>
  <si>
    <t>City class: Metro</t>
  </si>
  <si>
    <t>City class: Non-metro</t>
  </si>
  <si>
    <t>Flight class: Business</t>
  </si>
  <si>
    <t>Receipt not attached</t>
  </si>
  <si>
    <t>Business not permitted (flag in table 1)</t>
  </si>
  <si>
    <t>Violation</t>
  </si>
  <si>
    <t>Compliant</t>
  </si>
  <si>
    <t>Not applicable</t>
  </si>
  <si>
    <t>n/a</t>
  </si>
  <si>
    <t>TP-10 label: Late</t>
  </si>
  <si>
    <t>Late</t>
  </si>
  <si>
    <t>TP-10 label: Expired</t>
  </si>
  <si>
    <t>Expired</t>
  </si>
  <si>
    <t>Basis: Definite</t>
  </si>
  <si>
    <t>Definite</t>
  </si>
  <si>
    <t>Basis: Assumption-based</t>
  </si>
  <si>
    <t>Assumption-based</t>
  </si>
  <si>
    <t>5. Basis of each rule (claim Basis = Definite if any broken rule is Definite, otherwise Assumption-based)</t>
  </si>
  <si>
    <t>Rule ID</t>
  </si>
  <si>
    <t>Basis</t>
  </si>
  <si>
    <t>Only M1-M3 Business is a violation.</t>
  </si>
  <si>
    <t>Approved exception not recorded.</t>
  </si>
  <si>
    <t>One claim = one night.</t>
  </si>
  <si>
    <t>One claim = one day.</t>
  </si>
  <si>
    <t>Per the specification.</t>
  </si>
  <si>
    <t>6. Review note labels (Checker column W)</t>
  </si>
  <si>
    <t>Review note: hotel nights missing (TP-04/05)</t>
  </si>
  <si>
    <t>Needs nights</t>
  </si>
  <si>
    <t>Review note: meal days missing (TP-06)</t>
  </si>
  <si>
    <t>Needs days</t>
  </si>
  <si>
    <t>Review note: approval missing (TP-02)</t>
  </si>
  <si>
    <t>Needs approval</t>
  </si>
  <si>
    <t>Checker - one row per claim (formulas only; inputs on the Parameters sheet)</t>
  </si>
  <si>
    <t>Each rule column shows Violation, Compliant, or n/a (rule does not apply to that expense type). "Compliant" in Status means no violation among the 8 checked rules; the 7 Not checked rules are listed below the table.</t>
  </si>
  <si>
    <t>Rule basis:</t>
  </si>
  <si>
    <t>gap_days</t>
  </si>
  <si>
    <t>Status</t>
  </si>
  <si>
    <t>Rules broken</t>
  </si>
  <si>
    <t>TP-10 label</t>
  </si>
  <si>
    <t>Min nights/days to comply</t>
  </si>
  <si>
    <t>Review note</t>
  </si>
  <si>
    <t>Rules not checked (7) - shown as Not checked, never as Compliant</t>
  </si>
  <si>
    <t>Missing field(s) in the Claims data</t>
  </si>
  <si>
    <t>Train class (AC 2-tier / AC 1st) is not in the data</t>
  </si>
  <si>
    <t>Cab type (app cab, auto, self-drive) and prior approval are not in the data</t>
  </si>
  <si>
    <t>International flag, business unit head / CFO approvals and departure date are not in the data</t>
  </si>
  <si>
    <t>Personal days added to the trip and the business-only fare are not in the data</t>
  </si>
  <si>
    <t>Approver fields and a trip ID / total trip cost are not in the data</t>
  </si>
  <si>
    <t>Cancellation flag and cancellation reason are not in the data</t>
  </si>
  <si>
    <t>Traveller / relationship (spouse or family member) is not in the data</t>
  </si>
  <si>
    <t>Summary - T06 expense claim checker (all figures are formulas reading the Checker sheet)</t>
  </si>
  <si>
    <t>A claim can break several rules, so rule counts add up to more than the number of flagged claims. "Compliant" means no violation among the 8 checked rules; the 7 Not checked rules are listed at the bottom.</t>
  </si>
  <si>
    <t>1. Overall</t>
  </si>
  <si>
    <t>Measure</t>
  </si>
  <si>
    <t>Count</t>
  </si>
  <si>
    <t>Total claims</t>
  </si>
  <si>
    <t>Rows in the Checker</t>
  </si>
  <si>
    <t>Flagged claims (Violation)</t>
  </si>
  <si>
    <t>At least one checked rule broken</t>
  </si>
  <si>
    <t>Compliant claims</t>
  </si>
  <si>
    <t>No violation among the 8 checked rules</t>
  </si>
  <si>
    <t>% flagged</t>
  </si>
  <si>
    <t>Flagged / total</t>
  </si>
  <si>
    <t>Reconciliation: flagged + compliant = total</t>
  </si>
  <si>
    <t>Claims breaking 2 or more rules</t>
  </si>
  <si>
    <t>Rules broken lists more than one rule ID</t>
  </si>
  <si>
    <t>Flagged claims, Basis = Definite</t>
  </si>
  <si>
    <t>Any broken rule is Definite</t>
  </si>
  <si>
    <t>Flagged claims, Basis = Assumption-based</t>
  </si>
  <si>
    <t>Only Assumption-based rules broken</t>
  </si>
  <si>
    <t>TP-10 flagged as Late</t>
  </si>
  <si>
    <t>Gap above the Late threshold, up to the Expired threshold</t>
  </si>
  <si>
    <t>TP-10 flagged as Expired</t>
  </si>
  <si>
    <t>Gap above the Expired threshold</t>
  </si>
  <si>
    <t>2. Violations per rule</t>
  </si>
  <si>
    <t>Claims violating</t>
  </si>
  <si>
    <t>Claims the rule applies to</t>
  </si>
  <si>
    <t>% of applicable claims</t>
  </si>
  <si>
    <t>Total rule violations</t>
  </si>
  <si>
    <t>3. By expense_type (violation counts per rule in columns F-M)</t>
  </si>
  <si>
    <t>Flagged</t>
  </si>
  <si>
    <t>Check vs total claims</t>
  </si>
  <si>
    <t>4. By grade (violation counts per rule in columns F-M)</t>
  </si>
  <si>
    <t>5. Rules not checked (7) - never counted as Compliant or Violation</t>
  </si>
  <si>
    <t>6. Rule flags that need missing data to confirm</t>
  </si>
  <si>
    <t>Flags needing nights (TP-04, TP-05)</t>
  </si>
  <si>
    <t>Hotel nights are not recorded</t>
  </si>
  <si>
    <t>Flags needing days (TP-06)</t>
  </si>
  <si>
    <t>Meal days are not recorded</t>
  </si>
  <si>
    <t>Flags needing approval (TP-02)</t>
  </si>
  <si>
    <t>Approved late-booking exception is not recorded</t>
  </si>
  <si>
    <t>Total rule flags needing missing data</t>
  </si>
  <si>
    <t>Sum of the three lines above</t>
  </si>
  <si>
    <t>% of all rule flags</t>
  </si>
  <si>
    <t>Share of total rule violations (section 2)</t>
  </si>
  <si>
    <t>Reconciliation: equals TP-02 + TP-04 + TP-05 + TP-06 flags</t>
  </si>
  <si>
    <t>Counts from section 2</t>
  </si>
  <si>
    <t>7. Sensitivity: flags if each claim covered 1, 2 or 3 nights (hotel) or days (meals)</t>
  </si>
  <si>
    <t>Rule / group</t>
  </si>
  <si>
    <t>TP-04 Metro hotel</t>
  </si>
  <si>
    <t>TP-05 Non-metro hotel</t>
  </si>
  <si>
    <t>Hotel total</t>
  </si>
  <si>
    <t>TP-06 Meals/DA, Metro</t>
  </si>
  <si>
    <t>TP-06 Meals/DA, Non-metro</t>
  </si>
  <si>
    <t>Meals/DA total</t>
  </si>
  <si>
    <t>Check: x1 equals section 2 counts</t>
  </si>
  <si>
    <t>A claim is flagged at x k when its amount is above the cap or limit multiplied by k, i.e. when its minimum nights/days to comply (Checker column V) is above k.</t>
  </si>
  <si>
    <t>Analytics - flagged claims and value of flagged claims (formulas on the Checker)</t>
  </si>
  <si>
    <t>'Value of flagged claims' is the sum of amount_inr of flagged claims. It is not a saving or a recoverable amount. In section 1 a claim that breaks several rules appears under each rule; sections 2-4 count each claim once.</t>
  </si>
  <si>
    <t>1. By rule</t>
  </si>
  <si>
    <t>Flagged claims</t>
  </si>
  <si>
    <t>Value of flagged claims (INR)</t>
  </si>
  <si>
    <t>% of total claim value</t>
  </si>
  <si>
    <t>Average value per flagged claim (INR)</t>
  </si>
  <si>
    <t>Sum of rules (a claim breaking several rules is counted under each)</t>
  </si>
  <si>
    <t>Flagged claims, each claim once</t>
  </si>
  <si>
    <t>All claims</t>
  </si>
  <si>
    <t>2. By expense_type</t>
  </si>
  <si>
    <t>Value of all claims (INR)</t>
  </si>
  <si>
    <t>% of value flagged</t>
  </si>
  <si>
    <t>Check vs section 1 totals</t>
  </si>
  <si>
    <t>3. By grade</t>
  </si>
  <si>
    <t>4. By city_class</t>
  </si>
  <si>
    <t>5. Excess above the limit - Assumption-based (one claim = one night for hotels, one day for Meals/DA)</t>
  </si>
  <si>
    <t>Excess above limit (INR)</t>
  </si>
  <si>
    <t>Excess as % of flagged value</t>
  </si>
  <si>
    <t>Average excess per flagged claim (INR)</t>
  </si>
  <si>
    <t>TP-06 Meals/DA</t>
  </si>
  <si>
    <t>Total TP-04 + TP-05 + TP-06</t>
  </si>
  <si>
    <t>Excess = amount_inr minus the hotel cap (grade, city class) or the daily limit, for flagged claims only. It rests on the one-night / one-day assumption; nights and days are not in the data.</t>
  </si>
  <si>
    <t>6. Factual observations (no recommendations)</t>
  </si>
  <si>
    <t>CFO Summary - Expense claim policy checker (T06)</t>
  </si>
  <si>
    <t>Helper cells (not printed)</t>
  </si>
  <si>
    <t>Flagged share</t>
  </si>
  <si>
    <t>Value of flagged claims (Rs)</t>
  </si>
  <si>
    <t>Top violation types, ranked by flagged claims (basis shown; value = value of flagged claims, not savings)</t>
  </si>
  <si>
    <t>Rank</t>
  </si>
  <si>
    <t>Policy topic</t>
  </si>
  <si>
    <t>Value rank</t>
  </si>
  <si>
    <t>Position</t>
  </si>
  <si>
    <t>Rank key</t>
  </si>
  <si>
    <t>True violation</t>
  </si>
  <si>
    <t>False alarm</t>
  </si>
  <si>
    <t>Cannot verify</t>
  </si>
  <si>
    <t>Reason codes: nights / days / approval</t>
  </si>
  <si>
    <t>Confirmed false-alarm rate</t>
  </si>
  <si>
    <t>TP-08 value</t>
  </si>
  <si>
    <t>TP-09 value</t>
  </si>
  <si>
    <t>TP-01 value</t>
  </si>
  <si>
    <t>TP-01/08/09 claims, once</t>
  </si>
  <si>
    <t>Recommendation</t>
  </si>
  <si>
    <t>TP-01/08/09 value, once</t>
  </si>
  <si>
    <t>TP-10 over-limit value (Expired)</t>
  </si>
  <si>
    <t>TP-10 Expired claims</t>
  </si>
  <si>
    <t>Limits</t>
  </si>
  <si>
    <t>Value, TP-02/04/05/06 flags</t>
  </si>
  <si>
    <t>Value of flagged claims</t>
  </si>
  <si>
    <t>Excess TP-04/05/06</t>
  </si>
  <si>
    <t>Verification - independent recount vs the Checker</t>
  </si>
  <si>
    <t>Independent counts read only the raw Claims sheet and Parameters (COUNTIFS / SUMPRODUCT); they use no Checker column. Checker counts read the Checker sheet. Difference = Independent - Checker.</t>
  </si>
  <si>
    <t>Rule ID / measure</t>
  </si>
  <si>
    <t>Independent count</t>
  </si>
  <si>
    <t>Checker count</t>
  </si>
  <si>
    <t>Difference</t>
  </si>
  <si>
    <t>Explanation</t>
  </si>
  <si>
    <t>TP-10 Late</t>
  </si>
  <si>
    <t>TP-10 Expired</t>
  </si>
  <si>
    <t>Total flagged claims</t>
  </si>
  <si>
    <t>Flagged, Definite basis</t>
  </si>
  <si>
    <t>Flagged, Assumption-based only</t>
  </si>
  <si>
    <t>Overall result</t>
  </si>
  <si>
    <t>Audit - 30 flagged claims, stratified by rule (verdict columns are blank for your manual audit)</t>
  </si>
  <si>
    <t>Decide each verdict from the policy text and the claim fields BEFORE reading the Checker message in the last column. Verdict applies to the audited rule only. Claim IDs are stored values (seed recorded below); the other fields are lookups.</t>
  </si>
  <si>
    <t>No.</t>
  </si>
  <si>
    <t>Claim ID</t>
  </si>
  <si>
    <t>Audited rule</t>
  </si>
  <si>
    <t>Policy rule text (Policy Rules sheet)</t>
  </si>
  <si>
    <t>My verdict</t>
  </si>
  <si>
    <t>Reason code</t>
  </si>
  <si>
    <t>My reason</t>
  </si>
  <si>
    <t>Checker message</t>
  </si>
  <si>
    <t>M2 employee claimed Business class on this flight. TP-01 allows Business only for grade M4 and above on flights over 4 hours and requires Economy otherwise, so M2 has no Business entitlement whether the flight was under or over 4 hours; flight duration is not recorded but does not change the outcome.</t>
  </si>
  <si>
    <t>Business class claimed by grade M3 (Rs 18,402). The policy limits Business to M4+ on flights over 4 hours and requires Economy under 4 hours, so a M3 traveller is not entitled to Business on either duration; the missing duration does not affect the verdict.</t>
  </si>
  <si>
    <t>Row shows flight_class = Business for grade M1. Under TP-01 Business is an exception reserved for grade M4 and above on flights over 4 hours, so it cannot be claimed by M1 regardless of duration.</t>
  </si>
  <si>
    <t>CV-APPROVAL</t>
  </si>
  <si>
    <t>Flight booked 2 days before travel, short of the 7-day minimum in TP-02. The rule allows later bookings with a written reason approved by the department head, and the row holds no approval information, so it cannot be established whether the exception applies.</t>
  </si>
  <si>
    <t>Flight booked 4 days before travel, short of the 7-day minimum in TP-02. The rule allows later bookings with a written reason approved by the department head, and the row holds no approval information, so it cannot be established whether the exception applies.</t>
  </si>
  <si>
    <t>Flight booked 6 days before travel, short of the 7-day minimum in TP-02. The rule allows later bookings with a written reason approved by the department head, and the row holds no approval information, so it cannot be established whether the exception applies.</t>
  </si>
  <si>
    <t>CV-NIGHTS</t>
  </si>
  <si>
    <t>Metro hotel claim of Rs 11,637 for grade M1 against the Rs 7,000 per-night limit in TP-04. The row has no number of nights, so the per-night rate cannot be calculated; the claim would be within the limit only if the stay covered 2 or more nights (about Rs 5,818 a night at 2).</t>
  </si>
  <si>
    <t>Metro hotel claim of Rs 13,851 for grade M2 against the Rs 7,000 per-night limit in TP-04. The row has no number of nights, so the per-night rate cannot be calculated; the claim would be within the limit only if the stay covered 2 or more nights (about Rs 6,926 a night at 2).</t>
  </si>
  <si>
    <t>Metro hotel claim of Rs 14,858 for grade M5 against the Rs 14,000 per-night limit in TP-04. The row has no number of nights, so the per-night rate cannot be calculated; the claim would be within the limit only if the stay covered 2 or more nights (about Rs 7,429 a night at 2).</t>
  </si>
  <si>
    <t>Non-metro hotel claim of Rs 12,175 for grade M2 against the Rs 4,500 per-night limit in TP-05. The row has no number of nights, so the per-night rate cannot be calculated; the claim would be within the limit only if the stay covered 3 or more nights (about Rs 4,058 a night at 3).</t>
  </si>
  <si>
    <t>Non-metro hotel claim of Rs 15,881 for grade M1 against the Rs 4,500 per-night limit in TP-05. The row has no number of nights, so the per-night rate cannot be calculated; the claim would be within the limit only if the stay covered 4 or more nights (about Rs 3,970 a night at 4).</t>
  </si>
  <si>
    <t>Non-metro hotel claim of Rs 7,899 for grade M3 against the Rs 6,500 per-night limit in TP-05. The row has no number of nights, so the per-night rate cannot be calculated; the claim would be within the limit only if the stay covered 2 or more nights (about Rs 3,950 a night at 2).</t>
  </si>
  <si>
    <t>Non-metro hotel claim of Rs 13,675 for grade M2 against the Rs 4,500 per-night limit in TP-05. The row has no number of nights, so the per-night rate cannot be calculated; the claim would be within the limit only if the stay covered 4 or more nights (about Rs 3,419 a night at 4).</t>
  </si>
  <si>
    <t>CV-DAYS</t>
  </si>
  <si>
    <t>Non-metro Meals/DA claim of Rs 1,637 against the Rs 900 per-day allowance in TP-06. The row gives no number of days, so the daily rate cannot be calculated; the claim would be within the allowance only if it covered 2 or more days (about Rs 818 a day at 2).</t>
  </si>
  <si>
    <t>Non-metro Meals/DA claim of Rs 1,393 against the Rs 900 per-day allowance in TP-06. The row gives no number of days, so the daily rate cannot be calculated; the claim would be within the allowance only if it covered 2 or more days (about Rs 696 a day at 2).</t>
  </si>
  <si>
    <t>Non-metro Meals/DA claim of Rs 1,000 against the Rs 900 per-day allowance in TP-06. The row gives no number of days, so the daily rate cannot be calculated; the claim would be within the allowance only if it covered 2 or more days (about Rs 500 a day at 2).</t>
  </si>
  <si>
    <t>Non-metro Meals/DA claim of Rs 2,178 against the Rs 900 per-day allowance in TP-06. The row gives no number of days, so the daily rate cannot be calculated; the claim would be within the allowance only if it covered 3 or more days (about Rs 726 a day at 3).</t>
  </si>
  <si>
    <t>expense_type is Alcohol (Rs 4,330). TP-08 states alcohol is not reimbursable under any circumstances and contains no exception, so the claim is a breach regardless of amount, purpose or receipt (no receipt).</t>
  </si>
  <si>
    <t>expense_type is Alcohol (Rs 4,546). TP-08 states alcohol is not reimbursable under any circumstances and contains no exception, so the claim is a breach regardless of amount, purpose or receipt (receipt attached).</t>
  </si>
  <si>
    <t>expense_type is Alcohol (Rs 4,338). TP-08 states alcohol is not reimbursable under any circumstances and contains no exception, so the claim is a breach regardless of amount, purpose or receipt (receipt attached).</t>
  </si>
  <si>
    <t>Client Entertainment claim of Rs 11,282, above the Rs 500 threshold, with receipt_attached = No. TP-09 requires original receipts for every expense above Rs 500; with no receipt on file, no original can have been provided.</t>
  </si>
  <si>
    <t>Hotel claim of Rs 6,360, above the Rs 500 threshold, with receipt_attached = No. TP-09 requires original receipts for every expense above Rs 500; with no receipt on file, no original can have been provided.</t>
  </si>
  <si>
    <t>Flight claim of Rs 20,098, above the Rs 500 threshold, with receipt_attached = No. TP-09 requires original receipts for every expense above Rs 500; with no receipt on file, no original can have been provided.</t>
  </si>
  <si>
    <t>Stationery claim of Rs 1,304, above the Rs 500 threshold, with receipt_attached = No. TP-09 requires original receipts for every expense above Rs 500; with no receipt on file, no original can have been provided.</t>
  </si>
  <si>
    <t>Hotel claim of Rs 15,675, above the Rs 500 threshold, with receipt_attached = No. TP-09 requires original receipts for every expense above Rs 500; with no receipt on file, no original can have been provided.</t>
  </si>
  <si>
    <t>Trip ended 05 Feb 2026 and the claim was submitted 12 Mar 2026, 35 days later. Taking trip_end_date as the return date, this exceeds the 15-day submission limit in TP-10 by 20 days; the amount (Rs 157) and expense type do not affect the deadline.</t>
  </si>
  <si>
    <t>Trip ended 22 Jan 2026 and the claim was submitted 26 Feb 2026, 35 days later. Taking trip_end_date as the return date, this exceeds the 15-day submission limit in TP-10 by 20 days; the amount (Rs 3,969) and expense type do not affect the deadline.</t>
  </si>
  <si>
    <t>Trip ended 30 Sep 2025 and the claim was submitted 20 Oct 2025, 20 days later. Taking trip_end_date as the return date, this exceeds the 15-day submission limit in TP-10 by 5 days; the amount (Rs 870) and expense type do not affect the deadline.</t>
  </si>
  <si>
    <t>Trip ended 07 Apr 2025 and the claim was submitted 27 Apr 2025, 20 days later. Taking trip_end_date as the return date, this exceeds the 15-day submission limit in TP-10 by 5 days; the amount (Rs 1,596) and expense type do not affect the deadline.</t>
  </si>
  <si>
    <t>Trip ended 02 Apr 2025 and the claim was submitted 22 Apr 2025, 20 days later. Taking trip_end_date as the return date, this exceeds the 15-day submission limit in TP-10 by 5 days; the amount (Rs 1,109) and expense type do not affect the deadline.</t>
  </si>
  <si>
    <t>Selection record</t>
  </si>
  <si>
    <t>Seed</t>
  </si>
  <si>
    <t>Method</t>
  </si>
  <si>
    <t>Python 3 random.Random(seed). For each rule: eligible = claims the Checker flags for that rule and not already selected, sorted by claim_id; rng.sample(eligible, allocation); picks then sorted by claim_id.</t>
  </si>
  <si>
    <t>Draw order</t>
  </si>
  <si>
    <t>Smallest stratum first by number of flags; ties by rule ID: TP-01, TP-08, TP-02, TP-04, TP-05, TP-06, TP-09, TP-10</t>
  </si>
  <si>
    <t>Stored as</t>
  </si>
  <si>
    <t>Claim IDs are typed values (not RAND), so the sample does not change when the workbook recalculates.</t>
  </si>
  <si>
    <t>Flags in population (Checker)</t>
  </si>
  <si>
    <t>Allocation</t>
  </si>
  <si>
    <t>Eligible when drawn</t>
  </si>
  <si>
    <t>Selected in sheet</t>
  </si>
  <si>
    <t>Check</t>
  </si>
  <si>
    <t>No claim twice</t>
  </si>
  <si>
    <t>All flagged for audited rule</t>
  </si>
  <si>
    <t>Audit summary (counts calculated from columns P, R and S above)</t>
  </si>
  <si>
    <t>Audited</t>
  </si>
  <si>
    <t>CV-RETURN</t>
  </si>
  <si>
    <t>CV-ORIGINAL</t>
  </si>
  <si>
    <t>Possible range (upper end: false alarms + Cannot verify)</t>
  </si>
  <si>
    <t>Cannot-verify share</t>
  </si>
  <si>
    <t>Check: every claim has a verdict</t>
  </si>
  <si>
    <t>Interpretations adopted</t>
  </si>
  <si>
    <t>Business class is treated as an exception available only to grade M4 and above on flights over 4 hours. M1-M3 Business claims are a breach whether the flight was under 4 hours (Economy required) or over 4 hours (exception not available to M1-M3), so missing flight duration does not change the verdict. Applied identically to all three claims.</t>
  </si>
  <si>
    <t>trip_end_date is taken as the return date because it is the only trip date in the row. Applied identically to all five claims. Limitation: if a traveller returned later than trip_end_date, the true gap would be shorter.</t>
  </si>
  <si>
    <t>TP-02, 04, 05, 06</t>
  </si>
  <si>
    <t>The one-night / one-day / no-approval assumptions made when building the Checker are not treated as facts. Where the verdict depends on nights, days or approval that the row does not record, the verdict is Cannot verify with the matching CV code.</t>
  </si>
  <si>
    <t>TP-08, TP-09</t>
  </si>
  <si>
    <t>TP-08 has no exception in its wording. All five TP-09 claims have receipt_attached = No and amounts above Rs 500, so CV-ORIGINAL does not apply.</t>
  </si>
  <si>
    <t>Scope</t>
  </si>
  <si>
    <t>Each verdict applies to the audited rule only. The audit measures false alarms in flagged claims; it does not measure violations the Checker missed or the 7 rules it does not check.</t>
  </si>
  <si>
    <t>Test_Cases - expected vs actual (actual = Checker row for real claims; Checker formulas on typed inputs for synthetic cases)</t>
  </si>
  <si>
    <t>PASS</t>
  </si>
  <si>
    <t>Awaiting input</t>
  </si>
  <si>
    <t>FAIL</t>
  </si>
  <si>
    <t>Synthetic marker (column D):</t>
  </si>
  <si>
    <t>Synthetic</t>
  </si>
  <si>
    <t>Inputs: real claims looked up from Checker; synthetic typed (blue)</t>
  </si>
  <si>
    <t>Actual result</t>
  </si>
  <si>
    <t>Expected result (from the test-case table)</t>
  </si>
  <si>
    <t>Test ID</t>
  </si>
  <si>
    <t>Input description</t>
  </si>
  <si>
    <t>Claim ID or Synthetic</t>
  </si>
  <si>
    <t>Status (actual)</t>
  </si>
  <si>
    <t>Rules broken (actual)</t>
  </si>
  <si>
    <t>TP-10 label (actual)</t>
  </si>
  <si>
    <t>Basis (actual)</t>
  </si>
  <si>
    <t>Status (expected)</t>
  </si>
  <si>
    <t>Rules broken (expected)</t>
  </si>
  <si>
    <t>TP-10 label (expected)</t>
  </si>
  <si>
    <t>Basis (expected)</t>
  </si>
  <si>
    <t>Result</t>
  </si>
  <si>
    <t>T01-01</t>
  </si>
  <si>
    <t>Flight, M1, Business, booked 14 d, gap 14</t>
  </si>
  <si>
    <t>T01-02</t>
  </si>
  <si>
    <t>Flight, M3, Business, booked 11 d, gap 20</t>
  </si>
  <si>
    <t>TP-01, TP-10</t>
  </si>
  <si>
    <t>T01-03</t>
  </si>
  <si>
    <t>Flight, M1, Economy, booked 8 d, gap 9</t>
  </si>
  <si>
    <t>T01-04</t>
  </si>
  <si>
    <t>Flight, M4, Business (no such row exists); other fields compliant</t>
  </si>
  <si>
    <t>T02-01</t>
  </si>
  <si>
    <t>Flight, M3, Economy, booked 3 d</t>
  </si>
  <si>
    <t>T02-02</t>
  </si>
  <si>
    <t>Flight, M2, Economy, booked 0 d</t>
  </si>
  <si>
    <t>T02-03</t>
  </si>
  <si>
    <t>Flight, M2, Economy, booked 6 d (boundary -1)</t>
  </si>
  <si>
    <t>T02-04</t>
  </si>
  <si>
    <t>Flight, M2, Economy, booked exactly 7 d</t>
  </si>
  <si>
    <t>T02-05</t>
  </si>
  <si>
    <t>Flight, M2, Economy, booked 8 d</t>
  </si>
  <si>
    <t>T02-06</t>
  </si>
  <si>
    <t>Meals/DA row, days_booked blank (TP-02 not evaluated)</t>
  </si>
  <si>
    <t>T04-01</t>
  </si>
  <si>
    <t>Metro Hotel, M1, Rs 8,155 (cap 7,000)</t>
  </si>
  <si>
    <t>T04-02</t>
  </si>
  <si>
    <t>Metro Hotel, M3, Rs 12,326 (cap 10,000)</t>
  </si>
  <si>
    <t>T04-03</t>
  </si>
  <si>
    <t>Metro Hotel, M5, Rs 14,858 (cap 14,000)</t>
  </si>
  <si>
    <t>T04-04</t>
  </si>
  <si>
    <t>Metro Hotel, M4, Rs 9,697</t>
  </si>
  <si>
    <t>T04-05</t>
  </si>
  <si>
    <t>Metro Hotel, M1, exactly Rs 7,000</t>
  </si>
  <si>
    <t>T04-06</t>
  </si>
  <si>
    <t>Metro Hotel, M2, Rs 7,001</t>
  </si>
  <si>
    <t>T05-01</t>
  </si>
  <si>
    <t>Non-metro Hotel, M1, Rs 8,815 (cap 4,500)</t>
  </si>
  <si>
    <t>T05-02</t>
  </si>
  <si>
    <t>Non-metro Hotel, M4, Rs 13,836 (cap 9,000)</t>
  </si>
  <si>
    <t>T05-03</t>
  </si>
  <si>
    <t>Non-metro Hotel, M3, Rs 3,644 (cap 6,500)</t>
  </si>
  <si>
    <t>T05-04</t>
  </si>
  <si>
    <t>Non-metro Hotel, M1, exactly Rs 4,500</t>
  </si>
  <si>
    <t>T05-05</t>
  </si>
  <si>
    <t>Non-metro Hotel, M2, Rs 4,501</t>
  </si>
  <si>
    <t>T05-06</t>
  </si>
  <si>
    <t>Non-metro Hotel, M5, exactly Rs 9,000 (no such row exists)</t>
  </si>
  <si>
    <t>T06-01</t>
  </si>
  <si>
    <t>Metro Meals/DA, M2, Rs 1,694 (limit 1,200)</t>
  </si>
  <si>
    <t>T06-02</t>
  </si>
  <si>
    <t>Non-metro Meals/DA, M2, Rs 944 (limit 900)</t>
  </si>
  <si>
    <t>T06-03</t>
  </si>
  <si>
    <t>Non-metro Meals/DA, M4, Rs 439, no receipt</t>
  </si>
  <si>
    <t>T06-04</t>
  </si>
  <si>
    <t>Metro Meals/DA, exactly Rs 1,200</t>
  </si>
  <si>
    <t>T06-05</t>
  </si>
  <si>
    <t>Metro Meals/DA, Rs 1,201</t>
  </si>
  <si>
    <t>T06-06</t>
  </si>
  <si>
    <t>Non-metro Meals/DA, exactly Rs 900</t>
  </si>
  <si>
    <t>T08-01</t>
  </si>
  <si>
    <t>Alcohol, M5, Rs 2,069, receipt Yes, gap 14</t>
  </si>
  <si>
    <t>T08-02</t>
  </si>
  <si>
    <t>Alcohol, M1, Rs 4,330, receipt No</t>
  </si>
  <si>
    <t>T08-03</t>
  </si>
  <si>
    <t>Alcohol, Rs 100, receipt Yes (smallest real Alcohol claim is Rs 1,442)</t>
  </si>
  <si>
    <t>T08-04</t>
  </si>
  <si>
    <t>Client Entertainment, Rs 5,918, receipt Yes, gap 5</t>
  </si>
  <si>
    <t>T09-01</t>
  </si>
  <si>
    <t>Meals/DA Metro, Rs 612, no receipt, gap 9</t>
  </si>
  <si>
    <t>T09-02</t>
  </si>
  <si>
    <t>Local Cab, Rs 429, no receipt, gap 2</t>
  </si>
  <si>
    <t>T09-03</t>
  </si>
  <si>
    <t>Any type (Local Cab), no receipt, exactly Rs 500</t>
  </si>
  <si>
    <t>T09-04</t>
  </si>
  <si>
    <t>Any type (Local Cab), no receipt, Rs 501</t>
  </si>
  <si>
    <t>T09-05</t>
  </si>
  <si>
    <t>Client Entertainment, Rs 7,668, no receipt, gap 5</t>
  </si>
  <si>
    <t>T10-01</t>
  </si>
  <si>
    <t>Stationery, Rs 155, receipt Yes, gap 14</t>
  </si>
  <si>
    <t>T10-02</t>
  </si>
  <si>
    <t>Gap exactly 15 (Stationery)</t>
  </si>
  <si>
    <t>T10-03</t>
  </si>
  <si>
    <t>Gap 16 (Stationery)</t>
  </si>
  <si>
    <t>T10-04</t>
  </si>
  <si>
    <t>Stationery, Rs 870, receipt Yes, gap 20</t>
  </si>
  <si>
    <t>T10-05</t>
  </si>
  <si>
    <t>Gap exactly 60 (Stationery)</t>
  </si>
  <si>
    <t>T10-06</t>
  </si>
  <si>
    <t>Gap 61 (Stationery)</t>
  </si>
  <si>
    <t>T10-07</t>
  </si>
  <si>
    <t>Client Entertainment, Rs 15,200, receipt Yes, gap 70</t>
  </si>
  <si>
    <t>X-01</t>
  </si>
  <si>
    <t>TP-01 + 02</t>
  </si>
  <si>
    <t>Flight, M2, Business, booked 4 d</t>
  </si>
  <si>
    <t>TP-01, TP-02</t>
  </si>
  <si>
    <t>X-02</t>
  </si>
  <si>
    <t>TP-02 + 09</t>
  </si>
  <si>
    <t>Flight, M2, Economy, booked 6 d, no receipt, Rs 20,346</t>
  </si>
  <si>
    <t>TP-02, TP-09</t>
  </si>
  <si>
    <t>X-03</t>
  </si>
  <si>
    <t>TP-06 + 09 + 10</t>
  </si>
  <si>
    <t>Meals/DA Metro, M1, Rs 1,989, no receipt, gap 20</t>
  </si>
  <si>
    <t>TP-06, TP-09, TP-10</t>
  </si>
  <si>
    <t>X-04</t>
  </si>
  <si>
    <t>TP-05 + 09 + 10</t>
  </si>
  <si>
    <t>Hotel Non-metro, M3, Rs 9,330, no receipt, gap 35</t>
  </si>
  <si>
    <t>TP-05, TP-09, TP-10</t>
  </si>
  <si>
    <t>X-05</t>
  </si>
  <si>
    <t>TP-08 + 10</t>
  </si>
  <si>
    <t>Alcohol, M3, Rs 1,442, receipt Yes, gap 70</t>
  </si>
  <si>
    <t>TP-08, TP-10</t>
  </si>
  <si>
    <t>X-06</t>
  </si>
  <si>
    <t>Not checked</t>
  </si>
  <si>
    <t>Train, M1, Rs 2,387, receipt Yes, gap 2 (TP-03 Not checked)</t>
  </si>
  <si>
    <t>S-01</t>
  </si>
  <si>
    <t>Metro Hotel, M3, exactly Rs 10,000 (cap 10,000)</t>
  </si>
  <si>
    <t>S-02</t>
  </si>
  <si>
    <t>Metro Hotel, M3, Rs 10,001 (cap +1)</t>
  </si>
  <si>
    <t>S-03</t>
  </si>
  <si>
    <t>Metro Hotel, M4, Rs 14,001 (cap 14,000 +1)</t>
  </si>
  <si>
    <t>S-04</t>
  </si>
  <si>
    <t>Non-metro Hotel, M5, Rs 9,001 (cap 9,000 +1)</t>
  </si>
  <si>
    <t>S-05</t>
  </si>
  <si>
    <t>Non-metro Meals/DA, Rs 901 (limit 900 +1)</t>
  </si>
  <si>
    <t>Mismatch log</t>
  </si>
  <si>
    <t>Expected vs actual</t>
  </si>
  <si>
    <t>Cause</t>
  </si>
  <si>
    <t>Fix</t>
  </si>
  <si>
    <t>S-01 to S-05</t>
  </si>
  <si>
    <t>S-01 to S-05 (boundary tests for the M3/M4/M5 caps and TP-06 at Rs 901) were added and run: all PASS. See rows above.</t>
  </si>
  <si>
    <t>Final_Results - values-only snapshot of workbook v3</t>
  </si>
  <si>
    <t>Typed values copied from the calculated sheets; no formulas, so this sheet does not change if inputs change. Sources: Summary, Audit, Test_Cases, Verification.</t>
  </si>
  <si>
    <t>OK</t>
  </si>
  <si>
    <t>8. Audit results (30 flagged claims, stratified by rule)</t>
  </si>
  <si>
    <t>Audit interpretations adopted</t>
  </si>
  <si>
    <t>9. Re-run checks</t>
  </si>
  <si>
    <t>Test_Cases: PASS</t>
  </si>
  <si>
    <t>Test_Cases: FAIL</t>
  </si>
  <si>
    <t>Test_Cases: awaiting input (S-01 to S-05 now run)</t>
  </si>
  <si>
    <t>Verification overall result</t>
  </si>
  <si>
    <t>All 16 lines reconcile (difference 0).</t>
  </si>
  <si>
    <t>Partly kept</t>
  </si>
  <si>
    <t>Rejected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</si>
</sst>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
    <numFmt numFmtId="166" formatCode="\x0"/>
    <numFmt numFmtId="167" formatCode="[&gt;=10000000]##\,##\,##\,##0;[&gt;=100000]##\,##\,##0;##,##0"/>
  </numFmts>
  <fonts count="23" x14ac:knownFonts="1">
    <font>
      <sz val="10"/>
      <name val="Arial"/>
      <charset val="1"/>
    </font>
    <font>
      <b/>
      <sz val="14"/>
      <color rgb="FF1F4E5A"/>
      <name val="Arial"/>
      <charset val="1"/>
    </font>
    <font>
      <i/>
      <sz val="10"/>
      <color rgb="FF555555"/>
      <name val="Arial"/>
      <charset val="1"/>
    </font>
    <font>
      <b/>
      <sz val="10"/>
      <name val="Arial"/>
      <charset val="1"/>
    </font>
    <font>
      <b/>
      <sz val="12"/>
      <color rgb="FF1F4E5A"/>
      <name val="Arial"/>
      <charset val="1"/>
    </font>
    <font>
      <b/>
      <sz val="10"/>
      <color rgb="FFFFFFFF"/>
      <name val="Arial"/>
      <charset val="1"/>
    </font>
    <font>
      <sz val="11"/>
      <color theme="1"/>
      <name val="Calibri"/>
      <family val="2"/>
      <charset val="1"/>
    </font>
    <font>
      <i/>
      <sz val="9"/>
      <color rgb="FF555555"/>
      <name val="Arial"/>
      <charset val="1"/>
    </font>
    <font>
      <sz val="10"/>
      <color rgb="FF000000"/>
      <name val="Arial"/>
      <charset val="1"/>
    </font>
    <font>
      <u/>
      <sz val="10"/>
      <color theme="10"/>
      <name val="Arial"/>
      <charset val="1"/>
    </font>
    <font>
      <b/>
      <sz val="13"/>
      <name val="Arial"/>
      <charset val="1"/>
    </font>
    <font>
      <sz val="9"/>
      <name val="Arial"/>
      <charset val="1"/>
    </font>
    <font>
      <b/>
      <sz val="11"/>
      <name val="Arial"/>
      <charset val="1"/>
    </font>
    <font>
      <sz val="10"/>
      <color rgb="FF0000FF"/>
      <name val="Arial"/>
      <charset val="1"/>
    </font>
    <font>
      <i/>
      <sz val="9"/>
      <name val="Arial"/>
      <charset val="1"/>
    </font>
    <font>
      <b/>
      <sz val="10"/>
      <color rgb="FFFFFF00"/>
      <name val="Arial"/>
      <charset val="1"/>
    </font>
    <font>
      <b/>
      <sz val="15"/>
      <color rgb="FFFFFFFF"/>
      <name val="Arial"/>
      <charset val="1"/>
    </font>
    <font>
      <b/>
      <sz val="9"/>
      <name val="Arial"/>
      <charset val="1"/>
    </font>
    <font>
      <b/>
      <sz val="12"/>
      <name val="Arial"/>
      <charset val="1"/>
    </font>
    <font>
      <b/>
      <sz val="8"/>
      <color rgb="FFFFFFFF"/>
      <name val="Arial"/>
      <charset val="1"/>
    </font>
    <font>
      <b/>
      <sz val="9"/>
      <color rgb="FFFFFFFF"/>
      <name val="Arial"/>
      <charset val="1"/>
    </font>
    <font>
      <i/>
      <sz val="8"/>
      <name val="Arial"/>
      <charset val="1"/>
    </font>
    <font>
      <b/>
      <sz val="11"/>
      <color rgb="FFFFFFFF"/>
      <name val="Arial"/>
      <charset val="1"/>
    </font>
  </fonts>
  <fills count="8">
    <fill>
      <patternFill patternType="none"/>
    </fill>
    <fill>
      <patternFill patternType="gray125"/>
    </fill>
    <fill>
      <patternFill patternType="solid">
        <fgColor rgb="FFE8F1F2"/>
        <bgColor rgb="FFF2F2F2"/>
      </patternFill>
    </fill>
    <fill>
      <patternFill patternType="solid">
        <fgColor rgb="FF1F4E5A"/>
        <bgColor rgb="FF1F3864"/>
      </patternFill>
    </fill>
    <fill>
      <patternFill patternType="solid">
        <fgColor rgb="FFFFF2CC"/>
        <bgColor rgb="FFF2F2F2"/>
      </patternFill>
    </fill>
    <fill>
      <patternFill patternType="solid">
        <fgColor rgb="FFDDEBF0"/>
        <bgColor rgb="FFE8F1F2"/>
      </patternFill>
    </fill>
    <fill>
      <patternFill patternType="solid">
        <fgColor rgb="FFF2F2F2"/>
        <bgColor rgb="FFE8F1F2"/>
      </patternFill>
    </fill>
    <fill>
      <patternFill patternType="solid">
        <fgColor rgb="FF1F3864"/>
        <bgColor rgb="FF1F4E5A"/>
      </patternFill>
    </fill>
  </fills>
  <borders count="6">
    <border>
      <left/>
      <right/>
      <top/>
      <bottom/>
      <diagonal/>
    </border>
    <border>
      <left style="thin">
        <color rgb="FFC9D3D6"/>
      </left>
      <right style="thin">
        <color rgb="FFC9D3D6"/>
      </right>
      <top style="thin">
        <color rgb="FFC9D3D6"/>
      </top>
      <bottom style="thin">
        <color rgb="FFC9D3D6"/>
      </bottom>
      <diagonal/>
    </border>
    <border>
      <left style="thin">
        <color rgb="FFBFBFBF"/>
      </left>
      <right style="thin">
        <color rgb="FFBFBFBF"/>
      </right>
      <top style="thin">
        <color rgb="FFBFBFBF"/>
      </top>
      <bottom style="thin">
        <color rgb="FFBFBFBF"/>
      </bottom>
      <diagonal/>
    </border>
    <border>
      <left style="thin">
        <color rgb="FF7F7F7F"/>
      </left>
      <right style="thin">
        <color rgb="FF7F7F7F"/>
      </right>
      <top style="thin">
        <color rgb="FF7F7F7F"/>
      </top>
      <bottom style="thin">
        <color rgb="FF7F7F7F"/>
      </bottom>
      <diagonal/>
    </border>
    <border>
      <left style="thin">
        <color rgb="FF7F7F7F"/>
      </left>
      <right style="thin">
        <color rgb="FF7F7F7F"/>
      </right>
      <top/>
      <bottom/>
      <diagonal/>
    </border>
    <border>
      <left style="thin">
        <color rgb="FF7F7F7F"/>
      </left>
      <right style="thin">
        <color rgb="FF7F7F7F"/>
      </right>
      <top/>
      <bottom style="thin">
        <color rgb="FF7F7F7F"/>
      </bottom>
      <diagonal/>
    </border>
  </borders>
  <cellStyleXfs count="1">
    <xf numFmtId="0" fontId="0" fillId="0" borderId="0"/>
  </cellStyleXfs>
  <cellXfs count="82">
    <xf numFmtId="0" fontId="0" fillId="0" borderId="0" xfId="0"/>
    <xf numFmtId="0" fontId="0" fillId="6" borderId="3" xfId="0" applyFill="1" applyBorder="1" applyAlignment="1">
      <alignment horizontal="left" vertical="top" wrapText="1"/>
    </xf>
    <xf numFmtId="0" fontId="22" fillId="3" borderId="0" xfId="0" applyFont="1" applyFill="1" applyAlignment="1">
      <alignment horizontal="left" vertical="center" wrapText="1"/>
    </xf>
    <xf numFmtId="0" fontId="11" fillId="0" borderId="0" xfId="0" applyFont="1" applyAlignment="1">
      <alignment vertical="top" wrapText="1"/>
    </xf>
    <xf numFmtId="0" fontId="18" fillId="5" borderId="2" xfId="0" applyFont="1" applyFill="1" applyBorder="1" applyAlignment="1">
      <alignment horizontal="center" vertical="center"/>
    </xf>
    <xf numFmtId="0" fontId="20" fillId="3" borderId="2" xfId="0" applyFont="1" applyFill="1" applyBorder="1" applyAlignment="1">
      <alignment horizontal="center" vertical="center" wrapText="1"/>
    </xf>
    <xf numFmtId="0" fontId="21" fillId="0" borderId="0" xfId="0" applyFont="1" applyAlignment="1">
      <alignment horizontal="left" vertical="top" wrapText="1"/>
    </xf>
    <xf numFmtId="0" fontId="12" fillId="0" borderId="0" xfId="0" applyFont="1" applyAlignment="1">
      <alignment horizontal="left" vertical="top" wrapText="1"/>
    </xf>
    <xf numFmtId="0" fontId="10" fillId="5" borderId="3" xfId="0" applyFont="1" applyFill="1" applyBorder="1" applyAlignment="1">
      <alignment horizontal="center" vertical="center"/>
    </xf>
    <xf numFmtId="0" fontId="19" fillId="3" borderId="3" xfId="0" applyFont="1" applyFill="1" applyBorder="1" applyAlignment="1">
      <alignment horizontal="center" vertical="center" wrapText="1"/>
    </xf>
    <xf numFmtId="0" fontId="18" fillId="5" borderId="0" xfId="0" applyFont="1" applyFill="1" applyAlignment="1">
      <alignment horizontal="left" vertical="center" wrapText="1"/>
    </xf>
    <xf numFmtId="0" fontId="14" fillId="0" borderId="0" xfId="0" applyFont="1" applyAlignment="1">
      <alignment horizontal="left" vertical="top" wrapText="1"/>
    </xf>
    <xf numFmtId="0" fontId="16" fillId="3" borderId="0" xfId="0" applyFont="1" applyFill="1" applyAlignment="1">
      <alignment horizontal="left" vertical="center" wrapText="1"/>
    </xf>
    <xf numFmtId="0" fontId="1" fillId="0" borderId="0" xfId="0" applyFont="1"/>
    <xf numFmtId="0" fontId="2" fillId="0" borderId="0" xfId="0" applyFont="1"/>
    <xf numFmtId="0" fontId="3" fillId="2" borderId="1" xfId="0" applyFont="1" applyFill="1" applyBorder="1" applyAlignment="1">
      <alignment vertical="top" wrapText="1"/>
    </xf>
    <xf numFmtId="0" fontId="0" fillId="0" borderId="1" xfId="0" applyBorder="1" applyAlignment="1">
      <alignment vertical="top" wrapText="1"/>
    </xf>
    <xf numFmtId="0" fontId="4" fillId="0" borderId="0" xfId="0" applyFont="1"/>
    <xf numFmtId="0" fontId="5" fillId="3" borderId="1" xfId="0" applyFont="1" applyFill="1" applyBorder="1" applyAlignment="1">
      <alignment vertical="center" wrapText="1"/>
    </xf>
    <xf numFmtId="0" fontId="6" fillId="0" borderId="1" xfId="0" applyFont="1" applyBorder="1" applyAlignment="1">
      <alignment vertical="top" wrapText="1"/>
    </xf>
    <xf numFmtId="0" fontId="3" fillId="0" borderId="0" xfId="0" applyFont="1"/>
    <xf numFmtId="3" fontId="6" fillId="0" borderId="0" xfId="0" applyNumberFormat="1" applyFont="1"/>
    <xf numFmtId="164" fontId="6" fillId="0" borderId="0" xfId="0" applyNumberFormat="1" applyFont="1"/>
    <xf numFmtId="0" fontId="6" fillId="0" borderId="0" xfId="0" applyFont="1" applyAlignment="1">
      <alignment vertical="top" wrapText="1"/>
    </xf>
    <xf numFmtId="0" fontId="7" fillId="0" borderId="0" xfId="0" applyFont="1"/>
    <xf numFmtId="0" fontId="8" fillId="0" borderId="1" xfId="0" applyFont="1" applyBorder="1" applyAlignment="1">
      <alignment horizontal="center" vertical="top" wrapText="1"/>
    </xf>
    <xf numFmtId="164" fontId="8" fillId="4" borderId="1" xfId="0" applyNumberFormat="1" applyFont="1" applyFill="1" applyBorder="1" applyAlignment="1">
      <alignment horizontal="left" vertical="top" wrapText="1"/>
    </xf>
    <xf numFmtId="0" fontId="8" fillId="4" borderId="1" xfId="0" applyFont="1" applyFill="1" applyBorder="1" applyAlignment="1">
      <alignment horizontal="left" vertical="top" wrapText="1"/>
    </xf>
    <xf numFmtId="0" fontId="9" fillId="4" borderId="1" xfId="0" applyFont="1" applyFill="1" applyBorder="1" applyAlignment="1">
      <alignment horizontal="left" vertical="top" wrapText="1"/>
    </xf>
    <xf numFmtId="0" fontId="10" fillId="0" borderId="0" xfId="0" applyFont="1"/>
    <xf numFmtId="0" fontId="11" fillId="0" borderId="0" xfId="0" applyFont="1"/>
    <xf numFmtId="0" fontId="12" fillId="0" borderId="0" xfId="0" applyFont="1"/>
    <xf numFmtId="0" fontId="5" fillId="3" borderId="2" xfId="0" applyFont="1" applyFill="1" applyBorder="1" applyAlignment="1">
      <alignment horizontal="center" vertical="center" wrapText="1"/>
    </xf>
    <xf numFmtId="0" fontId="13" fillId="0" borderId="2" xfId="0" applyFont="1" applyBorder="1" applyAlignment="1">
      <alignment vertical="top"/>
    </xf>
    <xf numFmtId="3" fontId="13" fillId="0" borderId="2" xfId="0" applyNumberFormat="1" applyFont="1" applyBorder="1" applyAlignment="1">
      <alignment vertical="top"/>
    </xf>
    <xf numFmtId="0" fontId="0" fillId="0" borderId="2" xfId="0" applyBorder="1" applyAlignment="1">
      <alignment vertical="top"/>
    </xf>
    <xf numFmtId="0" fontId="0" fillId="0" borderId="2" xfId="0" applyBorder="1"/>
    <xf numFmtId="0" fontId="13" fillId="0" borderId="2" xfId="0" applyFont="1" applyBorder="1"/>
    <xf numFmtId="0" fontId="14" fillId="0" borderId="0" xfId="0" applyFont="1" applyAlignment="1">
      <alignment horizontal="right"/>
    </xf>
    <xf numFmtId="0" fontId="14" fillId="0" borderId="0" xfId="0" applyFont="1" applyAlignment="1">
      <alignment horizontal="center" wrapText="1"/>
    </xf>
    <xf numFmtId="3" fontId="0" fillId="0" borderId="2" xfId="0" applyNumberFormat="1" applyBorder="1"/>
    <xf numFmtId="1" fontId="0" fillId="0" borderId="2" xfId="0" applyNumberFormat="1" applyBorder="1"/>
    <xf numFmtId="0" fontId="0" fillId="0" borderId="2" xfId="0" applyBorder="1" applyAlignment="1">
      <alignment horizontal="center"/>
    </xf>
    <xf numFmtId="0" fontId="5" fillId="3" borderId="2" xfId="0" applyFont="1" applyFill="1" applyBorder="1" applyAlignment="1">
      <alignment horizontal="left" vertical="center"/>
    </xf>
    <xf numFmtId="165" fontId="0" fillId="0" borderId="2" xfId="0" applyNumberFormat="1" applyBorder="1" applyAlignment="1">
      <alignment horizontal="center"/>
    </xf>
    <xf numFmtId="0" fontId="3" fillId="0" borderId="2" xfId="0" applyFont="1" applyBorder="1"/>
    <xf numFmtId="0" fontId="3" fillId="0" borderId="2" xfId="0" applyFont="1" applyBorder="1" applyAlignment="1">
      <alignment horizontal="center"/>
    </xf>
    <xf numFmtId="165" fontId="3" fillId="0" borderId="2" xfId="0" applyNumberFormat="1" applyFont="1" applyBorder="1" applyAlignment="1">
      <alignment horizontal="center"/>
    </xf>
    <xf numFmtId="166" fontId="15" fillId="3" borderId="2" xfId="0" applyNumberFormat="1" applyFont="1" applyFill="1" applyBorder="1" applyAlignment="1">
      <alignment horizontal="center"/>
    </xf>
    <xf numFmtId="3" fontId="0" fillId="0" borderId="2" xfId="0" applyNumberFormat="1" applyBorder="1" applyAlignment="1">
      <alignment horizontal="center" vertical="top"/>
    </xf>
    <xf numFmtId="3" fontId="0" fillId="0" borderId="2" xfId="0" applyNumberFormat="1" applyBorder="1" applyAlignment="1">
      <alignment vertical="top"/>
    </xf>
    <xf numFmtId="165" fontId="0" fillId="0" borderId="2" xfId="0" applyNumberFormat="1" applyBorder="1" applyAlignment="1">
      <alignment horizontal="center" vertical="top"/>
    </xf>
    <xf numFmtId="0" fontId="3" fillId="0" borderId="2" xfId="0" applyFont="1" applyBorder="1" applyAlignment="1">
      <alignment vertical="top" wrapText="1"/>
    </xf>
    <xf numFmtId="3" fontId="3" fillId="0" borderId="2" xfId="0" applyNumberFormat="1" applyFont="1" applyBorder="1" applyAlignment="1">
      <alignment horizontal="center" vertical="top"/>
    </xf>
    <xf numFmtId="3" fontId="3" fillId="0" borderId="2" xfId="0" applyNumberFormat="1" applyFont="1" applyBorder="1" applyAlignment="1">
      <alignment vertical="top"/>
    </xf>
    <xf numFmtId="0" fontId="3" fillId="0" borderId="2" xfId="0" applyFont="1" applyBorder="1" applyAlignment="1">
      <alignment vertical="top"/>
    </xf>
    <xf numFmtId="165" fontId="3" fillId="0" borderId="2" xfId="0" applyNumberFormat="1" applyFont="1" applyBorder="1" applyAlignment="1">
      <alignment horizontal="center" vertical="top"/>
    </xf>
    <xf numFmtId="0" fontId="0" fillId="0" borderId="2" xfId="0" applyBorder="1" applyAlignment="1">
      <alignment horizontal="center" vertical="top"/>
    </xf>
    <xf numFmtId="0" fontId="0" fillId="0" borderId="0" xfId="0" applyAlignment="1">
      <alignment vertical="top"/>
    </xf>
    <xf numFmtId="0" fontId="17" fillId="0" borderId="0" xfId="0" applyFont="1"/>
    <xf numFmtId="0" fontId="19" fillId="3" borderId="3" xfId="0" applyFont="1" applyFill="1" applyBorder="1" applyAlignment="1">
      <alignment horizontal="center" vertical="center" wrapText="1"/>
    </xf>
    <xf numFmtId="0" fontId="10" fillId="5" borderId="3" xfId="0" applyFont="1" applyFill="1" applyBorder="1" applyAlignment="1">
      <alignment horizontal="center" vertical="center"/>
    </xf>
    <xf numFmtId="165" fontId="10" fillId="5" borderId="3" xfId="0" applyNumberFormat="1" applyFont="1" applyFill="1" applyBorder="1" applyAlignment="1">
      <alignment horizontal="center" vertical="center"/>
    </xf>
    <xf numFmtId="0" fontId="20" fillId="3" borderId="2" xfId="0" applyFont="1" applyFill="1" applyBorder="1" applyAlignment="1">
      <alignment horizontal="center" vertical="center" wrapText="1"/>
    </xf>
    <xf numFmtId="0" fontId="11" fillId="0" borderId="2" xfId="0" applyFont="1" applyBorder="1" applyAlignment="1">
      <alignment horizontal="center"/>
    </xf>
    <xf numFmtId="0" fontId="11" fillId="0" borderId="2" xfId="0" applyFont="1" applyBorder="1"/>
    <xf numFmtId="3" fontId="11" fillId="0" borderId="2" xfId="0" applyNumberFormat="1" applyFont="1" applyBorder="1" applyAlignment="1">
      <alignment horizontal="center"/>
    </xf>
    <xf numFmtId="167" fontId="11" fillId="0" borderId="2" xfId="0" applyNumberFormat="1" applyFont="1" applyBorder="1"/>
    <xf numFmtId="3" fontId="11" fillId="0" borderId="0" xfId="0" applyNumberFormat="1" applyFont="1"/>
    <xf numFmtId="0" fontId="18" fillId="5" borderId="2" xfId="0" applyFont="1" applyFill="1" applyBorder="1" applyAlignment="1">
      <alignment horizontal="center" vertical="center"/>
    </xf>
    <xf numFmtId="165" fontId="18" fillId="5" borderId="2" xfId="0" applyNumberFormat="1" applyFont="1" applyFill="1" applyBorder="1" applyAlignment="1">
      <alignment horizontal="center" vertical="center"/>
    </xf>
    <xf numFmtId="164" fontId="0" fillId="0" borderId="2" xfId="0" applyNumberFormat="1" applyBorder="1" applyAlignment="1">
      <alignment vertical="top"/>
    </xf>
    <xf numFmtId="0" fontId="0" fillId="0" borderId="2" xfId="0" applyBorder="1" applyAlignment="1">
      <alignment vertical="top" wrapText="1"/>
    </xf>
    <xf numFmtId="0" fontId="0" fillId="4" borderId="2" xfId="0" applyFill="1" applyBorder="1" applyAlignment="1">
      <alignment vertical="top" wrapText="1"/>
    </xf>
    <xf numFmtId="0" fontId="5" fillId="7" borderId="2" xfId="0" applyFont="1" applyFill="1" applyBorder="1" applyAlignment="1">
      <alignment vertical="top"/>
    </xf>
    <xf numFmtId="165" fontId="0" fillId="0" borderId="2" xfId="0" applyNumberFormat="1" applyBorder="1" applyAlignment="1">
      <alignment vertical="top"/>
    </xf>
    <xf numFmtId="0" fontId="13" fillId="0" borderId="0" xfId="0" applyFont="1"/>
    <xf numFmtId="0" fontId="14" fillId="0" borderId="0" xfId="0" applyFont="1"/>
    <xf numFmtId="3" fontId="13" fillId="0" borderId="2" xfId="0" applyNumberFormat="1" applyFont="1" applyBorder="1"/>
    <xf numFmtId="0" fontId="11" fillId="6" borderId="4" xfId="0" applyFont="1" applyFill="1" applyBorder="1" applyAlignment="1">
      <alignment vertical="top" wrapText="1"/>
    </xf>
    <xf numFmtId="0" fontId="11" fillId="6" borderId="5" xfId="0" applyFont="1" applyFill="1" applyBorder="1" applyAlignment="1">
      <alignment vertical="top" wrapText="1"/>
    </xf>
    <xf numFmtId="0" fontId="0" fillId="0" borderId="2" xfId="0" applyBorder="1" applyAlignment="1">
      <alignment vertical="top" wrapText="1"/>
    </xf>
  </cellXfs>
  <cellStyles count="1">
    <cellStyle name="Normal" xfId="0" builtinId="0"/>
  </cellStyles>
  <dxfs count="5">
    <dxf>
      <fill>
        <patternFill>
          <bgColor rgb="FFFFEB9C"/>
        </patternFill>
      </fill>
    </dxf>
    <dxf>
      <fill>
        <patternFill>
          <bgColor rgb="FFF8CBAD"/>
        </patternFill>
      </fill>
    </dxf>
    <dxf>
      <fill>
        <patternFill>
          <bgColor rgb="FFC6EFCE"/>
        </patternFill>
      </fill>
    </dxf>
    <dxf>
      <fill>
        <patternFill>
          <bgColor rgb="FFF8CBAD"/>
        </patternFill>
      </fill>
    </dxf>
    <dxf>
      <fill>
        <patternFill>
          <bgColor rgb="FFF8CBAD"/>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993366"/>
      <rgbColor rgb="FFFFF2CC"/>
      <rgbColor rgb="FFDDEBF0"/>
      <rgbColor rgb="FF660066"/>
      <rgbColor rgb="FFFF8080"/>
      <rgbColor rgb="FF0066CC"/>
      <rgbColor rgb="FFC9D3D6"/>
      <rgbColor rgb="FF000080"/>
      <rgbColor rgb="FFFF00FF"/>
      <rgbColor rgb="FFFFFF00"/>
      <rgbColor rgb="FF00FFFF"/>
      <rgbColor rgb="FF800080"/>
      <rgbColor rgb="FF800000"/>
      <rgbColor rgb="FF008080"/>
      <rgbColor rgb="FF0000FF"/>
      <rgbColor rgb="FF00CCFF"/>
      <rgbColor rgb="FFE8F1F2"/>
      <rgbColor rgb="FFC6EFCE"/>
      <rgbColor rgb="FFFFEB9C"/>
      <rgbColor rgb="FFF2F2F2"/>
      <rgbColor rgb="FFFF99CC"/>
      <rgbColor rgb="FFCC99FF"/>
      <rgbColor rgb="FFF8CBAD"/>
      <rgbColor rgb="FF3366FF"/>
      <rgbColor rgb="FF33CCCC"/>
      <rgbColor rgb="FF99CC00"/>
      <rgbColor rgb="FFFFCC00"/>
      <rgbColor rgb="FFFF9900"/>
      <rgbColor rgb="FFFF6600"/>
      <rgbColor rgb="FF555555"/>
      <rgbColor rgb="FF969696"/>
      <rgbColor rgb="FF1F3864"/>
      <rgbColor rgb="FF339966"/>
      <rgbColor rgb="FF003300"/>
      <rgbColor rgb="FF333300"/>
      <rgbColor rgb="FF993300"/>
      <rgbColor rgb="FF993366"/>
      <rgbColor rgb="FF333399"/>
      <rgbColor rgb="FF1F4E5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5.xml.rels><?xml version="1.0" encoding="UTF-8" standalone="yes"?>
<Relationships xmlns="http://schemas.openxmlformats.org/package/2006/relationships"><Relationship Id="rId8" Type="http://schemas.openxmlformats.org/officeDocument/2006/relationships/hyperlink" Target="https://drive.google.com/file/d/1OUXjArduNqnCLaQnWy6w0sk8O4o-L5CJ/view?usp=drivesdk" TargetMode="External"/><Relationship Id="rId13" Type="http://schemas.openxmlformats.org/officeDocument/2006/relationships/hyperlink" Target="https://drive.google.com/file/d/1JjGMe34siiqC0LId3D44iJ-Q87YO9uKG/view?usp=drivesdk" TargetMode="External"/><Relationship Id="rId3" Type="http://schemas.openxmlformats.org/officeDocument/2006/relationships/hyperlink" Target="https://drive.google.com/file/d/1eQCyXQ4rKojceAHu2xyuftqs_JpeVHGb/view?usp=drivesdk" TargetMode="External"/><Relationship Id="rId7" Type="http://schemas.openxmlformats.org/officeDocument/2006/relationships/hyperlink" Target="https://drive.google.com/file/d/1SW3_wxUlOD6l_P4Kz9_lZYJBWTAkCtev/view?usp=drivesdk" TargetMode="External"/><Relationship Id="rId12" Type="http://schemas.openxmlformats.org/officeDocument/2006/relationships/hyperlink" Target="https://drive.google.com/file/d/1L5OXZvgLt7bnQtMin5XgCDkzO9AxEr0v/view?usp=drivesdk" TargetMode="External"/><Relationship Id="rId2" Type="http://schemas.openxmlformats.org/officeDocument/2006/relationships/hyperlink" Target="https://drive.google.com/file/d/1Wt6bq82FxgyAaUMRNJxh82bwbGaMyN32/view?usp=drivesdk" TargetMode="External"/><Relationship Id="rId16" Type="http://schemas.openxmlformats.org/officeDocument/2006/relationships/hyperlink" Target="https://drive.google.com/file/d/1diUZWsNs0F1U9prnreS8vS5gnqDeM5xa/view?usp=drivesdk" TargetMode="External"/><Relationship Id="rId1" Type="http://schemas.openxmlformats.org/officeDocument/2006/relationships/hyperlink" Target="https://drive.google.com/file/d/1W71MqVg8apF8terBuliPgteR6RNnApUs/view?usp=drivesdk" TargetMode="External"/><Relationship Id="rId6" Type="http://schemas.openxmlformats.org/officeDocument/2006/relationships/hyperlink" Target="https://drive.google.com/file/d/1VFzKxVW_Cw3RAVcquB7ViRUV--emwAzz/view?usp=drivesdk" TargetMode="External"/><Relationship Id="rId11" Type="http://schemas.openxmlformats.org/officeDocument/2006/relationships/hyperlink" Target="https://drive.google.com/file/d/1xM6hmqKIAcgNDJO-w0VRN9awEVIsaTeL/view?usp=drivesdk" TargetMode="External"/><Relationship Id="rId5" Type="http://schemas.openxmlformats.org/officeDocument/2006/relationships/hyperlink" Target="https://drive.google.com/file/d/1XnC5o3JAkzC9mgHl7nLOzaqcMxW__UWO/view?usp=drivesdk" TargetMode="External"/><Relationship Id="rId15" Type="http://schemas.openxmlformats.org/officeDocument/2006/relationships/hyperlink" Target="https://drive.google.com/file/d/1yiw7z7HeSFGCrjOKH-VhMmDsF4PO1AWI/view?usp=drivesdk" TargetMode="External"/><Relationship Id="rId10" Type="http://schemas.openxmlformats.org/officeDocument/2006/relationships/hyperlink" Target="https://drive.google.com/file/d/192Iy22-_DIG-knr-d5QT4vAdQc_O_i00/view?usp=drivesdk" TargetMode="External"/><Relationship Id="rId4" Type="http://schemas.openxmlformats.org/officeDocument/2006/relationships/hyperlink" Target="https://drive.google.com/file/d/1CD79v4L7Zv7fzJBP8N0emEmw0vS5aHGG/view?usp=drivesdk" TargetMode="External"/><Relationship Id="rId9" Type="http://schemas.openxmlformats.org/officeDocument/2006/relationships/hyperlink" Target="https://drive.google.com/file/d/1kRXyZStfuVYfpxWSVSGO5iIN-pVaT0ak/view?usp=drivesdk" TargetMode="External"/><Relationship Id="rId14" Type="http://schemas.openxmlformats.org/officeDocument/2006/relationships/hyperlink" Target="https://drive.google.com/file/d/1PdugvOHkAYp0bbLU9IEiz71mhEwfztUq/view?usp=drivesd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3"/>
  <sheetViews>
    <sheetView zoomScale="48" zoomScaleNormal="48" workbookViewId="0"/>
  </sheetViews>
  <sheetFormatPr defaultColWidth="8.6328125" defaultRowHeight="12.5" x14ac:dyDescent="0.25"/>
  <cols>
    <col min="1" max="1" width="26" customWidth="1"/>
    <col min="2" max="2" width="95" customWidth="1"/>
    <col min="3" max="3" width="10" customWidth="1"/>
    <col min="4" max="4" width="22" customWidth="1"/>
    <col min="5" max="6" width="20" customWidth="1"/>
    <col min="7" max="7" width="16" customWidth="1"/>
  </cols>
  <sheetData>
    <row r="1" spans="1:2" ht="17.25" customHeight="1" x14ac:dyDescent="0.4">
      <c r="A1" s="13" t="s">
        <v>0</v>
      </c>
    </row>
    <row r="2" spans="1:2" ht="15" customHeight="1" x14ac:dyDescent="0.3">
      <c r="A2" s="14" t="s">
        <v>1</v>
      </c>
    </row>
    <row r="4" spans="1:2" ht="18" customHeight="1" x14ac:dyDescent="0.25">
      <c r="A4" s="15" t="s">
        <v>2</v>
      </c>
      <c r="B4" s="16" t="s">
        <v>3</v>
      </c>
    </row>
    <row r="5" spans="1:2" ht="18" customHeight="1" x14ac:dyDescent="0.25">
      <c r="A5" s="15" t="s">
        <v>4</v>
      </c>
      <c r="B5" s="16" t="s">
        <v>5</v>
      </c>
    </row>
    <row r="6" spans="1:2" ht="18" customHeight="1" x14ac:dyDescent="0.25">
      <c r="A6" s="15" t="s">
        <v>6</v>
      </c>
      <c r="B6" s="16" t="s">
        <v>7</v>
      </c>
    </row>
    <row r="7" spans="1:2" ht="27.75" customHeight="1" x14ac:dyDescent="0.25">
      <c r="A7" s="15" t="s">
        <v>8</v>
      </c>
      <c r="B7" s="16" t="s">
        <v>9</v>
      </c>
    </row>
    <row r="8" spans="1:2" ht="55.5" customHeight="1" x14ac:dyDescent="0.25">
      <c r="A8" s="15" t="s">
        <v>10</v>
      </c>
      <c r="B8" s="16" t="s">
        <v>11</v>
      </c>
    </row>
    <row r="9" spans="1:2" ht="18" customHeight="1" x14ac:dyDescent="0.25">
      <c r="A9" s="15" t="s">
        <v>12</v>
      </c>
      <c r="B9" s="16" t="s">
        <v>13</v>
      </c>
    </row>
    <row r="10" spans="1:2" ht="42" customHeight="1" x14ac:dyDescent="0.25">
      <c r="A10" s="15" t="s">
        <v>14</v>
      </c>
      <c r="B10" s="16" t="s">
        <v>15</v>
      </c>
    </row>
    <row r="11" spans="1:2" ht="42" customHeight="1" x14ac:dyDescent="0.25">
      <c r="A11" s="15" t="s">
        <v>16</v>
      </c>
      <c r="B11" s="16" t="s">
        <v>17</v>
      </c>
    </row>
    <row r="12" spans="1:2" ht="18" customHeight="1" x14ac:dyDescent="0.25">
      <c r="A12" s="15" t="s">
        <v>18</v>
      </c>
      <c r="B12" s="16" t="s">
        <v>19</v>
      </c>
    </row>
    <row r="13" spans="1:2" ht="27.75" customHeight="1" x14ac:dyDescent="0.25">
      <c r="A13" s="15" t="s">
        <v>20</v>
      </c>
      <c r="B13" s="16" t="s">
        <v>21</v>
      </c>
    </row>
    <row r="14" spans="1:2" ht="42" customHeight="1" x14ac:dyDescent="0.25">
      <c r="A14" s="15" t="s">
        <v>22</v>
      </c>
      <c r="B14" s="16" t="s">
        <v>23</v>
      </c>
    </row>
    <row r="16" spans="1:2" ht="15" customHeight="1" x14ac:dyDescent="0.35">
      <c r="A16" s="17" t="s">
        <v>24</v>
      </c>
    </row>
    <row r="17" spans="1:7" ht="15" customHeight="1" x14ac:dyDescent="0.25">
      <c r="A17" s="18" t="s">
        <v>25</v>
      </c>
      <c r="B17" s="18" t="s">
        <v>26</v>
      </c>
      <c r="C17" s="18" t="s">
        <v>27</v>
      </c>
      <c r="D17" s="18" t="s">
        <v>28</v>
      </c>
      <c r="E17" s="18" t="s">
        <v>29</v>
      </c>
      <c r="F17" s="18" t="s">
        <v>30</v>
      </c>
      <c r="G17" s="18" t="s">
        <v>31</v>
      </c>
    </row>
    <row r="18" spans="1:7" ht="42" customHeight="1" x14ac:dyDescent="0.25">
      <c r="A18" s="19" t="s">
        <v>32</v>
      </c>
      <c r="B18" s="19" t="s">
        <v>33</v>
      </c>
      <c r="C18" s="19">
        <v>8</v>
      </c>
      <c r="D18" s="19" t="s">
        <v>34</v>
      </c>
      <c r="E18" s="19" t="s">
        <v>35</v>
      </c>
      <c r="F18" s="19" t="s">
        <v>36</v>
      </c>
      <c r="G18" s="19" t="s">
        <v>37</v>
      </c>
    </row>
    <row r="19" spans="1:7" ht="42" customHeight="1" x14ac:dyDescent="0.25">
      <c r="A19" s="19" t="s">
        <v>38</v>
      </c>
      <c r="B19" s="19" t="s">
        <v>39</v>
      </c>
      <c r="C19" s="19">
        <v>7</v>
      </c>
      <c r="D19" s="19" t="s">
        <v>40</v>
      </c>
      <c r="E19" s="19" t="s">
        <v>41</v>
      </c>
      <c r="F19" s="19" t="s">
        <v>42</v>
      </c>
      <c r="G19" s="19" t="s">
        <v>43</v>
      </c>
    </row>
    <row r="20" spans="1:7" ht="42" customHeight="1" x14ac:dyDescent="0.25">
      <c r="A20" s="19" t="s">
        <v>44</v>
      </c>
      <c r="B20" s="19" t="s">
        <v>45</v>
      </c>
      <c r="C20" s="19">
        <v>5</v>
      </c>
      <c r="D20" s="19" t="s">
        <v>46</v>
      </c>
      <c r="E20" s="19" t="s">
        <v>47</v>
      </c>
      <c r="F20" s="19" t="s">
        <v>48</v>
      </c>
      <c r="G20" s="19" t="s">
        <v>49</v>
      </c>
    </row>
    <row r="21" spans="1:7" ht="42" customHeight="1" x14ac:dyDescent="0.25">
      <c r="A21" s="19" t="s">
        <v>50</v>
      </c>
      <c r="B21" s="19" t="s">
        <v>51</v>
      </c>
      <c r="C21" s="19">
        <v>6</v>
      </c>
      <c r="D21" s="19" t="s">
        <v>52</v>
      </c>
      <c r="E21" s="19" t="s">
        <v>53</v>
      </c>
      <c r="F21" s="19" t="s">
        <v>54</v>
      </c>
      <c r="G21" s="19" t="s">
        <v>55</v>
      </c>
    </row>
    <row r="22" spans="1:7" ht="42" customHeight="1" x14ac:dyDescent="0.25">
      <c r="A22" s="19" t="s">
        <v>56</v>
      </c>
      <c r="B22" s="19" t="s">
        <v>57</v>
      </c>
      <c r="C22" s="19">
        <v>4</v>
      </c>
      <c r="D22" s="19" t="s">
        <v>58</v>
      </c>
      <c r="E22" s="19" t="s">
        <v>59</v>
      </c>
      <c r="F22" s="19" t="s">
        <v>60</v>
      </c>
      <c r="G22" s="19" t="s">
        <v>55</v>
      </c>
    </row>
    <row r="23" spans="1:7" ht="15" customHeight="1" x14ac:dyDescent="0.3">
      <c r="A23" s="20" t="s">
        <v>61</v>
      </c>
      <c r="C23" s="20">
        <f>SUM(C18:C22)</f>
        <v>30</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401"/>
  <sheetViews>
    <sheetView zoomScale="60" zoomScaleNormal="60" workbookViewId="0">
      <pane ySplit="1" topLeftCell="A363" activePane="bottomLeft" state="frozen"/>
      <selection pane="bottomLeft"/>
    </sheetView>
  </sheetViews>
  <sheetFormatPr defaultColWidth="8.6328125" defaultRowHeight="12.5" x14ac:dyDescent="0.25"/>
  <cols>
    <col min="1" max="1" width="10" customWidth="1"/>
    <col min="2" max="2" width="13" customWidth="1"/>
    <col min="3" max="3" width="15" customWidth="1"/>
    <col min="4" max="4" width="10" customWidth="1"/>
    <col min="5" max="5" width="14" customWidth="1"/>
    <col min="6" max="6" width="10" customWidth="1"/>
    <col min="7" max="8" width="12" customWidth="1"/>
    <col min="9" max="9" width="15" customWidth="1"/>
    <col min="10" max="10" width="22" customWidth="1"/>
    <col min="11" max="11" width="18" customWidth="1"/>
    <col min="12" max="12" width="14" customWidth="1"/>
    <col min="13" max="13" width="27" customWidth="1"/>
    <col min="14" max="14" width="14" customWidth="1"/>
  </cols>
  <sheetData>
    <row r="1" spans="1:14" ht="23.25" customHeight="1" x14ac:dyDescent="0.25">
      <c r="A1" s="18" t="s">
        <v>62</v>
      </c>
      <c r="B1" s="18" t="s">
        <v>63</v>
      </c>
      <c r="C1" s="18" t="s">
        <v>64</v>
      </c>
      <c r="D1" s="18" t="s">
        <v>65</v>
      </c>
      <c r="E1" s="18" t="s">
        <v>66</v>
      </c>
      <c r="F1" s="18" t="s">
        <v>67</v>
      </c>
      <c r="G1" s="18" t="s">
        <v>68</v>
      </c>
      <c r="H1" s="18" t="s">
        <v>69</v>
      </c>
      <c r="I1" s="18" t="s">
        <v>70</v>
      </c>
      <c r="J1" s="18" t="s">
        <v>71</v>
      </c>
      <c r="K1" s="18" t="s">
        <v>72</v>
      </c>
      <c r="L1" s="18" t="s">
        <v>73</v>
      </c>
      <c r="M1" s="18" t="s">
        <v>74</v>
      </c>
      <c r="N1" s="18" t="s">
        <v>75</v>
      </c>
    </row>
    <row r="2" spans="1:14" ht="15" customHeight="1" x14ac:dyDescent="0.35">
      <c r="A2" t="s">
        <v>76</v>
      </c>
      <c r="B2" t="s">
        <v>77</v>
      </c>
      <c r="C2" t="s">
        <v>78</v>
      </c>
      <c r="D2" t="s">
        <v>79</v>
      </c>
      <c r="E2" t="s">
        <v>80</v>
      </c>
      <c r="F2" t="s">
        <v>81</v>
      </c>
      <c r="G2" t="s">
        <v>82</v>
      </c>
      <c r="H2" s="21">
        <v>1358</v>
      </c>
      <c r="I2" s="22">
        <v>45804</v>
      </c>
      <c r="J2" s="22">
        <v>45806</v>
      </c>
      <c r="K2" t="s">
        <v>83</v>
      </c>
      <c r="L2" t="s">
        <v>84</v>
      </c>
    </row>
    <row r="3" spans="1:14" ht="15" customHeight="1" x14ac:dyDescent="0.35">
      <c r="A3" t="s">
        <v>85</v>
      </c>
      <c r="B3" t="s">
        <v>86</v>
      </c>
      <c r="C3" t="s">
        <v>87</v>
      </c>
      <c r="D3" t="s">
        <v>88</v>
      </c>
      <c r="E3" t="s">
        <v>89</v>
      </c>
      <c r="F3" t="s">
        <v>81</v>
      </c>
      <c r="G3" t="s">
        <v>82</v>
      </c>
      <c r="H3" s="21">
        <v>8815</v>
      </c>
      <c r="I3" s="22">
        <v>45951</v>
      </c>
      <c r="J3" s="22">
        <v>45956</v>
      </c>
      <c r="K3" t="s">
        <v>90</v>
      </c>
      <c r="L3" t="s">
        <v>84</v>
      </c>
    </row>
    <row r="4" spans="1:14" ht="15" customHeight="1" x14ac:dyDescent="0.35">
      <c r="A4" t="s">
        <v>91</v>
      </c>
      <c r="B4" t="s">
        <v>92</v>
      </c>
      <c r="C4" t="s">
        <v>93</v>
      </c>
      <c r="D4" t="s">
        <v>94</v>
      </c>
      <c r="E4" t="s">
        <v>95</v>
      </c>
      <c r="F4" t="s">
        <v>96</v>
      </c>
      <c r="G4" t="s">
        <v>97</v>
      </c>
      <c r="H4" s="21">
        <v>1354</v>
      </c>
      <c r="I4" s="22">
        <v>45945</v>
      </c>
      <c r="J4" s="22">
        <v>46015</v>
      </c>
      <c r="K4" t="s">
        <v>83</v>
      </c>
      <c r="L4" t="s">
        <v>98</v>
      </c>
    </row>
    <row r="5" spans="1:14" ht="15" customHeight="1" x14ac:dyDescent="0.35">
      <c r="A5" t="s">
        <v>99</v>
      </c>
      <c r="B5" t="s">
        <v>86</v>
      </c>
      <c r="C5" t="s">
        <v>87</v>
      </c>
      <c r="D5" t="s">
        <v>88</v>
      </c>
      <c r="E5" t="s">
        <v>89</v>
      </c>
      <c r="F5" t="s">
        <v>100</v>
      </c>
      <c r="G5" t="s">
        <v>97</v>
      </c>
      <c r="H5" s="21">
        <v>8155</v>
      </c>
      <c r="I5" s="22">
        <v>46041</v>
      </c>
      <c r="J5" s="22">
        <v>46050</v>
      </c>
      <c r="K5" t="s">
        <v>90</v>
      </c>
      <c r="L5" t="s">
        <v>101</v>
      </c>
    </row>
    <row r="6" spans="1:14" ht="15" customHeight="1" x14ac:dyDescent="0.35">
      <c r="A6" t="s">
        <v>102</v>
      </c>
      <c r="B6" t="s">
        <v>103</v>
      </c>
      <c r="C6" t="s">
        <v>104</v>
      </c>
      <c r="D6" t="s">
        <v>105</v>
      </c>
      <c r="E6" t="s">
        <v>106</v>
      </c>
      <c r="F6" t="s">
        <v>96</v>
      </c>
      <c r="G6" t="s">
        <v>97</v>
      </c>
      <c r="H6" s="21">
        <v>2069</v>
      </c>
      <c r="I6" s="22">
        <v>45867</v>
      </c>
      <c r="J6" s="22">
        <v>45881</v>
      </c>
      <c r="K6" t="s">
        <v>90</v>
      </c>
      <c r="L6" t="s">
        <v>107</v>
      </c>
    </row>
    <row r="7" spans="1:14" ht="15" customHeight="1" x14ac:dyDescent="0.35">
      <c r="A7" t="s">
        <v>108</v>
      </c>
      <c r="B7" t="s">
        <v>109</v>
      </c>
      <c r="C7" t="s">
        <v>110</v>
      </c>
      <c r="D7" t="s">
        <v>79</v>
      </c>
      <c r="E7" t="s">
        <v>111</v>
      </c>
      <c r="F7" t="s">
        <v>112</v>
      </c>
      <c r="G7" t="s">
        <v>82</v>
      </c>
      <c r="H7" s="21">
        <v>6289</v>
      </c>
      <c r="I7" s="22">
        <v>45836</v>
      </c>
      <c r="J7" s="22">
        <v>45845</v>
      </c>
      <c r="K7" t="s">
        <v>90</v>
      </c>
      <c r="L7" t="s">
        <v>113</v>
      </c>
      <c r="M7">
        <v>3</v>
      </c>
      <c r="N7" t="s">
        <v>114</v>
      </c>
    </row>
    <row r="8" spans="1:14" ht="15" customHeight="1" x14ac:dyDescent="0.35">
      <c r="A8" t="s">
        <v>115</v>
      </c>
      <c r="B8" t="s">
        <v>116</v>
      </c>
      <c r="C8" t="s">
        <v>117</v>
      </c>
      <c r="D8" t="s">
        <v>88</v>
      </c>
      <c r="E8" t="s">
        <v>118</v>
      </c>
      <c r="F8" t="s">
        <v>119</v>
      </c>
      <c r="G8" t="s">
        <v>82</v>
      </c>
      <c r="H8" s="21">
        <v>966</v>
      </c>
      <c r="I8" s="22">
        <v>45996</v>
      </c>
      <c r="J8" s="22">
        <v>45998</v>
      </c>
      <c r="K8" t="s">
        <v>90</v>
      </c>
      <c r="L8" t="s">
        <v>113</v>
      </c>
    </row>
    <row r="9" spans="1:14" ht="15" customHeight="1" x14ac:dyDescent="0.35">
      <c r="A9" t="s">
        <v>120</v>
      </c>
      <c r="B9" t="s">
        <v>121</v>
      </c>
      <c r="C9" t="s">
        <v>122</v>
      </c>
      <c r="D9" t="s">
        <v>94</v>
      </c>
      <c r="E9" t="s">
        <v>123</v>
      </c>
      <c r="F9" t="s">
        <v>124</v>
      </c>
      <c r="G9" t="s">
        <v>97</v>
      </c>
      <c r="H9" s="21">
        <v>8867</v>
      </c>
      <c r="I9" s="22">
        <v>45903</v>
      </c>
      <c r="J9" s="22">
        <v>45923</v>
      </c>
      <c r="K9" t="s">
        <v>90</v>
      </c>
      <c r="L9" t="s">
        <v>125</v>
      </c>
    </row>
    <row r="10" spans="1:14" ht="15" customHeight="1" x14ac:dyDescent="0.35">
      <c r="A10" t="s">
        <v>126</v>
      </c>
      <c r="B10" t="s">
        <v>127</v>
      </c>
      <c r="C10" t="s">
        <v>128</v>
      </c>
      <c r="D10" t="s">
        <v>88</v>
      </c>
      <c r="E10" t="s">
        <v>89</v>
      </c>
      <c r="F10" t="s">
        <v>129</v>
      </c>
      <c r="G10" t="s">
        <v>82</v>
      </c>
      <c r="H10" s="21">
        <v>11611</v>
      </c>
      <c r="I10" s="22">
        <v>45877</v>
      </c>
      <c r="J10" s="22">
        <v>45882</v>
      </c>
      <c r="K10" t="s">
        <v>90</v>
      </c>
      <c r="L10" t="s">
        <v>130</v>
      </c>
    </row>
    <row r="11" spans="1:14" ht="15" customHeight="1" x14ac:dyDescent="0.35">
      <c r="A11" t="s">
        <v>131</v>
      </c>
      <c r="B11" t="s">
        <v>132</v>
      </c>
      <c r="C11" t="s">
        <v>133</v>
      </c>
      <c r="D11" t="s">
        <v>88</v>
      </c>
      <c r="E11" t="s">
        <v>123</v>
      </c>
      <c r="F11" t="s">
        <v>129</v>
      </c>
      <c r="G11" t="s">
        <v>82</v>
      </c>
      <c r="H11" s="21">
        <v>7668</v>
      </c>
      <c r="I11" s="22">
        <v>45993</v>
      </c>
      <c r="J11" s="22">
        <v>45998</v>
      </c>
      <c r="K11" t="s">
        <v>83</v>
      </c>
      <c r="L11" t="s">
        <v>98</v>
      </c>
    </row>
    <row r="12" spans="1:14" ht="15" customHeight="1" x14ac:dyDescent="0.35">
      <c r="A12" t="s">
        <v>134</v>
      </c>
      <c r="B12" t="s">
        <v>135</v>
      </c>
      <c r="C12" t="s">
        <v>136</v>
      </c>
      <c r="D12" t="s">
        <v>94</v>
      </c>
      <c r="E12" t="s">
        <v>95</v>
      </c>
      <c r="F12" t="s">
        <v>119</v>
      </c>
      <c r="G12" t="s">
        <v>82</v>
      </c>
      <c r="H12" s="21">
        <v>1061</v>
      </c>
      <c r="I12" s="22">
        <v>45978</v>
      </c>
      <c r="J12" s="22">
        <v>45983</v>
      </c>
      <c r="K12" t="s">
        <v>90</v>
      </c>
      <c r="L12" t="s">
        <v>84</v>
      </c>
    </row>
    <row r="13" spans="1:14" ht="15" customHeight="1" x14ac:dyDescent="0.35">
      <c r="A13" t="s">
        <v>137</v>
      </c>
      <c r="B13" t="s">
        <v>86</v>
      </c>
      <c r="C13" t="s">
        <v>87</v>
      </c>
      <c r="D13" t="s">
        <v>88</v>
      </c>
      <c r="E13" t="s">
        <v>80</v>
      </c>
      <c r="F13" t="s">
        <v>96</v>
      </c>
      <c r="G13" t="s">
        <v>97</v>
      </c>
      <c r="H13" s="21">
        <v>1189</v>
      </c>
      <c r="I13" s="22">
        <v>45965</v>
      </c>
      <c r="J13" s="22">
        <v>46000</v>
      </c>
      <c r="K13" t="s">
        <v>90</v>
      </c>
      <c r="L13" t="s">
        <v>138</v>
      </c>
    </row>
    <row r="14" spans="1:14" ht="15" customHeight="1" x14ac:dyDescent="0.35">
      <c r="A14" t="s">
        <v>139</v>
      </c>
      <c r="B14" t="s">
        <v>140</v>
      </c>
      <c r="C14" t="s">
        <v>141</v>
      </c>
      <c r="D14" t="s">
        <v>88</v>
      </c>
      <c r="E14" t="s">
        <v>95</v>
      </c>
      <c r="F14" t="s">
        <v>119</v>
      </c>
      <c r="G14" t="s">
        <v>82</v>
      </c>
      <c r="H14" s="21">
        <v>157</v>
      </c>
      <c r="I14" s="22">
        <v>46058</v>
      </c>
      <c r="J14" s="22">
        <v>46093</v>
      </c>
      <c r="K14" t="s">
        <v>90</v>
      </c>
      <c r="L14" t="s">
        <v>98</v>
      </c>
    </row>
    <row r="15" spans="1:14" ht="15" customHeight="1" x14ac:dyDescent="0.35">
      <c r="A15" t="s">
        <v>142</v>
      </c>
      <c r="B15" t="s">
        <v>143</v>
      </c>
      <c r="C15" t="s">
        <v>144</v>
      </c>
      <c r="D15" t="s">
        <v>94</v>
      </c>
      <c r="E15" t="s">
        <v>111</v>
      </c>
      <c r="F15" t="s">
        <v>96</v>
      </c>
      <c r="G15" t="s">
        <v>97</v>
      </c>
      <c r="H15" s="21">
        <v>17576</v>
      </c>
      <c r="I15" s="22">
        <v>45944</v>
      </c>
      <c r="J15" s="22">
        <v>45949</v>
      </c>
      <c r="K15" t="s">
        <v>90</v>
      </c>
      <c r="L15" t="s">
        <v>125</v>
      </c>
      <c r="M15">
        <v>0</v>
      </c>
      <c r="N15" t="s">
        <v>114</v>
      </c>
    </row>
    <row r="16" spans="1:14" ht="15" customHeight="1" x14ac:dyDescent="0.35">
      <c r="A16" t="s">
        <v>145</v>
      </c>
      <c r="B16" t="s">
        <v>146</v>
      </c>
      <c r="C16" t="s">
        <v>147</v>
      </c>
      <c r="D16" t="s">
        <v>94</v>
      </c>
      <c r="E16" t="s">
        <v>95</v>
      </c>
      <c r="F16" t="s">
        <v>148</v>
      </c>
      <c r="G16" t="s">
        <v>97</v>
      </c>
      <c r="H16" s="21">
        <v>735</v>
      </c>
      <c r="I16" s="22">
        <v>45751</v>
      </c>
      <c r="J16" s="22">
        <v>45756</v>
      </c>
      <c r="K16" t="s">
        <v>90</v>
      </c>
      <c r="L16" t="s">
        <v>101</v>
      </c>
    </row>
    <row r="17" spans="1:14" ht="15" customHeight="1" x14ac:dyDescent="0.35">
      <c r="A17" t="s">
        <v>149</v>
      </c>
      <c r="B17" t="s">
        <v>150</v>
      </c>
      <c r="C17" t="s">
        <v>151</v>
      </c>
      <c r="D17" t="s">
        <v>79</v>
      </c>
      <c r="E17" t="s">
        <v>95</v>
      </c>
      <c r="F17" t="s">
        <v>100</v>
      </c>
      <c r="G17" t="s">
        <v>97</v>
      </c>
      <c r="H17" s="21">
        <v>2109</v>
      </c>
      <c r="I17" s="22">
        <v>45806</v>
      </c>
      <c r="J17" s="22">
        <v>45811</v>
      </c>
      <c r="K17" t="s">
        <v>90</v>
      </c>
      <c r="L17" t="s">
        <v>138</v>
      </c>
    </row>
    <row r="18" spans="1:14" ht="15" customHeight="1" x14ac:dyDescent="0.35">
      <c r="A18" t="s">
        <v>152</v>
      </c>
      <c r="B18" t="s">
        <v>150</v>
      </c>
      <c r="C18" t="s">
        <v>151</v>
      </c>
      <c r="D18" t="s">
        <v>79</v>
      </c>
      <c r="E18" t="s">
        <v>111</v>
      </c>
      <c r="F18" t="s">
        <v>112</v>
      </c>
      <c r="G18" t="s">
        <v>82</v>
      </c>
      <c r="H18" s="21">
        <v>4019</v>
      </c>
      <c r="I18" s="22">
        <v>45950</v>
      </c>
      <c r="J18" s="22">
        <v>45985</v>
      </c>
      <c r="K18" t="s">
        <v>90</v>
      </c>
      <c r="L18" t="s">
        <v>125</v>
      </c>
      <c r="M18">
        <v>12</v>
      </c>
      <c r="N18" t="s">
        <v>114</v>
      </c>
    </row>
    <row r="19" spans="1:14" ht="15" customHeight="1" x14ac:dyDescent="0.35">
      <c r="A19" t="s">
        <v>153</v>
      </c>
      <c r="B19" t="s">
        <v>154</v>
      </c>
      <c r="C19" t="s">
        <v>155</v>
      </c>
      <c r="D19" t="s">
        <v>94</v>
      </c>
      <c r="E19" t="s">
        <v>80</v>
      </c>
      <c r="F19" t="s">
        <v>129</v>
      </c>
      <c r="G19" t="s">
        <v>82</v>
      </c>
      <c r="H19" s="21">
        <v>944</v>
      </c>
      <c r="I19" s="22">
        <v>45801</v>
      </c>
      <c r="J19" s="22">
        <v>45815</v>
      </c>
      <c r="K19" t="s">
        <v>90</v>
      </c>
      <c r="L19" t="s">
        <v>113</v>
      </c>
    </row>
    <row r="20" spans="1:14" ht="15" customHeight="1" x14ac:dyDescent="0.35">
      <c r="A20" t="s">
        <v>156</v>
      </c>
      <c r="B20" t="s">
        <v>127</v>
      </c>
      <c r="C20" t="s">
        <v>128</v>
      </c>
      <c r="D20" t="s">
        <v>88</v>
      </c>
      <c r="E20" t="s">
        <v>89</v>
      </c>
      <c r="F20" t="s">
        <v>148</v>
      </c>
      <c r="G20" t="s">
        <v>97</v>
      </c>
      <c r="H20" s="21">
        <v>11637</v>
      </c>
      <c r="I20" s="22">
        <v>45924</v>
      </c>
      <c r="J20" s="22">
        <v>45959</v>
      </c>
      <c r="K20" t="s">
        <v>90</v>
      </c>
      <c r="L20" t="s">
        <v>107</v>
      </c>
    </row>
    <row r="21" spans="1:14" ht="15" customHeight="1" x14ac:dyDescent="0.35">
      <c r="A21" t="s">
        <v>157</v>
      </c>
      <c r="B21" t="s">
        <v>158</v>
      </c>
      <c r="C21" t="s">
        <v>159</v>
      </c>
      <c r="D21" t="s">
        <v>94</v>
      </c>
      <c r="E21" t="s">
        <v>118</v>
      </c>
      <c r="F21" t="s">
        <v>148</v>
      </c>
      <c r="G21" t="s">
        <v>97</v>
      </c>
      <c r="H21" s="21">
        <v>1374</v>
      </c>
      <c r="I21" s="22">
        <v>45829</v>
      </c>
      <c r="J21" s="22">
        <v>45838</v>
      </c>
      <c r="K21" t="s">
        <v>90</v>
      </c>
      <c r="L21" t="s">
        <v>113</v>
      </c>
    </row>
    <row r="22" spans="1:14" ht="15" customHeight="1" x14ac:dyDescent="0.35">
      <c r="A22" t="s">
        <v>160</v>
      </c>
      <c r="B22" t="s">
        <v>161</v>
      </c>
      <c r="C22" t="s">
        <v>162</v>
      </c>
      <c r="D22" t="s">
        <v>79</v>
      </c>
      <c r="E22" t="s">
        <v>123</v>
      </c>
      <c r="F22" t="s">
        <v>119</v>
      </c>
      <c r="G22" t="s">
        <v>82</v>
      </c>
      <c r="H22" s="21">
        <v>5918</v>
      </c>
      <c r="I22" s="22">
        <v>45827</v>
      </c>
      <c r="J22" s="22">
        <v>45832</v>
      </c>
      <c r="K22" t="s">
        <v>90</v>
      </c>
      <c r="L22" t="s">
        <v>125</v>
      </c>
    </row>
    <row r="23" spans="1:14" ht="15" customHeight="1" x14ac:dyDescent="0.35">
      <c r="A23" t="s">
        <v>163</v>
      </c>
      <c r="B23" t="s">
        <v>164</v>
      </c>
      <c r="C23" t="s">
        <v>165</v>
      </c>
      <c r="D23" t="s">
        <v>94</v>
      </c>
      <c r="E23" t="s">
        <v>111</v>
      </c>
      <c r="F23" t="s">
        <v>148</v>
      </c>
      <c r="G23" t="s">
        <v>97</v>
      </c>
      <c r="H23" s="21">
        <v>12701</v>
      </c>
      <c r="I23" s="22">
        <v>45878</v>
      </c>
      <c r="J23" s="22">
        <v>45887</v>
      </c>
      <c r="K23" t="s">
        <v>83</v>
      </c>
      <c r="L23" t="s">
        <v>125</v>
      </c>
      <c r="M23">
        <v>19</v>
      </c>
      <c r="N23" t="s">
        <v>114</v>
      </c>
    </row>
    <row r="24" spans="1:14" ht="15" customHeight="1" x14ac:dyDescent="0.35">
      <c r="A24" t="s">
        <v>166</v>
      </c>
      <c r="B24" t="s">
        <v>167</v>
      </c>
      <c r="C24" t="s">
        <v>168</v>
      </c>
      <c r="D24" t="s">
        <v>105</v>
      </c>
      <c r="E24" t="s">
        <v>106</v>
      </c>
      <c r="F24" t="s">
        <v>96</v>
      </c>
      <c r="G24" t="s">
        <v>97</v>
      </c>
      <c r="H24" s="21">
        <v>2935</v>
      </c>
      <c r="I24" s="22">
        <v>45965</v>
      </c>
      <c r="J24" s="22">
        <v>45974</v>
      </c>
      <c r="K24" t="s">
        <v>90</v>
      </c>
      <c r="L24" t="s">
        <v>130</v>
      </c>
    </row>
    <row r="25" spans="1:14" ht="15" customHeight="1" x14ac:dyDescent="0.35">
      <c r="A25" t="s">
        <v>169</v>
      </c>
      <c r="B25" t="s">
        <v>170</v>
      </c>
      <c r="C25" t="s">
        <v>171</v>
      </c>
      <c r="D25" t="s">
        <v>88</v>
      </c>
      <c r="E25" t="s">
        <v>172</v>
      </c>
      <c r="F25" t="s">
        <v>112</v>
      </c>
      <c r="G25" t="s">
        <v>82</v>
      </c>
      <c r="H25" s="21">
        <v>2387</v>
      </c>
      <c r="I25" s="22">
        <v>45828</v>
      </c>
      <c r="J25" s="22">
        <v>45830</v>
      </c>
      <c r="K25" t="s">
        <v>90</v>
      </c>
      <c r="L25" t="s">
        <v>113</v>
      </c>
    </row>
    <row r="26" spans="1:14" ht="15" customHeight="1" x14ac:dyDescent="0.35">
      <c r="A26" t="s">
        <v>173</v>
      </c>
      <c r="B26" t="s">
        <v>158</v>
      </c>
      <c r="C26" t="s">
        <v>159</v>
      </c>
      <c r="D26" t="s">
        <v>94</v>
      </c>
      <c r="E26" t="s">
        <v>118</v>
      </c>
      <c r="F26" t="s">
        <v>81</v>
      </c>
      <c r="G26" t="s">
        <v>82</v>
      </c>
      <c r="H26" s="21">
        <v>728</v>
      </c>
      <c r="I26" s="22">
        <v>45973</v>
      </c>
      <c r="J26" s="22">
        <v>45978</v>
      </c>
      <c r="K26" t="s">
        <v>90</v>
      </c>
      <c r="L26" t="s">
        <v>84</v>
      </c>
    </row>
    <row r="27" spans="1:14" ht="15" customHeight="1" x14ac:dyDescent="0.35">
      <c r="A27" t="s">
        <v>174</v>
      </c>
      <c r="B27" t="s">
        <v>116</v>
      </c>
      <c r="C27" t="s">
        <v>117</v>
      </c>
      <c r="D27" t="s">
        <v>88</v>
      </c>
      <c r="E27" t="s">
        <v>80</v>
      </c>
      <c r="F27" t="s">
        <v>129</v>
      </c>
      <c r="G27" t="s">
        <v>82</v>
      </c>
      <c r="H27" s="21">
        <v>2160</v>
      </c>
      <c r="I27" s="22">
        <v>45751</v>
      </c>
      <c r="J27" s="22">
        <v>45756</v>
      </c>
      <c r="K27" t="s">
        <v>90</v>
      </c>
      <c r="L27" t="s">
        <v>113</v>
      </c>
    </row>
    <row r="28" spans="1:14" ht="15" customHeight="1" x14ac:dyDescent="0.35">
      <c r="A28" t="s">
        <v>175</v>
      </c>
      <c r="B28" t="s">
        <v>176</v>
      </c>
      <c r="C28" t="s">
        <v>177</v>
      </c>
      <c r="D28" t="s">
        <v>79</v>
      </c>
      <c r="E28" t="s">
        <v>172</v>
      </c>
      <c r="F28" t="s">
        <v>148</v>
      </c>
      <c r="G28" t="s">
        <v>97</v>
      </c>
      <c r="H28" s="21">
        <v>2787</v>
      </c>
      <c r="I28" s="22">
        <v>45813</v>
      </c>
      <c r="J28" s="22">
        <v>45833</v>
      </c>
      <c r="K28" t="s">
        <v>90</v>
      </c>
      <c r="L28" t="s">
        <v>113</v>
      </c>
    </row>
    <row r="29" spans="1:14" ht="15" customHeight="1" x14ac:dyDescent="0.35">
      <c r="A29" t="s">
        <v>178</v>
      </c>
      <c r="B29" t="s">
        <v>86</v>
      </c>
      <c r="C29" t="s">
        <v>87</v>
      </c>
      <c r="D29" t="s">
        <v>88</v>
      </c>
      <c r="E29" t="s">
        <v>95</v>
      </c>
      <c r="F29" t="s">
        <v>124</v>
      </c>
      <c r="G29" t="s">
        <v>97</v>
      </c>
      <c r="H29" s="21">
        <v>1233</v>
      </c>
      <c r="I29" s="22">
        <v>46021</v>
      </c>
      <c r="J29" s="22">
        <v>46030</v>
      </c>
      <c r="K29" t="s">
        <v>90</v>
      </c>
      <c r="L29" t="s">
        <v>138</v>
      </c>
    </row>
    <row r="30" spans="1:14" ht="15" customHeight="1" x14ac:dyDescent="0.35">
      <c r="A30" t="s">
        <v>179</v>
      </c>
      <c r="B30" t="s">
        <v>135</v>
      </c>
      <c r="C30" t="s">
        <v>136</v>
      </c>
      <c r="D30" t="s">
        <v>94</v>
      </c>
      <c r="E30" t="s">
        <v>106</v>
      </c>
      <c r="F30" t="s">
        <v>96</v>
      </c>
      <c r="G30" t="s">
        <v>97</v>
      </c>
      <c r="H30" s="21">
        <v>4803</v>
      </c>
      <c r="I30" s="22">
        <v>45769</v>
      </c>
      <c r="J30" s="22">
        <v>45774</v>
      </c>
      <c r="K30" t="s">
        <v>90</v>
      </c>
      <c r="L30" t="s">
        <v>138</v>
      </c>
    </row>
    <row r="31" spans="1:14" ht="15" customHeight="1" x14ac:dyDescent="0.35">
      <c r="A31" t="s">
        <v>180</v>
      </c>
      <c r="B31" t="s">
        <v>86</v>
      </c>
      <c r="C31" t="s">
        <v>87</v>
      </c>
      <c r="D31" t="s">
        <v>88</v>
      </c>
      <c r="E31" t="s">
        <v>95</v>
      </c>
      <c r="F31" t="s">
        <v>81</v>
      </c>
      <c r="G31" t="s">
        <v>82</v>
      </c>
      <c r="H31" s="21">
        <v>1564</v>
      </c>
      <c r="I31" s="22">
        <v>45925</v>
      </c>
      <c r="J31" s="22">
        <v>45927</v>
      </c>
      <c r="K31" t="s">
        <v>83</v>
      </c>
      <c r="L31" t="s">
        <v>113</v>
      </c>
    </row>
    <row r="32" spans="1:14" ht="15" customHeight="1" x14ac:dyDescent="0.35">
      <c r="A32" t="s">
        <v>181</v>
      </c>
      <c r="B32" t="s">
        <v>127</v>
      </c>
      <c r="C32" t="s">
        <v>128</v>
      </c>
      <c r="D32" t="s">
        <v>88</v>
      </c>
      <c r="E32" t="s">
        <v>95</v>
      </c>
      <c r="F32" t="s">
        <v>148</v>
      </c>
      <c r="G32" t="s">
        <v>97</v>
      </c>
      <c r="H32" s="21">
        <v>1971</v>
      </c>
      <c r="I32" s="22">
        <v>45902</v>
      </c>
      <c r="J32" s="22">
        <v>45907</v>
      </c>
      <c r="K32" t="s">
        <v>90</v>
      </c>
      <c r="L32" t="s">
        <v>113</v>
      </c>
    </row>
    <row r="33" spans="1:14" ht="15" customHeight="1" x14ac:dyDescent="0.35">
      <c r="A33" t="s">
        <v>182</v>
      </c>
      <c r="B33" t="s">
        <v>161</v>
      </c>
      <c r="C33" t="s">
        <v>162</v>
      </c>
      <c r="D33" t="s">
        <v>79</v>
      </c>
      <c r="E33" t="s">
        <v>111</v>
      </c>
      <c r="F33" t="s">
        <v>96</v>
      </c>
      <c r="G33" t="s">
        <v>97</v>
      </c>
      <c r="H33" s="21">
        <v>8594</v>
      </c>
      <c r="I33" s="22">
        <v>45962</v>
      </c>
      <c r="J33" s="22">
        <v>45967</v>
      </c>
      <c r="K33" t="s">
        <v>90</v>
      </c>
      <c r="L33" t="s">
        <v>113</v>
      </c>
      <c r="M33">
        <v>11</v>
      </c>
      <c r="N33" t="s">
        <v>114</v>
      </c>
    </row>
    <row r="34" spans="1:14" ht="15" customHeight="1" x14ac:dyDescent="0.35">
      <c r="A34" t="s">
        <v>183</v>
      </c>
      <c r="B34" t="s">
        <v>103</v>
      </c>
      <c r="C34" t="s">
        <v>104</v>
      </c>
      <c r="D34" t="s">
        <v>105</v>
      </c>
      <c r="E34" t="s">
        <v>89</v>
      </c>
      <c r="F34" t="s">
        <v>148</v>
      </c>
      <c r="G34" t="s">
        <v>97</v>
      </c>
      <c r="H34" s="21">
        <v>4231</v>
      </c>
      <c r="I34" s="22">
        <v>46034</v>
      </c>
      <c r="J34" s="22">
        <v>46036</v>
      </c>
      <c r="K34" t="s">
        <v>90</v>
      </c>
      <c r="L34" t="s">
        <v>107</v>
      </c>
    </row>
    <row r="35" spans="1:14" ht="15" customHeight="1" x14ac:dyDescent="0.35">
      <c r="A35" t="s">
        <v>184</v>
      </c>
      <c r="B35" t="s">
        <v>185</v>
      </c>
      <c r="C35" t="s">
        <v>186</v>
      </c>
      <c r="D35" t="s">
        <v>94</v>
      </c>
      <c r="E35" t="s">
        <v>95</v>
      </c>
      <c r="F35" t="s">
        <v>119</v>
      </c>
      <c r="G35" t="s">
        <v>82</v>
      </c>
      <c r="H35" s="21">
        <v>157</v>
      </c>
      <c r="I35" s="22">
        <v>45761</v>
      </c>
      <c r="J35" s="22">
        <v>45775</v>
      </c>
      <c r="K35" t="s">
        <v>90</v>
      </c>
      <c r="L35" t="s">
        <v>138</v>
      </c>
    </row>
    <row r="36" spans="1:14" ht="15" customHeight="1" x14ac:dyDescent="0.35">
      <c r="A36" t="s">
        <v>187</v>
      </c>
      <c r="B36" t="s">
        <v>188</v>
      </c>
      <c r="C36" t="s">
        <v>189</v>
      </c>
      <c r="D36" t="s">
        <v>190</v>
      </c>
      <c r="E36" t="s">
        <v>89</v>
      </c>
      <c r="F36" t="s">
        <v>119</v>
      </c>
      <c r="G36" t="s">
        <v>82</v>
      </c>
      <c r="H36" s="21">
        <v>3894</v>
      </c>
      <c r="I36" s="22">
        <v>45762</v>
      </c>
      <c r="J36" s="22">
        <v>45782</v>
      </c>
      <c r="K36" t="s">
        <v>90</v>
      </c>
      <c r="L36" t="s">
        <v>138</v>
      </c>
    </row>
    <row r="37" spans="1:14" ht="15" customHeight="1" x14ac:dyDescent="0.35">
      <c r="A37" t="s">
        <v>191</v>
      </c>
      <c r="B37" t="s">
        <v>192</v>
      </c>
      <c r="C37" t="s">
        <v>193</v>
      </c>
      <c r="D37" t="s">
        <v>94</v>
      </c>
      <c r="E37" t="s">
        <v>89</v>
      </c>
      <c r="F37" t="s">
        <v>112</v>
      </c>
      <c r="G37" t="s">
        <v>82</v>
      </c>
      <c r="H37" s="21">
        <v>14609</v>
      </c>
      <c r="I37" s="22">
        <v>45823</v>
      </c>
      <c r="J37" s="22">
        <v>45828</v>
      </c>
      <c r="K37" t="s">
        <v>90</v>
      </c>
      <c r="L37" t="s">
        <v>84</v>
      </c>
    </row>
    <row r="38" spans="1:14" ht="15" customHeight="1" x14ac:dyDescent="0.35">
      <c r="A38" t="s">
        <v>194</v>
      </c>
      <c r="B38" t="s">
        <v>195</v>
      </c>
      <c r="C38" t="s">
        <v>196</v>
      </c>
      <c r="D38" t="s">
        <v>79</v>
      </c>
      <c r="E38" t="s">
        <v>123</v>
      </c>
      <c r="F38" t="s">
        <v>148</v>
      </c>
      <c r="G38" t="s">
        <v>97</v>
      </c>
      <c r="H38" s="21">
        <v>15200</v>
      </c>
      <c r="I38" s="22">
        <v>46042</v>
      </c>
      <c r="J38" s="22">
        <v>46112</v>
      </c>
      <c r="K38" t="s">
        <v>90</v>
      </c>
      <c r="L38" t="s">
        <v>84</v>
      </c>
    </row>
    <row r="39" spans="1:14" ht="15" customHeight="1" x14ac:dyDescent="0.35">
      <c r="A39" t="s">
        <v>197</v>
      </c>
      <c r="B39" t="s">
        <v>150</v>
      </c>
      <c r="C39" t="s">
        <v>151</v>
      </c>
      <c r="D39" t="s">
        <v>79</v>
      </c>
      <c r="E39" t="s">
        <v>111</v>
      </c>
      <c r="F39" t="s">
        <v>96</v>
      </c>
      <c r="G39" t="s">
        <v>97</v>
      </c>
      <c r="H39" s="21">
        <v>14773</v>
      </c>
      <c r="I39" s="22">
        <v>45812</v>
      </c>
      <c r="J39" s="22">
        <v>45847</v>
      </c>
      <c r="K39" t="s">
        <v>90</v>
      </c>
      <c r="L39" t="s">
        <v>107</v>
      </c>
      <c r="M39">
        <v>2</v>
      </c>
      <c r="N39" t="s">
        <v>114</v>
      </c>
    </row>
    <row r="40" spans="1:14" ht="15" customHeight="1" x14ac:dyDescent="0.35">
      <c r="A40" t="s">
        <v>198</v>
      </c>
      <c r="B40" t="s">
        <v>167</v>
      </c>
      <c r="C40" t="s">
        <v>168</v>
      </c>
      <c r="D40" t="s">
        <v>105</v>
      </c>
      <c r="E40" t="s">
        <v>80</v>
      </c>
      <c r="F40" t="s">
        <v>81</v>
      </c>
      <c r="G40" t="s">
        <v>82</v>
      </c>
      <c r="H40" s="21">
        <v>1613</v>
      </c>
      <c r="I40" s="22">
        <v>45961</v>
      </c>
      <c r="J40" s="22">
        <v>45970</v>
      </c>
      <c r="K40" t="s">
        <v>90</v>
      </c>
      <c r="L40" t="s">
        <v>107</v>
      </c>
    </row>
    <row r="41" spans="1:14" ht="15" customHeight="1" x14ac:dyDescent="0.35">
      <c r="A41" t="s">
        <v>199</v>
      </c>
      <c r="B41" t="s">
        <v>200</v>
      </c>
      <c r="C41" t="s">
        <v>201</v>
      </c>
      <c r="D41" t="s">
        <v>94</v>
      </c>
      <c r="E41" t="s">
        <v>80</v>
      </c>
      <c r="F41" t="s">
        <v>124</v>
      </c>
      <c r="G41" t="s">
        <v>97</v>
      </c>
      <c r="H41" s="21">
        <v>872</v>
      </c>
      <c r="I41" s="22">
        <v>45758</v>
      </c>
      <c r="J41" s="22">
        <v>45763</v>
      </c>
      <c r="K41" t="s">
        <v>83</v>
      </c>
      <c r="L41" t="s">
        <v>98</v>
      </c>
    </row>
    <row r="42" spans="1:14" ht="15" customHeight="1" x14ac:dyDescent="0.35">
      <c r="A42" t="s">
        <v>202</v>
      </c>
      <c r="B42" t="s">
        <v>203</v>
      </c>
      <c r="C42" t="s">
        <v>204</v>
      </c>
      <c r="D42" t="s">
        <v>88</v>
      </c>
      <c r="E42" t="s">
        <v>89</v>
      </c>
      <c r="F42" t="s">
        <v>129</v>
      </c>
      <c r="G42" t="s">
        <v>82</v>
      </c>
      <c r="H42" s="21">
        <v>15960</v>
      </c>
      <c r="I42" s="22">
        <v>45990</v>
      </c>
      <c r="J42" s="22">
        <v>45999</v>
      </c>
      <c r="K42" t="s">
        <v>90</v>
      </c>
      <c r="L42" t="s">
        <v>107</v>
      </c>
    </row>
    <row r="43" spans="1:14" ht="15" customHeight="1" x14ac:dyDescent="0.35">
      <c r="A43" t="s">
        <v>205</v>
      </c>
      <c r="B43" t="s">
        <v>206</v>
      </c>
      <c r="C43" t="s">
        <v>207</v>
      </c>
      <c r="D43" t="s">
        <v>88</v>
      </c>
      <c r="E43" t="s">
        <v>172</v>
      </c>
      <c r="F43" t="s">
        <v>129</v>
      </c>
      <c r="G43" t="s">
        <v>82</v>
      </c>
      <c r="H43" s="21">
        <v>2042</v>
      </c>
      <c r="I43" s="22">
        <v>45893</v>
      </c>
      <c r="J43" s="22">
        <v>45902</v>
      </c>
      <c r="K43" t="s">
        <v>90</v>
      </c>
      <c r="L43" t="s">
        <v>98</v>
      </c>
    </row>
    <row r="44" spans="1:14" ht="15" customHeight="1" x14ac:dyDescent="0.35">
      <c r="A44" t="s">
        <v>208</v>
      </c>
      <c r="B44" t="s">
        <v>209</v>
      </c>
      <c r="C44" t="s">
        <v>210</v>
      </c>
      <c r="D44" t="s">
        <v>94</v>
      </c>
      <c r="E44" t="s">
        <v>80</v>
      </c>
      <c r="F44" t="s">
        <v>124</v>
      </c>
      <c r="G44" t="s">
        <v>97</v>
      </c>
      <c r="H44" s="21">
        <v>1694</v>
      </c>
      <c r="I44" s="22">
        <v>46046</v>
      </c>
      <c r="J44" s="22">
        <v>46051</v>
      </c>
      <c r="K44" t="s">
        <v>90</v>
      </c>
      <c r="L44" t="s">
        <v>113</v>
      </c>
    </row>
    <row r="45" spans="1:14" ht="15" customHeight="1" x14ac:dyDescent="0.35">
      <c r="A45" t="s">
        <v>211</v>
      </c>
      <c r="B45" t="s">
        <v>212</v>
      </c>
      <c r="C45" t="s">
        <v>213</v>
      </c>
      <c r="D45" t="s">
        <v>94</v>
      </c>
      <c r="E45" t="s">
        <v>123</v>
      </c>
      <c r="F45" t="s">
        <v>129</v>
      </c>
      <c r="G45" t="s">
        <v>82</v>
      </c>
      <c r="H45" s="21">
        <v>15355</v>
      </c>
      <c r="I45" s="22">
        <v>45855</v>
      </c>
      <c r="J45" s="22">
        <v>45864</v>
      </c>
      <c r="K45" t="s">
        <v>90</v>
      </c>
      <c r="L45" t="s">
        <v>107</v>
      </c>
    </row>
    <row r="46" spans="1:14" ht="15" customHeight="1" x14ac:dyDescent="0.35">
      <c r="A46" t="s">
        <v>214</v>
      </c>
      <c r="B46" t="s">
        <v>132</v>
      </c>
      <c r="C46" t="s">
        <v>133</v>
      </c>
      <c r="D46" t="s">
        <v>88</v>
      </c>
      <c r="E46" t="s">
        <v>80</v>
      </c>
      <c r="F46" t="s">
        <v>96</v>
      </c>
      <c r="G46" t="s">
        <v>97</v>
      </c>
      <c r="H46" s="21">
        <v>1306</v>
      </c>
      <c r="I46" s="22">
        <v>45872</v>
      </c>
      <c r="J46" s="22">
        <v>45886</v>
      </c>
      <c r="K46" t="s">
        <v>90</v>
      </c>
      <c r="L46" t="s">
        <v>98</v>
      </c>
    </row>
    <row r="47" spans="1:14" ht="15" customHeight="1" x14ac:dyDescent="0.35">
      <c r="A47" t="s">
        <v>215</v>
      </c>
      <c r="B47" t="s">
        <v>154</v>
      </c>
      <c r="C47" t="s">
        <v>155</v>
      </c>
      <c r="D47" t="s">
        <v>94</v>
      </c>
      <c r="E47" t="s">
        <v>89</v>
      </c>
      <c r="F47" t="s">
        <v>148</v>
      </c>
      <c r="G47" t="s">
        <v>97</v>
      </c>
      <c r="H47" s="21">
        <v>13851</v>
      </c>
      <c r="I47" s="22">
        <v>45909</v>
      </c>
      <c r="J47" s="22">
        <v>45918</v>
      </c>
      <c r="K47" t="s">
        <v>90</v>
      </c>
      <c r="L47" t="s">
        <v>125</v>
      </c>
    </row>
    <row r="48" spans="1:14" ht="15" customHeight="1" x14ac:dyDescent="0.35">
      <c r="A48" t="s">
        <v>216</v>
      </c>
      <c r="B48" t="s">
        <v>217</v>
      </c>
      <c r="C48" t="s">
        <v>218</v>
      </c>
      <c r="D48" t="s">
        <v>88</v>
      </c>
      <c r="E48" t="s">
        <v>172</v>
      </c>
      <c r="F48" t="s">
        <v>112</v>
      </c>
      <c r="G48" t="s">
        <v>82</v>
      </c>
      <c r="H48" s="21">
        <v>1738</v>
      </c>
      <c r="I48" s="22">
        <v>45982</v>
      </c>
      <c r="J48" s="22">
        <v>45984</v>
      </c>
      <c r="K48" t="s">
        <v>90</v>
      </c>
      <c r="L48" t="s">
        <v>98</v>
      </c>
    </row>
    <row r="49" spans="1:14" ht="15" customHeight="1" x14ac:dyDescent="0.35">
      <c r="A49" t="s">
        <v>219</v>
      </c>
      <c r="B49" t="s">
        <v>220</v>
      </c>
      <c r="C49" t="s">
        <v>221</v>
      </c>
      <c r="D49" t="s">
        <v>79</v>
      </c>
      <c r="E49" t="s">
        <v>89</v>
      </c>
      <c r="F49" t="s">
        <v>112</v>
      </c>
      <c r="G49" t="s">
        <v>82</v>
      </c>
      <c r="H49" s="21">
        <v>9330</v>
      </c>
      <c r="I49" s="22">
        <v>46037</v>
      </c>
      <c r="J49" s="22">
        <v>46072</v>
      </c>
      <c r="K49" t="s">
        <v>83</v>
      </c>
      <c r="L49" t="s">
        <v>125</v>
      </c>
    </row>
    <row r="50" spans="1:14" ht="15" customHeight="1" x14ac:dyDescent="0.35">
      <c r="A50" t="s">
        <v>222</v>
      </c>
      <c r="B50" t="s">
        <v>86</v>
      </c>
      <c r="C50" t="s">
        <v>87</v>
      </c>
      <c r="D50" t="s">
        <v>88</v>
      </c>
      <c r="E50" t="s">
        <v>172</v>
      </c>
      <c r="F50" t="s">
        <v>119</v>
      </c>
      <c r="G50" t="s">
        <v>82</v>
      </c>
      <c r="H50" s="21">
        <v>4357</v>
      </c>
      <c r="I50" s="22">
        <v>46008</v>
      </c>
      <c r="J50" s="22">
        <v>46013</v>
      </c>
      <c r="K50" t="s">
        <v>90</v>
      </c>
      <c r="L50" t="s">
        <v>125</v>
      </c>
    </row>
    <row r="51" spans="1:14" ht="15" customHeight="1" x14ac:dyDescent="0.35">
      <c r="A51" t="s">
        <v>223</v>
      </c>
      <c r="B51" t="s">
        <v>224</v>
      </c>
      <c r="C51" t="s">
        <v>225</v>
      </c>
      <c r="D51" t="s">
        <v>79</v>
      </c>
      <c r="E51" t="s">
        <v>106</v>
      </c>
      <c r="F51" t="s">
        <v>119</v>
      </c>
      <c r="G51" t="s">
        <v>82</v>
      </c>
      <c r="H51" s="21">
        <v>4747</v>
      </c>
      <c r="I51" s="22">
        <v>45993</v>
      </c>
      <c r="J51" s="22">
        <v>45998</v>
      </c>
      <c r="K51" t="s">
        <v>90</v>
      </c>
      <c r="L51" t="s">
        <v>138</v>
      </c>
    </row>
    <row r="52" spans="1:14" ht="15" customHeight="1" x14ac:dyDescent="0.35">
      <c r="A52" t="s">
        <v>226</v>
      </c>
      <c r="B52" t="s">
        <v>116</v>
      </c>
      <c r="C52" t="s">
        <v>117</v>
      </c>
      <c r="D52" t="s">
        <v>88</v>
      </c>
      <c r="E52" t="s">
        <v>95</v>
      </c>
      <c r="F52" t="s">
        <v>96</v>
      </c>
      <c r="G52" t="s">
        <v>97</v>
      </c>
      <c r="H52" s="21">
        <v>246</v>
      </c>
      <c r="I52" s="22">
        <v>45997</v>
      </c>
      <c r="J52" s="22">
        <v>46067</v>
      </c>
      <c r="K52" t="s">
        <v>83</v>
      </c>
      <c r="L52" t="s">
        <v>98</v>
      </c>
    </row>
    <row r="53" spans="1:14" ht="15" customHeight="1" x14ac:dyDescent="0.35">
      <c r="A53" t="s">
        <v>227</v>
      </c>
      <c r="B53" t="s">
        <v>127</v>
      </c>
      <c r="C53" t="s">
        <v>128</v>
      </c>
      <c r="D53" t="s">
        <v>88</v>
      </c>
      <c r="E53" t="s">
        <v>123</v>
      </c>
      <c r="F53" t="s">
        <v>96</v>
      </c>
      <c r="G53" t="s">
        <v>97</v>
      </c>
      <c r="H53" s="21">
        <v>11107</v>
      </c>
      <c r="I53" s="22">
        <v>46050</v>
      </c>
      <c r="J53" s="22">
        <v>46059</v>
      </c>
      <c r="K53" t="s">
        <v>83</v>
      </c>
      <c r="L53" t="s">
        <v>107</v>
      </c>
    </row>
    <row r="54" spans="1:14" ht="15" customHeight="1" x14ac:dyDescent="0.35">
      <c r="A54" t="s">
        <v>228</v>
      </c>
      <c r="B54" t="s">
        <v>200</v>
      </c>
      <c r="C54" t="s">
        <v>201</v>
      </c>
      <c r="D54" t="s">
        <v>94</v>
      </c>
      <c r="E54" t="s">
        <v>80</v>
      </c>
      <c r="F54" t="s">
        <v>100</v>
      </c>
      <c r="G54" t="s">
        <v>97</v>
      </c>
      <c r="H54" s="21">
        <v>878</v>
      </c>
      <c r="I54" s="22">
        <v>46032</v>
      </c>
      <c r="J54" s="22">
        <v>46037</v>
      </c>
      <c r="K54" t="s">
        <v>90</v>
      </c>
      <c r="L54" t="s">
        <v>101</v>
      </c>
    </row>
    <row r="55" spans="1:14" ht="15" customHeight="1" x14ac:dyDescent="0.35">
      <c r="A55" t="s">
        <v>229</v>
      </c>
      <c r="B55" t="s">
        <v>230</v>
      </c>
      <c r="C55" t="s">
        <v>231</v>
      </c>
      <c r="D55" t="s">
        <v>88</v>
      </c>
      <c r="E55" t="s">
        <v>89</v>
      </c>
      <c r="F55" t="s">
        <v>148</v>
      </c>
      <c r="G55" t="s">
        <v>97</v>
      </c>
      <c r="H55" s="21">
        <v>7841</v>
      </c>
      <c r="I55" s="22">
        <v>46045</v>
      </c>
      <c r="J55" s="22">
        <v>46050</v>
      </c>
      <c r="K55" t="s">
        <v>83</v>
      </c>
      <c r="L55" t="s">
        <v>107</v>
      </c>
    </row>
    <row r="56" spans="1:14" ht="15" customHeight="1" x14ac:dyDescent="0.35">
      <c r="A56" t="s">
        <v>232</v>
      </c>
      <c r="B56" t="s">
        <v>233</v>
      </c>
      <c r="C56" t="s">
        <v>234</v>
      </c>
      <c r="D56" t="s">
        <v>88</v>
      </c>
      <c r="E56" t="s">
        <v>118</v>
      </c>
      <c r="F56" t="s">
        <v>129</v>
      </c>
      <c r="G56" t="s">
        <v>82</v>
      </c>
      <c r="H56" s="21">
        <v>155</v>
      </c>
      <c r="I56" s="22">
        <v>46058</v>
      </c>
      <c r="J56" s="22">
        <v>46072</v>
      </c>
      <c r="K56" t="s">
        <v>90</v>
      </c>
      <c r="L56" t="s">
        <v>138</v>
      </c>
    </row>
    <row r="57" spans="1:14" ht="15" customHeight="1" x14ac:dyDescent="0.35">
      <c r="A57" t="s">
        <v>235</v>
      </c>
      <c r="B57" t="s">
        <v>167</v>
      </c>
      <c r="C57" t="s">
        <v>168</v>
      </c>
      <c r="D57" t="s">
        <v>105</v>
      </c>
      <c r="E57" t="s">
        <v>89</v>
      </c>
      <c r="F57" t="s">
        <v>148</v>
      </c>
      <c r="G57" t="s">
        <v>97</v>
      </c>
      <c r="H57" s="21">
        <v>14858</v>
      </c>
      <c r="I57" s="22">
        <v>45864</v>
      </c>
      <c r="J57" s="22">
        <v>45869</v>
      </c>
      <c r="K57" t="s">
        <v>90</v>
      </c>
      <c r="L57" t="s">
        <v>125</v>
      </c>
    </row>
    <row r="58" spans="1:14" ht="15" customHeight="1" x14ac:dyDescent="0.35">
      <c r="A58" t="s">
        <v>236</v>
      </c>
      <c r="B58" t="s">
        <v>203</v>
      </c>
      <c r="C58" t="s">
        <v>204</v>
      </c>
      <c r="D58" t="s">
        <v>88</v>
      </c>
      <c r="E58" t="s">
        <v>95</v>
      </c>
      <c r="F58" t="s">
        <v>129</v>
      </c>
      <c r="G58" t="s">
        <v>82</v>
      </c>
      <c r="H58" s="21">
        <v>357</v>
      </c>
      <c r="I58" s="22">
        <v>45948</v>
      </c>
      <c r="J58" s="22">
        <v>45962</v>
      </c>
      <c r="K58" t="s">
        <v>90</v>
      </c>
      <c r="L58" t="s">
        <v>113</v>
      </c>
    </row>
    <row r="59" spans="1:14" ht="15" customHeight="1" x14ac:dyDescent="0.35">
      <c r="A59" t="s">
        <v>237</v>
      </c>
      <c r="B59" t="s">
        <v>192</v>
      </c>
      <c r="C59" t="s">
        <v>193</v>
      </c>
      <c r="D59" t="s">
        <v>94</v>
      </c>
      <c r="E59" t="s">
        <v>95</v>
      </c>
      <c r="F59" t="s">
        <v>148</v>
      </c>
      <c r="G59" t="s">
        <v>97</v>
      </c>
      <c r="H59" s="21">
        <v>353</v>
      </c>
      <c r="I59" s="22">
        <v>45864</v>
      </c>
      <c r="J59" s="22">
        <v>45873</v>
      </c>
      <c r="K59" t="s">
        <v>90</v>
      </c>
      <c r="L59" t="s">
        <v>107</v>
      </c>
    </row>
    <row r="60" spans="1:14" ht="15" customHeight="1" x14ac:dyDescent="0.35">
      <c r="A60" t="s">
        <v>238</v>
      </c>
      <c r="B60" t="s">
        <v>239</v>
      </c>
      <c r="C60" t="s">
        <v>240</v>
      </c>
      <c r="D60" t="s">
        <v>190</v>
      </c>
      <c r="E60" t="s">
        <v>80</v>
      </c>
      <c r="F60" t="s">
        <v>148</v>
      </c>
      <c r="G60" t="s">
        <v>97</v>
      </c>
      <c r="H60" s="21">
        <v>1086</v>
      </c>
      <c r="I60" s="22">
        <v>46022</v>
      </c>
      <c r="J60" s="22">
        <v>46057</v>
      </c>
      <c r="K60" t="s">
        <v>90</v>
      </c>
      <c r="L60" t="s">
        <v>113</v>
      </c>
    </row>
    <row r="61" spans="1:14" ht="15" customHeight="1" x14ac:dyDescent="0.35">
      <c r="A61" t="s">
        <v>241</v>
      </c>
      <c r="B61" t="s">
        <v>203</v>
      </c>
      <c r="C61" t="s">
        <v>204</v>
      </c>
      <c r="D61" t="s">
        <v>88</v>
      </c>
      <c r="E61" t="s">
        <v>118</v>
      </c>
      <c r="F61" t="s">
        <v>119</v>
      </c>
      <c r="G61" t="s">
        <v>82</v>
      </c>
      <c r="H61" s="21">
        <v>618</v>
      </c>
      <c r="I61" s="22">
        <v>45980</v>
      </c>
      <c r="J61" s="22">
        <v>45989</v>
      </c>
      <c r="K61" t="s">
        <v>90</v>
      </c>
      <c r="L61" t="s">
        <v>101</v>
      </c>
    </row>
    <row r="62" spans="1:14" ht="15" customHeight="1" x14ac:dyDescent="0.35">
      <c r="A62" t="s">
        <v>242</v>
      </c>
      <c r="B62" t="s">
        <v>121</v>
      </c>
      <c r="C62" t="s">
        <v>122</v>
      </c>
      <c r="D62" t="s">
        <v>94</v>
      </c>
      <c r="E62" t="s">
        <v>111</v>
      </c>
      <c r="F62" t="s">
        <v>112</v>
      </c>
      <c r="G62" t="s">
        <v>82</v>
      </c>
      <c r="H62" s="21">
        <v>19519</v>
      </c>
      <c r="I62" s="22">
        <v>45752</v>
      </c>
      <c r="J62" s="22">
        <v>45822</v>
      </c>
      <c r="K62" t="s">
        <v>90</v>
      </c>
      <c r="L62" t="s">
        <v>98</v>
      </c>
      <c r="M62">
        <v>10</v>
      </c>
      <c r="N62" t="s">
        <v>114</v>
      </c>
    </row>
    <row r="63" spans="1:14" ht="15" customHeight="1" x14ac:dyDescent="0.35">
      <c r="A63" t="s">
        <v>243</v>
      </c>
      <c r="B63" t="s">
        <v>176</v>
      </c>
      <c r="C63" t="s">
        <v>177</v>
      </c>
      <c r="D63" t="s">
        <v>79</v>
      </c>
      <c r="E63" t="s">
        <v>111</v>
      </c>
      <c r="F63" t="s">
        <v>100</v>
      </c>
      <c r="G63" t="s">
        <v>97</v>
      </c>
      <c r="H63" s="21">
        <v>3999</v>
      </c>
      <c r="I63" s="22">
        <v>46029</v>
      </c>
      <c r="J63" s="22">
        <v>46034</v>
      </c>
      <c r="K63" t="s">
        <v>90</v>
      </c>
      <c r="L63" t="s">
        <v>101</v>
      </c>
      <c r="M63">
        <v>19</v>
      </c>
      <c r="N63" t="s">
        <v>114</v>
      </c>
    </row>
    <row r="64" spans="1:14" ht="15" customHeight="1" x14ac:dyDescent="0.35">
      <c r="A64" t="s">
        <v>244</v>
      </c>
      <c r="B64" t="s">
        <v>195</v>
      </c>
      <c r="C64" t="s">
        <v>196</v>
      </c>
      <c r="D64" t="s">
        <v>79</v>
      </c>
      <c r="E64" t="s">
        <v>118</v>
      </c>
      <c r="F64" t="s">
        <v>119</v>
      </c>
      <c r="G64" t="s">
        <v>82</v>
      </c>
      <c r="H64" s="21">
        <v>1354</v>
      </c>
      <c r="I64" s="22">
        <v>45864</v>
      </c>
      <c r="J64" s="22">
        <v>45869</v>
      </c>
      <c r="K64" t="s">
        <v>90</v>
      </c>
      <c r="L64" t="s">
        <v>125</v>
      </c>
    </row>
    <row r="65" spans="1:14" ht="15" customHeight="1" x14ac:dyDescent="0.35">
      <c r="A65" t="s">
        <v>245</v>
      </c>
      <c r="B65" t="s">
        <v>246</v>
      </c>
      <c r="C65" t="s">
        <v>247</v>
      </c>
      <c r="D65" t="s">
        <v>94</v>
      </c>
      <c r="E65" t="s">
        <v>95</v>
      </c>
      <c r="F65" t="s">
        <v>124</v>
      </c>
      <c r="G65" t="s">
        <v>97</v>
      </c>
      <c r="H65" s="21">
        <v>893</v>
      </c>
      <c r="I65" s="22">
        <v>45918</v>
      </c>
      <c r="J65" s="22">
        <v>45927</v>
      </c>
      <c r="K65" t="s">
        <v>90</v>
      </c>
      <c r="L65" t="s">
        <v>98</v>
      </c>
    </row>
    <row r="66" spans="1:14" ht="15" customHeight="1" x14ac:dyDescent="0.35">
      <c r="A66" t="s">
        <v>248</v>
      </c>
      <c r="B66" t="s">
        <v>185</v>
      </c>
      <c r="C66" t="s">
        <v>186</v>
      </c>
      <c r="D66" t="s">
        <v>94</v>
      </c>
      <c r="E66" t="s">
        <v>95</v>
      </c>
      <c r="F66" t="s">
        <v>148</v>
      </c>
      <c r="G66" t="s">
        <v>97</v>
      </c>
      <c r="H66" s="21">
        <v>1907</v>
      </c>
      <c r="I66" s="22">
        <v>46025</v>
      </c>
      <c r="J66" s="22">
        <v>46095</v>
      </c>
      <c r="K66" t="s">
        <v>90</v>
      </c>
      <c r="L66" t="s">
        <v>138</v>
      </c>
    </row>
    <row r="67" spans="1:14" ht="15" customHeight="1" x14ac:dyDescent="0.35">
      <c r="A67" t="s">
        <v>249</v>
      </c>
      <c r="B67" t="s">
        <v>203</v>
      </c>
      <c r="C67" t="s">
        <v>204</v>
      </c>
      <c r="D67" t="s">
        <v>88</v>
      </c>
      <c r="E67" t="s">
        <v>80</v>
      </c>
      <c r="F67" t="s">
        <v>81</v>
      </c>
      <c r="G67" t="s">
        <v>82</v>
      </c>
      <c r="H67" s="21">
        <v>1772</v>
      </c>
      <c r="I67" s="22">
        <v>45841</v>
      </c>
      <c r="J67" s="22">
        <v>45846</v>
      </c>
      <c r="K67" t="s">
        <v>90</v>
      </c>
      <c r="L67" t="s">
        <v>107</v>
      </c>
    </row>
    <row r="68" spans="1:14" ht="15" customHeight="1" x14ac:dyDescent="0.35">
      <c r="A68" t="s">
        <v>250</v>
      </c>
      <c r="B68" t="s">
        <v>251</v>
      </c>
      <c r="C68" t="s">
        <v>252</v>
      </c>
      <c r="D68" t="s">
        <v>94</v>
      </c>
      <c r="E68" t="s">
        <v>89</v>
      </c>
      <c r="F68" t="s">
        <v>112</v>
      </c>
      <c r="G68" t="s">
        <v>82</v>
      </c>
      <c r="H68" s="21">
        <v>3750</v>
      </c>
      <c r="I68" s="22">
        <v>45938</v>
      </c>
      <c r="J68" s="22">
        <v>45940</v>
      </c>
      <c r="K68" t="s">
        <v>83</v>
      </c>
      <c r="L68" t="s">
        <v>138</v>
      </c>
    </row>
    <row r="69" spans="1:14" ht="15" customHeight="1" x14ac:dyDescent="0.35">
      <c r="A69" t="s">
        <v>253</v>
      </c>
      <c r="B69" t="s">
        <v>135</v>
      </c>
      <c r="C69" t="s">
        <v>136</v>
      </c>
      <c r="D69" t="s">
        <v>94</v>
      </c>
      <c r="E69" t="s">
        <v>95</v>
      </c>
      <c r="F69" t="s">
        <v>112</v>
      </c>
      <c r="G69" t="s">
        <v>82</v>
      </c>
      <c r="H69" s="21">
        <v>1956</v>
      </c>
      <c r="I69" s="22">
        <v>45997</v>
      </c>
      <c r="J69" s="22">
        <v>46002</v>
      </c>
      <c r="K69" t="s">
        <v>83</v>
      </c>
      <c r="L69" t="s">
        <v>84</v>
      </c>
    </row>
    <row r="70" spans="1:14" ht="15" customHeight="1" x14ac:dyDescent="0.35">
      <c r="A70" t="s">
        <v>254</v>
      </c>
      <c r="B70" t="s">
        <v>239</v>
      </c>
      <c r="C70" t="s">
        <v>240</v>
      </c>
      <c r="D70" t="s">
        <v>190</v>
      </c>
      <c r="E70" t="s">
        <v>95</v>
      </c>
      <c r="F70" t="s">
        <v>100</v>
      </c>
      <c r="G70" t="s">
        <v>97</v>
      </c>
      <c r="H70" s="21">
        <v>1939</v>
      </c>
      <c r="I70" s="22">
        <v>45771</v>
      </c>
      <c r="J70" s="22">
        <v>45773</v>
      </c>
      <c r="K70" t="s">
        <v>90</v>
      </c>
      <c r="L70" t="s">
        <v>125</v>
      </c>
    </row>
    <row r="71" spans="1:14" ht="15" customHeight="1" x14ac:dyDescent="0.35">
      <c r="A71" t="s">
        <v>255</v>
      </c>
      <c r="B71" t="s">
        <v>188</v>
      </c>
      <c r="C71" t="s">
        <v>189</v>
      </c>
      <c r="D71" t="s">
        <v>190</v>
      </c>
      <c r="E71" t="s">
        <v>111</v>
      </c>
      <c r="F71" t="s">
        <v>148</v>
      </c>
      <c r="G71" t="s">
        <v>97</v>
      </c>
      <c r="H71" s="21">
        <v>10011</v>
      </c>
      <c r="I71" s="22">
        <v>45767</v>
      </c>
      <c r="J71" s="22">
        <v>45769</v>
      </c>
      <c r="K71" t="s">
        <v>83</v>
      </c>
      <c r="L71" t="s">
        <v>125</v>
      </c>
      <c r="M71">
        <v>2</v>
      </c>
      <c r="N71" t="s">
        <v>114</v>
      </c>
    </row>
    <row r="72" spans="1:14" ht="15" customHeight="1" x14ac:dyDescent="0.35">
      <c r="A72" t="s">
        <v>256</v>
      </c>
      <c r="B72" t="s">
        <v>257</v>
      </c>
      <c r="C72" t="s">
        <v>258</v>
      </c>
      <c r="D72" t="s">
        <v>88</v>
      </c>
      <c r="E72" t="s">
        <v>106</v>
      </c>
      <c r="F72" t="s">
        <v>129</v>
      </c>
      <c r="G72" t="s">
        <v>82</v>
      </c>
      <c r="H72" s="21">
        <v>2318</v>
      </c>
      <c r="I72" s="22">
        <v>45766</v>
      </c>
      <c r="J72" s="22">
        <v>45775</v>
      </c>
      <c r="K72" t="s">
        <v>90</v>
      </c>
      <c r="L72" t="s">
        <v>107</v>
      </c>
    </row>
    <row r="73" spans="1:14" ht="15" customHeight="1" x14ac:dyDescent="0.35">
      <c r="A73" t="s">
        <v>259</v>
      </c>
      <c r="B73" t="s">
        <v>260</v>
      </c>
      <c r="C73" t="s">
        <v>261</v>
      </c>
      <c r="D73" t="s">
        <v>105</v>
      </c>
      <c r="E73" t="s">
        <v>89</v>
      </c>
      <c r="F73" t="s">
        <v>100</v>
      </c>
      <c r="G73" t="s">
        <v>97</v>
      </c>
      <c r="H73" s="21">
        <v>3809</v>
      </c>
      <c r="I73" s="22">
        <v>45842</v>
      </c>
      <c r="J73" s="22">
        <v>45856</v>
      </c>
      <c r="K73" t="s">
        <v>83</v>
      </c>
      <c r="L73" t="s">
        <v>113</v>
      </c>
    </row>
    <row r="74" spans="1:14" ht="15" customHeight="1" x14ac:dyDescent="0.35">
      <c r="A74" t="s">
        <v>262</v>
      </c>
      <c r="B74" t="s">
        <v>263</v>
      </c>
      <c r="C74" t="s">
        <v>264</v>
      </c>
      <c r="D74" t="s">
        <v>94</v>
      </c>
      <c r="E74" t="s">
        <v>172</v>
      </c>
      <c r="F74" t="s">
        <v>112</v>
      </c>
      <c r="G74" t="s">
        <v>82</v>
      </c>
      <c r="H74" s="21">
        <v>2240</v>
      </c>
      <c r="I74" s="22">
        <v>46013</v>
      </c>
      <c r="J74" s="22">
        <v>46018</v>
      </c>
      <c r="K74" t="s">
        <v>90</v>
      </c>
      <c r="L74" t="s">
        <v>84</v>
      </c>
    </row>
    <row r="75" spans="1:14" ht="15" customHeight="1" x14ac:dyDescent="0.35">
      <c r="A75" t="s">
        <v>265</v>
      </c>
      <c r="B75" t="s">
        <v>140</v>
      </c>
      <c r="C75" t="s">
        <v>141</v>
      </c>
      <c r="D75" t="s">
        <v>88</v>
      </c>
      <c r="E75" t="s">
        <v>111</v>
      </c>
      <c r="F75" t="s">
        <v>96</v>
      </c>
      <c r="G75" t="s">
        <v>97</v>
      </c>
      <c r="H75" s="21">
        <v>3816</v>
      </c>
      <c r="I75" s="22">
        <v>46046</v>
      </c>
      <c r="J75" s="22">
        <v>46060</v>
      </c>
      <c r="K75" t="s">
        <v>90</v>
      </c>
      <c r="L75" t="s">
        <v>107</v>
      </c>
      <c r="M75">
        <v>14</v>
      </c>
      <c r="N75" t="s">
        <v>266</v>
      </c>
    </row>
    <row r="76" spans="1:14" ht="15" customHeight="1" x14ac:dyDescent="0.35">
      <c r="A76" t="s">
        <v>267</v>
      </c>
      <c r="B76" t="s">
        <v>268</v>
      </c>
      <c r="C76" t="s">
        <v>269</v>
      </c>
      <c r="D76" t="s">
        <v>88</v>
      </c>
      <c r="E76" t="s">
        <v>89</v>
      </c>
      <c r="F76" t="s">
        <v>96</v>
      </c>
      <c r="G76" t="s">
        <v>97</v>
      </c>
      <c r="H76" s="21">
        <v>4524</v>
      </c>
      <c r="I76" s="22">
        <v>45893</v>
      </c>
      <c r="J76" s="22">
        <v>45895</v>
      </c>
      <c r="K76" t="s">
        <v>90</v>
      </c>
      <c r="L76" t="s">
        <v>101</v>
      </c>
    </row>
    <row r="77" spans="1:14" ht="15" customHeight="1" x14ac:dyDescent="0.35">
      <c r="A77" t="s">
        <v>270</v>
      </c>
      <c r="B77" t="s">
        <v>263</v>
      </c>
      <c r="C77" t="s">
        <v>264</v>
      </c>
      <c r="D77" t="s">
        <v>94</v>
      </c>
      <c r="E77" t="s">
        <v>80</v>
      </c>
      <c r="F77" t="s">
        <v>81</v>
      </c>
      <c r="G77" t="s">
        <v>82</v>
      </c>
      <c r="H77" s="21">
        <v>1961</v>
      </c>
      <c r="I77" s="22">
        <v>45815</v>
      </c>
      <c r="J77" s="22">
        <v>45820</v>
      </c>
      <c r="K77" t="s">
        <v>90</v>
      </c>
      <c r="L77" t="s">
        <v>125</v>
      </c>
    </row>
    <row r="78" spans="1:14" ht="15" customHeight="1" x14ac:dyDescent="0.35">
      <c r="A78" t="s">
        <v>271</v>
      </c>
      <c r="B78" t="s">
        <v>158</v>
      </c>
      <c r="C78" t="s">
        <v>159</v>
      </c>
      <c r="D78" t="s">
        <v>94</v>
      </c>
      <c r="E78" t="s">
        <v>95</v>
      </c>
      <c r="F78" t="s">
        <v>81</v>
      </c>
      <c r="G78" t="s">
        <v>82</v>
      </c>
      <c r="H78" s="21">
        <v>1195</v>
      </c>
      <c r="I78" s="22">
        <v>45863</v>
      </c>
      <c r="J78" s="22">
        <v>45872</v>
      </c>
      <c r="K78" t="s">
        <v>90</v>
      </c>
      <c r="L78" t="s">
        <v>113</v>
      </c>
    </row>
    <row r="79" spans="1:14" ht="15" customHeight="1" x14ac:dyDescent="0.35">
      <c r="A79" t="s">
        <v>272</v>
      </c>
      <c r="B79" t="s">
        <v>273</v>
      </c>
      <c r="C79" t="s">
        <v>274</v>
      </c>
      <c r="D79" t="s">
        <v>88</v>
      </c>
      <c r="E79" t="s">
        <v>80</v>
      </c>
      <c r="F79" t="s">
        <v>119</v>
      </c>
      <c r="G79" t="s">
        <v>82</v>
      </c>
      <c r="H79" s="21">
        <v>1426</v>
      </c>
      <c r="I79" s="22">
        <v>45813</v>
      </c>
      <c r="J79" s="22">
        <v>45822</v>
      </c>
      <c r="K79" t="s">
        <v>90</v>
      </c>
      <c r="L79" t="s">
        <v>101</v>
      </c>
    </row>
    <row r="80" spans="1:14" ht="15" customHeight="1" x14ac:dyDescent="0.35">
      <c r="A80" t="s">
        <v>275</v>
      </c>
      <c r="B80" t="s">
        <v>154</v>
      </c>
      <c r="C80" t="s">
        <v>155</v>
      </c>
      <c r="D80" t="s">
        <v>94</v>
      </c>
      <c r="E80" t="s">
        <v>95</v>
      </c>
      <c r="F80" t="s">
        <v>124</v>
      </c>
      <c r="G80" t="s">
        <v>97</v>
      </c>
      <c r="H80" s="21">
        <v>2148</v>
      </c>
      <c r="I80" s="22">
        <v>45952</v>
      </c>
      <c r="J80" s="22">
        <v>45961</v>
      </c>
      <c r="K80" t="s">
        <v>90</v>
      </c>
      <c r="L80" t="s">
        <v>125</v>
      </c>
    </row>
    <row r="81" spans="1:14" ht="15" customHeight="1" x14ac:dyDescent="0.35">
      <c r="A81" t="s">
        <v>276</v>
      </c>
      <c r="B81" t="s">
        <v>200</v>
      </c>
      <c r="C81" t="s">
        <v>201</v>
      </c>
      <c r="D81" t="s">
        <v>94</v>
      </c>
      <c r="E81" t="s">
        <v>123</v>
      </c>
      <c r="F81" t="s">
        <v>96</v>
      </c>
      <c r="G81" t="s">
        <v>97</v>
      </c>
      <c r="H81" s="21">
        <v>11136</v>
      </c>
      <c r="I81" s="22">
        <v>46026</v>
      </c>
      <c r="J81" s="22">
        <v>46031</v>
      </c>
      <c r="K81" t="s">
        <v>90</v>
      </c>
      <c r="L81" t="s">
        <v>101</v>
      </c>
    </row>
    <row r="82" spans="1:14" ht="15" customHeight="1" x14ac:dyDescent="0.35">
      <c r="A82" t="s">
        <v>277</v>
      </c>
      <c r="B82" t="s">
        <v>109</v>
      </c>
      <c r="C82" t="s">
        <v>110</v>
      </c>
      <c r="D82" t="s">
        <v>79</v>
      </c>
      <c r="E82" t="s">
        <v>95</v>
      </c>
      <c r="F82" t="s">
        <v>112</v>
      </c>
      <c r="G82" t="s">
        <v>82</v>
      </c>
      <c r="H82" s="21">
        <v>1806</v>
      </c>
      <c r="I82" s="22">
        <v>45761</v>
      </c>
      <c r="J82" s="22">
        <v>45781</v>
      </c>
      <c r="K82" t="s">
        <v>83</v>
      </c>
      <c r="L82" t="s">
        <v>125</v>
      </c>
    </row>
    <row r="83" spans="1:14" ht="15" customHeight="1" x14ac:dyDescent="0.35">
      <c r="A83" t="s">
        <v>278</v>
      </c>
      <c r="B83" t="s">
        <v>279</v>
      </c>
      <c r="C83" t="s">
        <v>280</v>
      </c>
      <c r="D83" t="s">
        <v>190</v>
      </c>
      <c r="E83" t="s">
        <v>80</v>
      </c>
      <c r="F83" t="s">
        <v>112</v>
      </c>
      <c r="G83" t="s">
        <v>82</v>
      </c>
      <c r="H83" s="21">
        <v>1658</v>
      </c>
      <c r="I83" s="22">
        <v>46048</v>
      </c>
      <c r="J83" s="22">
        <v>46057</v>
      </c>
      <c r="K83" t="s">
        <v>83</v>
      </c>
      <c r="L83" t="s">
        <v>101</v>
      </c>
    </row>
    <row r="84" spans="1:14" ht="15" customHeight="1" x14ac:dyDescent="0.35">
      <c r="A84" t="s">
        <v>281</v>
      </c>
      <c r="B84" t="s">
        <v>279</v>
      </c>
      <c r="C84" t="s">
        <v>280</v>
      </c>
      <c r="D84" t="s">
        <v>190</v>
      </c>
      <c r="E84" t="s">
        <v>80</v>
      </c>
      <c r="F84" t="s">
        <v>81</v>
      </c>
      <c r="G84" t="s">
        <v>82</v>
      </c>
      <c r="H84" s="21">
        <v>439</v>
      </c>
      <c r="I84" s="22">
        <v>45867</v>
      </c>
      <c r="J84" s="22">
        <v>45872</v>
      </c>
      <c r="K84" t="s">
        <v>83</v>
      </c>
      <c r="L84" t="s">
        <v>138</v>
      </c>
    </row>
    <row r="85" spans="1:14" ht="15" customHeight="1" x14ac:dyDescent="0.35">
      <c r="A85" t="s">
        <v>282</v>
      </c>
      <c r="B85" t="s">
        <v>239</v>
      </c>
      <c r="C85" t="s">
        <v>240</v>
      </c>
      <c r="D85" t="s">
        <v>190</v>
      </c>
      <c r="E85" t="s">
        <v>172</v>
      </c>
      <c r="F85" t="s">
        <v>129</v>
      </c>
      <c r="G85" t="s">
        <v>82</v>
      </c>
      <c r="H85" s="21">
        <v>2611</v>
      </c>
      <c r="I85" s="22">
        <v>45989</v>
      </c>
      <c r="J85" s="22">
        <v>45991</v>
      </c>
      <c r="K85" t="s">
        <v>83</v>
      </c>
      <c r="L85" t="s">
        <v>113</v>
      </c>
    </row>
    <row r="86" spans="1:14" ht="15" customHeight="1" x14ac:dyDescent="0.35">
      <c r="A86" t="s">
        <v>283</v>
      </c>
      <c r="B86" t="s">
        <v>109</v>
      </c>
      <c r="C86" t="s">
        <v>110</v>
      </c>
      <c r="D86" t="s">
        <v>79</v>
      </c>
      <c r="E86" t="s">
        <v>95</v>
      </c>
      <c r="F86" t="s">
        <v>119</v>
      </c>
      <c r="G86" t="s">
        <v>82</v>
      </c>
      <c r="H86" s="21">
        <v>999</v>
      </c>
      <c r="I86" s="22">
        <v>46066</v>
      </c>
      <c r="J86" s="22">
        <v>46071</v>
      </c>
      <c r="K86" t="s">
        <v>90</v>
      </c>
      <c r="L86" t="s">
        <v>107</v>
      </c>
    </row>
    <row r="87" spans="1:14" ht="15" customHeight="1" x14ac:dyDescent="0.35">
      <c r="A87" t="s">
        <v>284</v>
      </c>
      <c r="B87" t="s">
        <v>285</v>
      </c>
      <c r="C87" t="s">
        <v>286</v>
      </c>
      <c r="D87" t="s">
        <v>79</v>
      </c>
      <c r="E87" t="s">
        <v>80</v>
      </c>
      <c r="F87" t="s">
        <v>112</v>
      </c>
      <c r="G87" t="s">
        <v>82</v>
      </c>
      <c r="H87" s="21">
        <v>449</v>
      </c>
      <c r="I87" s="22">
        <v>45940</v>
      </c>
      <c r="J87" s="22">
        <v>45949</v>
      </c>
      <c r="K87" t="s">
        <v>90</v>
      </c>
      <c r="L87" t="s">
        <v>101</v>
      </c>
    </row>
    <row r="88" spans="1:14" ht="15" customHeight="1" x14ac:dyDescent="0.35">
      <c r="A88" t="s">
        <v>287</v>
      </c>
      <c r="B88" t="s">
        <v>192</v>
      </c>
      <c r="C88" t="s">
        <v>193</v>
      </c>
      <c r="D88" t="s">
        <v>94</v>
      </c>
      <c r="E88" t="s">
        <v>111</v>
      </c>
      <c r="F88" t="s">
        <v>124</v>
      </c>
      <c r="G88" t="s">
        <v>97</v>
      </c>
      <c r="H88" s="21">
        <v>12710</v>
      </c>
      <c r="I88" s="22">
        <v>45840</v>
      </c>
      <c r="J88" s="22">
        <v>45845</v>
      </c>
      <c r="K88" t="s">
        <v>90</v>
      </c>
      <c r="L88" t="s">
        <v>113</v>
      </c>
      <c r="M88">
        <v>4</v>
      </c>
      <c r="N88" t="s">
        <v>266</v>
      </c>
    </row>
    <row r="89" spans="1:14" ht="15" customHeight="1" x14ac:dyDescent="0.35">
      <c r="A89" t="s">
        <v>288</v>
      </c>
      <c r="B89" t="s">
        <v>289</v>
      </c>
      <c r="C89" t="s">
        <v>290</v>
      </c>
      <c r="D89" t="s">
        <v>88</v>
      </c>
      <c r="E89" t="s">
        <v>80</v>
      </c>
      <c r="F89" t="s">
        <v>119</v>
      </c>
      <c r="G89" t="s">
        <v>82</v>
      </c>
      <c r="H89" s="21">
        <v>2092</v>
      </c>
      <c r="I89" s="22">
        <v>45821</v>
      </c>
      <c r="J89" s="22">
        <v>45830</v>
      </c>
      <c r="K89" t="s">
        <v>90</v>
      </c>
      <c r="L89" t="s">
        <v>138</v>
      </c>
    </row>
    <row r="90" spans="1:14" ht="15" customHeight="1" x14ac:dyDescent="0.35">
      <c r="A90" t="s">
        <v>291</v>
      </c>
      <c r="B90" t="s">
        <v>132</v>
      </c>
      <c r="C90" t="s">
        <v>133</v>
      </c>
      <c r="D90" t="s">
        <v>88</v>
      </c>
      <c r="E90" t="s">
        <v>80</v>
      </c>
      <c r="F90" t="s">
        <v>124</v>
      </c>
      <c r="G90" t="s">
        <v>97</v>
      </c>
      <c r="H90" s="21">
        <v>876</v>
      </c>
      <c r="I90" s="22">
        <v>46008</v>
      </c>
      <c r="J90" s="22">
        <v>46022</v>
      </c>
      <c r="K90" t="s">
        <v>90</v>
      </c>
      <c r="L90" t="s">
        <v>98</v>
      </c>
    </row>
    <row r="91" spans="1:14" ht="15" customHeight="1" x14ac:dyDescent="0.35">
      <c r="A91" t="s">
        <v>292</v>
      </c>
      <c r="B91" t="s">
        <v>293</v>
      </c>
      <c r="C91" t="s">
        <v>294</v>
      </c>
      <c r="D91" t="s">
        <v>94</v>
      </c>
      <c r="E91" t="s">
        <v>172</v>
      </c>
      <c r="F91" t="s">
        <v>81</v>
      </c>
      <c r="G91" t="s">
        <v>82</v>
      </c>
      <c r="H91" s="21">
        <v>4252</v>
      </c>
      <c r="I91" s="22">
        <v>45806</v>
      </c>
      <c r="J91" s="22">
        <v>45808</v>
      </c>
      <c r="K91" t="s">
        <v>90</v>
      </c>
      <c r="L91" t="s">
        <v>101</v>
      </c>
    </row>
    <row r="92" spans="1:14" ht="15" customHeight="1" x14ac:dyDescent="0.35">
      <c r="A92" t="s">
        <v>295</v>
      </c>
      <c r="B92" t="s">
        <v>203</v>
      </c>
      <c r="C92" t="s">
        <v>204</v>
      </c>
      <c r="D92" t="s">
        <v>88</v>
      </c>
      <c r="E92" t="s">
        <v>95</v>
      </c>
      <c r="F92" t="s">
        <v>148</v>
      </c>
      <c r="G92" t="s">
        <v>97</v>
      </c>
      <c r="H92" s="21">
        <v>1689</v>
      </c>
      <c r="I92" s="22">
        <v>45831</v>
      </c>
      <c r="J92" s="22">
        <v>45836</v>
      </c>
      <c r="K92" t="s">
        <v>90</v>
      </c>
      <c r="L92" t="s">
        <v>107</v>
      </c>
    </row>
    <row r="93" spans="1:14" ht="15" customHeight="1" x14ac:dyDescent="0.35">
      <c r="A93" t="s">
        <v>296</v>
      </c>
      <c r="B93" t="s">
        <v>297</v>
      </c>
      <c r="C93" t="s">
        <v>298</v>
      </c>
      <c r="D93" t="s">
        <v>88</v>
      </c>
      <c r="E93" t="s">
        <v>80</v>
      </c>
      <c r="F93" t="s">
        <v>100</v>
      </c>
      <c r="G93" t="s">
        <v>97</v>
      </c>
      <c r="H93" s="21">
        <v>1155</v>
      </c>
      <c r="I93" s="22">
        <v>45903</v>
      </c>
      <c r="J93" s="22">
        <v>45908</v>
      </c>
      <c r="K93" t="s">
        <v>90</v>
      </c>
      <c r="L93" t="s">
        <v>107</v>
      </c>
    </row>
    <row r="94" spans="1:14" ht="15" customHeight="1" x14ac:dyDescent="0.35">
      <c r="A94" t="s">
        <v>299</v>
      </c>
      <c r="B94" t="s">
        <v>224</v>
      </c>
      <c r="C94" t="s">
        <v>225</v>
      </c>
      <c r="D94" t="s">
        <v>79</v>
      </c>
      <c r="E94" t="s">
        <v>80</v>
      </c>
      <c r="F94" t="s">
        <v>124</v>
      </c>
      <c r="G94" t="s">
        <v>97</v>
      </c>
      <c r="H94" s="21">
        <v>1464</v>
      </c>
      <c r="I94" s="22">
        <v>45891</v>
      </c>
      <c r="J94" s="22">
        <v>45896</v>
      </c>
      <c r="K94" t="s">
        <v>90</v>
      </c>
      <c r="L94" t="s">
        <v>138</v>
      </c>
    </row>
    <row r="95" spans="1:14" ht="15" customHeight="1" x14ac:dyDescent="0.35">
      <c r="A95" t="s">
        <v>300</v>
      </c>
      <c r="B95" t="s">
        <v>185</v>
      </c>
      <c r="C95" t="s">
        <v>186</v>
      </c>
      <c r="D95" t="s">
        <v>94</v>
      </c>
      <c r="E95" t="s">
        <v>89</v>
      </c>
      <c r="F95" t="s">
        <v>81</v>
      </c>
      <c r="G95" t="s">
        <v>82</v>
      </c>
      <c r="H95" s="21">
        <v>12175</v>
      </c>
      <c r="I95" s="22">
        <v>45775</v>
      </c>
      <c r="J95" s="22">
        <v>45784</v>
      </c>
      <c r="K95" t="s">
        <v>90</v>
      </c>
      <c r="L95" t="s">
        <v>107</v>
      </c>
    </row>
    <row r="96" spans="1:14" ht="15" customHeight="1" x14ac:dyDescent="0.35">
      <c r="A96" t="s">
        <v>301</v>
      </c>
      <c r="B96" t="s">
        <v>121</v>
      </c>
      <c r="C96" t="s">
        <v>122</v>
      </c>
      <c r="D96" t="s">
        <v>94</v>
      </c>
      <c r="E96" t="s">
        <v>95</v>
      </c>
      <c r="F96" t="s">
        <v>124</v>
      </c>
      <c r="G96" t="s">
        <v>97</v>
      </c>
      <c r="H96" s="21">
        <v>1410</v>
      </c>
      <c r="I96" s="22">
        <v>45986</v>
      </c>
      <c r="J96" s="22">
        <v>45995</v>
      </c>
      <c r="K96" t="s">
        <v>83</v>
      </c>
      <c r="L96" t="s">
        <v>84</v>
      </c>
    </row>
    <row r="97" spans="1:14" ht="15" customHeight="1" x14ac:dyDescent="0.35">
      <c r="A97" t="s">
        <v>302</v>
      </c>
      <c r="B97" t="s">
        <v>92</v>
      </c>
      <c r="C97" t="s">
        <v>93</v>
      </c>
      <c r="D97" t="s">
        <v>94</v>
      </c>
      <c r="E97" t="s">
        <v>111</v>
      </c>
      <c r="F97" t="s">
        <v>148</v>
      </c>
      <c r="G97" t="s">
        <v>97</v>
      </c>
      <c r="H97" s="21">
        <v>7336</v>
      </c>
      <c r="I97" s="22">
        <v>46059</v>
      </c>
      <c r="J97" s="22">
        <v>46073</v>
      </c>
      <c r="K97" t="s">
        <v>90</v>
      </c>
      <c r="L97" t="s">
        <v>138</v>
      </c>
      <c r="M97">
        <v>11</v>
      </c>
      <c r="N97" t="s">
        <v>114</v>
      </c>
    </row>
    <row r="98" spans="1:14" ht="15" customHeight="1" x14ac:dyDescent="0.35">
      <c r="A98" t="s">
        <v>303</v>
      </c>
      <c r="B98" t="s">
        <v>135</v>
      </c>
      <c r="C98" t="s">
        <v>136</v>
      </c>
      <c r="D98" t="s">
        <v>94</v>
      </c>
      <c r="E98" t="s">
        <v>123</v>
      </c>
      <c r="F98" t="s">
        <v>81</v>
      </c>
      <c r="G98" t="s">
        <v>82</v>
      </c>
      <c r="H98" s="21">
        <v>11282</v>
      </c>
      <c r="I98" s="22">
        <v>46017</v>
      </c>
      <c r="J98" s="22">
        <v>46026</v>
      </c>
      <c r="K98" t="s">
        <v>83</v>
      </c>
      <c r="L98" t="s">
        <v>130</v>
      </c>
    </row>
    <row r="99" spans="1:14" ht="15" customHeight="1" x14ac:dyDescent="0.35">
      <c r="A99" t="s">
        <v>304</v>
      </c>
      <c r="B99" t="s">
        <v>121</v>
      </c>
      <c r="C99" t="s">
        <v>122</v>
      </c>
      <c r="D99" t="s">
        <v>94</v>
      </c>
      <c r="E99" t="s">
        <v>123</v>
      </c>
      <c r="F99" t="s">
        <v>129</v>
      </c>
      <c r="G99" t="s">
        <v>82</v>
      </c>
      <c r="H99" s="21">
        <v>7601</v>
      </c>
      <c r="I99" s="22">
        <v>45871</v>
      </c>
      <c r="J99" s="22">
        <v>45880</v>
      </c>
      <c r="K99" t="s">
        <v>90</v>
      </c>
      <c r="L99" t="s">
        <v>138</v>
      </c>
    </row>
    <row r="100" spans="1:14" ht="15" customHeight="1" x14ac:dyDescent="0.35">
      <c r="A100" t="s">
        <v>305</v>
      </c>
      <c r="B100" t="s">
        <v>306</v>
      </c>
      <c r="C100" t="s">
        <v>307</v>
      </c>
      <c r="D100" t="s">
        <v>88</v>
      </c>
      <c r="E100" t="s">
        <v>172</v>
      </c>
      <c r="F100" t="s">
        <v>100</v>
      </c>
      <c r="G100" t="s">
        <v>97</v>
      </c>
      <c r="H100" s="21">
        <v>1196</v>
      </c>
      <c r="I100" s="22">
        <v>45999</v>
      </c>
      <c r="J100" s="22">
        <v>46019</v>
      </c>
      <c r="K100" t="s">
        <v>90</v>
      </c>
      <c r="L100" t="s">
        <v>98</v>
      </c>
    </row>
    <row r="101" spans="1:14" ht="15" customHeight="1" x14ac:dyDescent="0.35">
      <c r="A101" t="s">
        <v>308</v>
      </c>
      <c r="B101" t="s">
        <v>263</v>
      </c>
      <c r="C101" t="s">
        <v>264</v>
      </c>
      <c r="D101" t="s">
        <v>94</v>
      </c>
      <c r="E101" t="s">
        <v>89</v>
      </c>
      <c r="F101" t="s">
        <v>124</v>
      </c>
      <c r="G101" t="s">
        <v>97</v>
      </c>
      <c r="H101" s="21">
        <v>6360</v>
      </c>
      <c r="I101" s="22">
        <v>45764</v>
      </c>
      <c r="J101" s="22">
        <v>45773</v>
      </c>
      <c r="K101" t="s">
        <v>83</v>
      </c>
      <c r="L101" t="s">
        <v>130</v>
      </c>
    </row>
    <row r="102" spans="1:14" ht="15" customHeight="1" x14ac:dyDescent="0.35">
      <c r="A102" t="s">
        <v>309</v>
      </c>
      <c r="B102" t="s">
        <v>127</v>
      </c>
      <c r="C102" t="s">
        <v>128</v>
      </c>
      <c r="D102" t="s">
        <v>88</v>
      </c>
      <c r="E102" t="s">
        <v>95</v>
      </c>
      <c r="F102" t="s">
        <v>112</v>
      </c>
      <c r="G102" t="s">
        <v>82</v>
      </c>
      <c r="H102" s="21">
        <v>556</v>
      </c>
      <c r="I102" s="22">
        <v>46057</v>
      </c>
      <c r="J102" s="22">
        <v>46059</v>
      </c>
      <c r="K102" t="s">
        <v>90</v>
      </c>
      <c r="L102" t="s">
        <v>130</v>
      </c>
    </row>
    <row r="103" spans="1:14" ht="15" customHeight="1" x14ac:dyDescent="0.35">
      <c r="A103" t="s">
        <v>310</v>
      </c>
      <c r="B103" t="s">
        <v>206</v>
      </c>
      <c r="C103" t="s">
        <v>207</v>
      </c>
      <c r="D103" t="s">
        <v>88</v>
      </c>
      <c r="E103" t="s">
        <v>95</v>
      </c>
      <c r="F103" t="s">
        <v>81</v>
      </c>
      <c r="G103" t="s">
        <v>82</v>
      </c>
      <c r="H103" s="21">
        <v>1302</v>
      </c>
      <c r="I103" s="22">
        <v>45956</v>
      </c>
      <c r="J103" s="22">
        <v>45965</v>
      </c>
      <c r="K103" t="s">
        <v>90</v>
      </c>
      <c r="L103" t="s">
        <v>130</v>
      </c>
    </row>
    <row r="104" spans="1:14" ht="15" customHeight="1" x14ac:dyDescent="0.35">
      <c r="A104" t="s">
        <v>311</v>
      </c>
      <c r="B104" t="s">
        <v>109</v>
      </c>
      <c r="C104" t="s">
        <v>110</v>
      </c>
      <c r="D104" t="s">
        <v>79</v>
      </c>
      <c r="E104" t="s">
        <v>80</v>
      </c>
      <c r="F104" t="s">
        <v>81</v>
      </c>
      <c r="G104" t="s">
        <v>82</v>
      </c>
      <c r="H104" s="21">
        <v>1637</v>
      </c>
      <c r="I104" s="22">
        <v>45968</v>
      </c>
      <c r="J104" s="22">
        <v>45973</v>
      </c>
      <c r="K104" t="s">
        <v>90</v>
      </c>
      <c r="L104" t="s">
        <v>84</v>
      </c>
    </row>
    <row r="105" spans="1:14" ht="15" customHeight="1" x14ac:dyDescent="0.35">
      <c r="A105" t="s">
        <v>312</v>
      </c>
      <c r="B105" t="s">
        <v>251</v>
      </c>
      <c r="C105" t="s">
        <v>252</v>
      </c>
      <c r="D105" t="s">
        <v>94</v>
      </c>
      <c r="E105" t="s">
        <v>80</v>
      </c>
      <c r="F105" t="s">
        <v>81</v>
      </c>
      <c r="G105" t="s">
        <v>82</v>
      </c>
      <c r="H105" s="21">
        <v>783</v>
      </c>
      <c r="I105" s="22">
        <v>45932</v>
      </c>
      <c r="J105" s="22">
        <v>45934</v>
      </c>
      <c r="K105" t="s">
        <v>90</v>
      </c>
      <c r="L105" t="s">
        <v>98</v>
      </c>
    </row>
    <row r="106" spans="1:14" ht="15" customHeight="1" x14ac:dyDescent="0.35">
      <c r="A106" t="s">
        <v>313</v>
      </c>
      <c r="B106" t="s">
        <v>293</v>
      </c>
      <c r="C106" t="s">
        <v>294</v>
      </c>
      <c r="D106" t="s">
        <v>94</v>
      </c>
      <c r="E106" t="s">
        <v>172</v>
      </c>
      <c r="F106" t="s">
        <v>100</v>
      </c>
      <c r="G106" t="s">
        <v>97</v>
      </c>
      <c r="H106" s="21">
        <v>1957</v>
      </c>
      <c r="I106" s="22">
        <v>45896</v>
      </c>
      <c r="J106" s="22">
        <v>45901</v>
      </c>
      <c r="K106" t="s">
        <v>90</v>
      </c>
      <c r="L106" t="s">
        <v>130</v>
      </c>
    </row>
    <row r="107" spans="1:14" ht="15" customHeight="1" x14ac:dyDescent="0.35">
      <c r="A107" t="s">
        <v>314</v>
      </c>
      <c r="B107" t="s">
        <v>92</v>
      </c>
      <c r="C107" t="s">
        <v>93</v>
      </c>
      <c r="D107" t="s">
        <v>94</v>
      </c>
      <c r="E107" t="s">
        <v>111</v>
      </c>
      <c r="F107" t="s">
        <v>124</v>
      </c>
      <c r="G107" t="s">
        <v>97</v>
      </c>
      <c r="H107" s="21">
        <v>3662</v>
      </c>
      <c r="I107" s="22">
        <v>45824</v>
      </c>
      <c r="J107" s="22">
        <v>45844</v>
      </c>
      <c r="K107" t="s">
        <v>90</v>
      </c>
      <c r="L107" t="s">
        <v>84</v>
      </c>
      <c r="M107">
        <v>4</v>
      </c>
      <c r="N107" t="s">
        <v>114</v>
      </c>
    </row>
    <row r="108" spans="1:14" ht="15" customHeight="1" x14ac:dyDescent="0.35">
      <c r="A108" t="s">
        <v>315</v>
      </c>
      <c r="B108" t="s">
        <v>316</v>
      </c>
      <c r="C108" t="s">
        <v>317</v>
      </c>
      <c r="D108" t="s">
        <v>88</v>
      </c>
      <c r="E108" t="s">
        <v>111</v>
      </c>
      <c r="F108" t="s">
        <v>124</v>
      </c>
      <c r="G108" t="s">
        <v>97</v>
      </c>
      <c r="H108" s="21">
        <v>10475</v>
      </c>
      <c r="I108" s="22">
        <v>45958</v>
      </c>
      <c r="J108" s="22">
        <v>45963</v>
      </c>
      <c r="K108" t="s">
        <v>83</v>
      </c>
      <c r="L108" t="s">
        <v>138</v>
      </c>
      <c r="M108">
        <v>4</v>
      </c>
      <c r="N108" t="s">
        <v>114</v>
      </c>
    </row>
    <row r="109" spans="1:14" ht="15" customHeight="1" x14ac:dyDescent="0.35">
      <c r="A109" t="s">
        <v>318</v>
      </c>
      <c r="B109" t="s">
        <v>212</v>
      </c>
      <c r="C109" t="s">
        <v>213</v>
      </c>
      <c r="D109" t="s">
        <v>94</v>
      </c>
      <c r="E109" t="s">
        <v>118</v>
      </c>
      <c r="F109" t="s">
        <v>124</v>
      </c>
      <c r="G109" t="s">
        <v>97</v>
      </c>
      <c r="H109" s="21">
        <v>1368</v>
      </c>
      <c r="I109" s="22">
        <v>45886</v>
      </c>
      <c r="J109" s="22">
        <v>45888</v>
      </c>
      <c r="K109" t="s">
        <v>90</v>
      </c>
      <c r="L109" t="s">
        <v>84</v>
      </c>
    </row>
    <row r="110" spans="1:14" ht="15" customHeight="1" x14ac:dyDescent="0.35">
      <c r="A110" t="s">
        <v>319</v>
      </c>
      <c r="B110" t="s">
        <v>257</v>
      </c>
      <c r="C110" t="s">
        <v>258</v>
      </c>
      <c r="D110" t="s">
        <v>88</v>
      </c>
      <c r="E110" t="s">
        <v>80</v>
      </c>
      <c r="F110" t="s">
        <v>119</v>
      </c>
      <c r="G110" t="s">
        <v>82</v>
      </c>
      <c r="H110" s="21">
        <v>1393</v>
      </c>
      <c r="I110" s="22">
        <v>46045</v>
      </c>
      <c r="J110" s="22">
        <v>46050</v>
      </c>
      <c r="K110" t="s">
        <v>90</v>
      </c>
      <c r="L110" t="s">
        <v>138</v>
      </c>
    </row>
    <row r="111" spans="1:14" ht="15" customHeight="1" x14ac:dyDescent="0.35">
      <c r="A111" t="s">
        <v>320</v>
      </c>
      <c r="B111" t="s">
        <v>164</v>
      </c>
      <c r="C111" t="s">
        <v>165</v>
      </c>
      <c r="D111" t="s">
        <v>94</v>
      </c>
      <c r="E111" t="s">
        <v>80</v>
      </c>
      <c r="F111" t="s">
        <v>124</v>
      </c>
      <c r="G111" t="s">
        <v>97</v>
      </c>
      <c r="H111" s="21">
        <v>612</v>
      </c>
      <c r="I111" s="22">
        <v>45796</v>
      </c>
      <c r="J111" s="22">
        <v>45805</v>
      </c>
      <c r="K111" t="s">
        <v>83</v>
      </c>
      <c r="L111" t="s">
        <v>98</v>
      </c>
    </row>
    <row r="112" spans="1:14" ht="15" customHeight="1" x14ac:dyDescent="0.35">
      <c r="A112" t="s">
        <v>321</v>
      </c>
      <c r="B112" t="s">
        <v>135</v>
      </c>
      <c r="C112" t="s">
        <v>136</v>
      </c>
      <c r="D112" t="s">
        <v>94</v>
      </c>
      <c r="E112" t="s">
        <v>89</v>
      </c>
      <c r="F112" t="s">
        <v>81</v>
      </c>
      <c r="G112" t="s">
        <v>82</v>
      </c>
      <c r="H112" s="21">
        <v>10179</v>
      </c>
      <c r="I112" s="22">
        <v>45890</v>
      </c>
      <c r="J112" s="22">
        <v>45895</v>
      </c>
      <c r="K112" t="s">
        <v>90</v>
      </c>
      <c r="L112" t="s">
        <v>84</v>
      </c>
    </row>
    <row r="113" spans="1:14" ht="15" customHeight="1" x14ac:dyDescent="0.35">
      <c r="A113" t="s">
        <v>322</v>
      </c>
      <c r="B113" t="s">
        <v>323</v>
      </c>
      <c r="C113" t="s">
        <v>324</v>
      </c>
      <c r="D113" t="s">
        <v>190</v>
      </c>
      <c r="E113" t="s">
        <v>118</v>
      </c>
      <c r="F113" t="s">
        <v>148</v>
      </c>
      <c r="G113" t="s">
        <v>97</v>
      </c>
      <c r="H113" s="21">
        <v>843</v>
      </c>
      <c r="I113" s="22">
        <v>45883</v>
      </c>
      <c r="J113" s="22">
        <v>45892</v>
      </c>
      <c r="K113" t="s">
        <v>90</v>
      </c>
      <c r="L113" t="s">
        <v>113</v>
      </c>
    </row>
    <row r="114" spans="1:14" ht="15" customHeight="1" x14ac:dyDescent="0.35">
      <c r="A114" t="s">
        <v>325</v>
      </c>
      <c r="B114" t="s">
        <v>326</v>
      </c>
      <c r="C114" t="s">
        <v>327</v>
      </c>
      <c r="D114" t="s">
        <v>94</v>
      </c>
      <c r="E114" t="s">
        <v>80</v>
      </c>
      <c r="F114" t="s">
        <v>119</v>
      </c>
      <c r="G114" t="s">
        <v>82</v>
      </c>
      <c r="H114" s="21">
        <v>1550</v>
      </c>
      <c r="I114" s="22">
        <v>46020</v>
      </c>
      <c r="J114" s="22">
        <v>46022</v>
      </c>
      <c r="K114" t="s">
        <v>90</v>
      </c>
      <c r="L114" t="s">
        <v>98</v>
      </c>
    </row>
    <row r="115" spans="1:14" ht="15" customHeight="1" x14ac:dyDescent="0.35">
      <c r="A115" t="s">
        <v>328</v>
      </c>
      <c r="B115" t="s">
        <v>185</v>
      </c>
      <c r="C115" t="s">
        <v>186</v>
      </c>
      <c r="D115" t="s">
        <v>94</v>
      </c>
      <c r="E115" t="s">
        <v>95</v>
      </c>
      <c r="F115" t="s">
        <v>112</v>
      </c>
      <c r="G115" t="s">
        <v>82</v>
      </c>
      <c r="H115" s="21">
        <v>880</v>
      </c>
      <c r="I115" s="22">
        <v>45808</v>
      </c>
      <c r="J115" s="22">
        <v>45810</v>
      </c>
      <c r="K115" t="s">
        <v>83</v>
      </c>
      <c r="L115" t="s">
        <v>130</v>
      </c>
    </row>
    <row r="116" spans="1:14" ht="15" customHeight="1" x14ac:dyDescent="0.35">
      <c r="A116" t="s">
        <v>329</v>
      </c>
      <c r="B116" t="s">
        <v>161</v>
      </c>
      <c r="C116" t="s">
        <v>162</v>
      </c>
      <c r="D116" t="s">
        <v>79</v>
      </c>
      <c r="E116" t="s">
        <v>106</v>
      </c>
      <c r="F116" t="s">
        <v>124</v>
      </c>
      <c r="G116" t="s">
        <v>97</v>
      </c>
      <c r="H116" s="21">
        <v>2712</v>
      </c>
      <c r="I116" s="22">
        <v>45748</v>
      </c>
      <c r="J116" s="22">
        <v>45762</v>
      </c>
      <c r="K116" t="s">
        <v>90</v>
      </c>
      <c r="L116" t="s">
        <v>138</v>
      </c>
    </row>
    <row r="117" spans="1:14" ht="15" customHeight="1" x14ac:dyDescent="0.35">
      <c r="A117" t="s">
        <v>330</v>
      </c>
      <c r="B117" t="s">
        <v>77</v>
      </c>
      <c r="C117" t="s">
        <v>78</v>
      </c>
      <c r="D117" t="s">
        <v>79</v>
      </c>
      <c r="E117" t="s">
        <v>95</v>
      </c>
      <c r="F117" t="s">
        <v>119</v>
      </c>
      <c r="G117" t="s">
        <v>82</v>
      </c>
      <c r="H117" s="21">
        <v>604</v>
      </c>
      <c r="I117" s="22">
        <v>46048</v>
      </c>
      <c r="J117" s="22">
        <v>46083</v>
      </c>
      <c r="K117" t="s">
        <v>90</v>
      </c>
      <c r="L117" t="s">
        <v>84</v>
      </c>
    </row>
    <row r="118" spans="1:14" ht="15" customHeight="1" x14ac:dyDescent="0.35">
      <c r="A118" t="s">
        <v>331</v>
      </c>
      <c r="B118" t="s">
        <v>132</v>
      </c>
      <c r="C118" t="s">
        <v>133</v>
      </c>
      <c r="D118" t="s">
        <v>88</v>
      </c>
      <c r="E118" t="s">
        <v>89</v>
      </c>
      <c r="F118" t="s">
        <v>148</v>
      </c>
      <c r="G118" t="s">
        <v>97</v>
      </c>
      <c r="H118" s="21">
        <v>13285</v>
      </c>
      <c r="I118" s="22">
        <v>45984</v>
      </c>
      <c r="J118" s="22">
        <v>45989</v>
      </c>
      <c r="K118" t="s">
        <v>90</v>
      </c>
      <c r="L118" t="s">
        <v>130</v>
      </c>
    </row>
    <row r="119" spans="1:14" ht="15" customHeight="1" x14ac:dyDescent="0.35">
      <c r="A119" t="s">
        <v>332</v>
      </c>
      <c r="B119" t="s">
        <v>333</v>
      </c>
      <c r="C119" t="s">
        <v>334</v>
      </c>
      <c r="D119" t="s">
        <v>105</v>
      </c>
      <c r="E119" t="s">
        <v>80</v>
      </c>
      <c r="F119" t="s">
        <v>81</v>
      </c>
      <c r="G119" t="s">
        <v>82</v>
      </c>
      <c r="H119" s="21">
        <v>747</v>
      </c>
      <c r="I119" s="22">
        <v>46007</v>
      </c>
      <c r="J119" s="22">
        <v>46012</v>
      </c>
      <c r="K119" t="s">
        <v>90</v>
      </c>
      <c r="L119" t="s">
        <v>107</v>
      </c>
    </row>
    <row r="120" spans="1:14" ht="15" customHeight="1" x14ac:dyDescent="0.35">
      <c r="A120" t="s">
        <v>335</v>
      </c>
      <c r="B120" t="s">
        <v>161</v>
      </c>
      <c r="C120" t="s">
        <v>162</v>
      </c>
      <c r="D120" t="s">
        <v>79</v>
      </c>
      <c r="E120" t="s">
        <v>111</v>
      </c>
      <c r="F120" t="s">
        <v>100</v>
      </c>
      <c r="G120" t="s">
        <v>97</v>
      </c>
      <c r="H120" s="21">
        <v>11905</v>
      </c>
      <c r="I120" s="22">
        <v>45895</v>
      </c>
      <c r="J120" s="22">
        <v>45900</v>
      </c>
      <c r="K120" t="s">
        <v>90</v>
      </c>
      <c r="L120" t="s">
        <v>125</v>
      </c>
      <c r="M120">
        <v>12</v>
      </c>
      <c r="N120" t="s">
        <v>114</v>
      </c>
    </row>
    <row r="121" spans="1:14" ht="15" customHeight="1" x14ac:dyDescent="0.35">
      <c r="A121" t="s">
        <v>336</v>
      </c>
      <c r="B121" t="s">
        <v>195</v>
      </c>
      <c r="C121" t="s">
        <v>196</v>
      </c>
      <c r="D121" t="s">
        <v>79</v>
      </c>
      <c r="E121" t="s">
        <v>172</v>
      </c>
      <c r="F121" t="s">
        <v>129</v>
      </c>
      <c r="G121" t="s">
        <v>82</v>
      </c>
      <c r="H121" s="21">
        <v>2430</v>
      </c>
      <c r="I121" s="22">
        <v>45950</v>
      </c>
      <c r="J121" s="22">
        <v>45970</v>
      </c>
      <c r="K121" t="s">
        <v>83</v>
      </c>
      <c r="L121" t="s">
        <v>113</v>
      </c>
    </row>
    <row r="122" spans="1:14" ht="15" customHeight="1" x14ac:dyDescent="0.35">
      <c r="A122" t="s">
        <v>337</v>
      </c>
      <c r="B122" t="s">
        <v>217</v>
      </c>
      <c r="C122" t="s">
        <v>218</v>
      </c>
      <c r="D122" t="s">
        <v>88</v>
      </c>
      <c r="E122" t="s">
        <v>95</v>
      </c>
      <c r="F122" t="s">
        <v>148</v>
      </c>
      <c r="G122" t="s">
        <v>97</v>
      </c>
      <c r="H122" s="21">
        <v>774</v>
      </c>
      <c r="I122" s="22">
        <v>45752</v>
      </c>
      <c r="J122" s="22">
        <v>45787</v>
      </c>
      <c r="K122" t="s">
        <v>83</v>
      </c>
      <c r="L122" t="s">
        <v>113</v>
      </c>
    </row>
    <row r="123" spans="1:14" ht="15" customHeight="1" x14ac:dyDescent="0.35">
      <c r="A123" t="s">
        <v>338</v>
      </c>
      <c r="B123" t="s">
        <v>200</v>
      </c>
      <c r="C123" t="s">
        <v>201</v>
      </c>
      <c r="D123" t="s">
        <v>94</v>
      </c>
      <c r="E123" t="s">
        <v>89</v>
      </c>
      <c r="F123" t="s">
        <v>96</v>
      </c>
      <c r="G123" t="s">
        <v>97</v>
      </c>
      <c r="H123" s="21">
        <v>5989</v>
      </c>
      <c r="I123" s="22">
        <v>45899</v>
      </c>
      <c r="J123" s="22">
        <v>45901</v>
      </c>
      <c r="K123" t="s">
        <v>90</v>
      </c>
      <c r="L123" t="s">
        <v>84</v>
      </c>
    </row>
    <row r="124" spans="1:14" ht="15" customHeight="1" x14ac:dyDescent="0.35">
      <c r="A124" t="s">
        <v>339</v>
      </c>
      <c r="B124" t="s">
        <v>279</v>
      </c>
      <c r="C124" t="s">
        <v>280</v>
      </c>
      <c r="D124" t="s">
        <v>190</v>
      </c>
      <c r="E124" t="s">
        <v>89</v>
      </c>
      <c r="F124" t="s">
        <v>124</v>
      </c>
      <c r="G124" t="s">
        <v>97</v>
      </c>
      <c r="H124" s="21">
        <v>9697</v>
      </c>
      <c r="I124" s="22">
        <v>45768</v>
      </c>
      <c r="J124" s="22">
        <v>45777</v>
      </c>
      <c r="K124" t="s">
        <v>90</v>
      </c>
      <c r="L124" t="s">
        <v>130</v>
      </c>
    </row>
    <row r="125" spans="1:14" ht="15" customHeight="1" x14ac:dyDescent="0.35">
      <c r="A125" t="s">
        <v>340</v>
      </c>
      <c r="B125" t="s">
        <v>127</v>
      </c>
      <c r="C125" t="s">
        <v>128</v>
      </c>
      <c r="D125" t="s">
        <v>88</v>
      </c>
      <c r="E125" t="s">
        <v>89</v>
      </c>
      <c r="F125" t="s">
        <v>119</v>
      </c>
      <c r="G125" t="s">
        <v>82</v>
      </c>
      <c r="H125" s="21">
        <v>13692</v>
      </c>
      <c r="I125" s="22">
        <v>45898</v>
      </c>
      <c r="J125" s="22">
        <v>45907</v>
      </c>
      <c r="K125" t="s">
        <v>90</v>
      </c>
      <c r="L125" t="s">
        <v>107</v>
      </c>
    </row>
    <row r="126" spans="1:14" ht="15" customHeight="1" x14ac:dyDescent="0.35">
      <c r="A126" t="s">
        <v>341</v>
      </c>
      <c r="B126" t="s">
        <v>230</v>
      </c>
      <c r="C126" t="s">
        <v>231</v>
      </c>
      <c r="D126" t="s">
        <v>88</v>
      </c>
      <c r="E126" t="s">
        <v>89</v>
      </c>
      <c r="F126" t="s">
        <v>124</v>
      </c>
      <c r="G126" t="s">
        <v>97</v>
      </c>
      <c r="H126" s="21">
        <v>5033</v>
      </c>
      <c r="I126" s="22">
        <v>45975</v>
      </c>
      <c r="J126" s="22">
        <v>45977</v>
      </c>
      <c r="K126" t="s">
        <v>90</v>
      </c>
      <c r="L126" t="s">
        <v>101</v>
      </c>
    </row>
    <row r="127" spans="1:14" ht="15" customHeight="1" x14ac:dyDescent="0.35">
      <c r="A127" t="s">
        <v>342</v>
      </c>
      <c r="B127" t="s">
        <v>224</v>
      </c>
      <c r="C127" t="s">
        <v>225</v>
      </c>
      <c r="D127" t="s">
        <v>79</v>
      </c>
      <c r="E127" t="s">
        <v>123</v>
      </c>
      <c r="F127" t="s">
        <v>81</v>
      </c>
      <c r="G127" t="s">
        <v>82</v>
      </c>
      <c r="H127" s="21">
        <v>1568</v>
      </c>
      <c r="I127" s="22">
        <v>45797</v>
      </c>
      <c r="J127" s="22">
        <v>45806</v>
      </c>
      <c r="K127" t="s">
        <v>90</v>
      </c>
      <c r="L127" t="s">
        <v>113</v>
      </c>
    </row>
    <row r="128" spans="1:14" ht="15" customHeight="1" x14ac:dyDescent="0.35">
      <c r="A128" t="s">
        <v>343</v>
      </c>
      <c r="B128" t="s">
        <v>344</v>
      </c>
      <c r="C128" t="s">
        <v>345</v>
      </c>
      <c r="D128" t="s">
        <v>94</v>
      </c>
      <c r="E128" t="s">
        <v>111</v>
      </c>
      <c r="F128" t="s">
        <v>129</v>
      </c>
      <c r="G128" t="s">
        <v>82</v>
      </c>
      <c r="H128" s="21">
        <v>11634</v>
      </c>
      <c r="I128" s="22">
        <v>45820</v>
      </c>
      <c r="J128" s="22">
        <v>45834</v>
      </c>
      <c r="K128" t="s">
        <v>90</v>
      </c>
      <c r="L128" t="s">
        <v>98</v>
      </c>
      <c r="M128">
        <v>9</v>
      </c>
      <c r="N128" t="s">
        <v>114</v>
      </c>
    </row>
    <row r="129" spans="1:14" ht="15" customHeight="1" x14ac:dyDescent="0.35">
      <c r="A129" t="s">
        <v>346</v>
      </c>
      <c r="B129" t="s">
        <v>176</v>
      </c>
      <c r="C129" t="s">
        <v>177</v>
      </c>
      <c r="D129" t="s">
        <v>79</v>
      </c>
      <c r="E129" t="s">
        <v>95</v>
      </c>
      <c r="F129" t="s">
        <v>124</v>
      </c>
      <c r="G129" t="s">
        <v>97</v>
      </c>
      <c r="H129" s="21">
        <v>1041</v>
      </c>
      <c r="I129" s="22">
        <v>45869</v>
      </c>
      <c r="J129" s="22">
        <v>45874</v>
      </c>
      <c r="K129" t="s">
        <v>90</v>
      </c>
      <c r="L129" t="s">
        <v>107</v>
      </c>
    </row>
    <row r="130" spans="1:14" ht="15" customHeight="1" x14ac:dyDescent="0.35">
      <c r="A130" t="s">
        <v>347</v>
      </c>
      <c r="B130" t="s">
        <v>348</v>
      </c>
      <c r="C130" t="s">
        <v>349</v>
      </c>
      <c r="D130" t="s">
        <v>79</v>
      </c>
      <c r="E130" t="s">
        <v>89</v>
      </c>
      <c r="F130" t="s">
        <v>96</v>
      </c>
      <c r="G130" t="s">
        <v>97</v>
      </c>
      <c r="H130" s="21">
        <v>4823</v>
      </c>
      <c r="I130" s="22">
        <v>45980</v>
      </c>
      <c r="J130" s="22">
        <v>45994</v>
      </c>
      <c r="K130" t="s">
        <v>90</v>
      </c>
      <c r="L130" t="s">
        <v>98</v>
      </c>
    </row>
    <row r="131" spans="1:14" ht="15" customHeight="1" x14ac:dyDescent="0.35">
      <c r="A131" t="s">
        <v>350</v>
      </c>
      <c r="B131" t="s">
        <v>351</v>
      </c>
      <c r="C131" t="s">
        <v>352</v>
      </c>
      <c r="D131" t="s">
        <v>94</v>
      </c>
      <c r="E131" t="s">
        <v>95</v>
      </c>
      <c r="F131" t="s">
        <v>100</v>
      </c>
      <c r="G131" t="s">
        <v>97</v>
      </c>
      <c r="H131" s="21">
        <v>405</v>
      </c>
      <c r="I131" s="22">
        <v>45868</v>
      </c>
      <c r="J131" s="22">
        <v>45870</v>
      </c>
      <c r="K131" t="s">
        <v>90</v>
      </c>
      <c r="L131" t="s">
        <v>84</v>
      </c>
    </row>
    <row r="132" spans="1:14" ht="15" customHeight="1" x14ac:dyDescent="0.35">
      <c r="A132" t="s">
        <v>353</v>
      </c>
      <c r="B132" t="s">
        <v>306</v>
      </c>
      <c r="C132" t="s">
        <v>307</v>
      </c>
      <c r="D132" t="s">
        <v>88</v>
      </c>
      <c r="E132" t="s">
        <v>89</v>
      </c>
      <c r="F132" t="s">
        <v>124</v>
      </c>
      <c r="G132" t="s">
        <v>97</v>
      </c>
      <c r="H132" s="21">
        <v>6308</v>
      </c>
      <c r="I132" s="22">
        <v>45991</v>
      </c>
      <c r="J132" s="22">
        <v>46000</v>
      </c>
      <c r="K132" t="s">
        <v>90</v>
      </c>
      <c r="L132" t="s">
        <v>98</v>
      </c>
    </row>
    <row r="133" spans="1:14" ht="15" customHeight="1" x14ac:dyDescent="0.35">
      <c r="A133" t="s">
        <v>354</v>
      </c>
      <c r="B133" t="s">
        <v>203</v>
      </c>
      <c r="C133" t="s">
        <v>204</v>
      </c>
      <c r="D133" t="s">
        <v>88</v>
      </c>
      <c r="E133" t="s">
        <v>89</v>
      </c>
      <c r="F133" t="s">
        <v>100</v>
      </c>
      <c r="G133" t="s">
        <v>97</v>
      </c>
      <c r="H133" s="21">
        <v>3496</v>
      </c>
      <c r="I133" s="22">
        <v>45811</v>
      </c>
      <c r="J133" s="22">
        <v>45831</v>
      </c>
      <c r="K133" t="s">
        <v>90</v>
      </c>
      <c r="L133" t="s">
        <v>113</v>
      </c>
    </row>
    <row r="134" spans="1:14" ht="15" customHeight="1" x14ac:dyDescent="0.35">
      <c r="A134" t="s">
        <v>355</v>
      </c>
      <c r="B134" t="s">
        <v>209</v>
      </c>
      <c r="C134" t="s">
        <v>210</v>
      </c>
      <c r="D134" t="s">
        <v>94</v>
      </c>
      <c r="E134" t="s">
        <v>80</v>
      </c>
      <c r="F134" t="s">
        <v>100</v>
      </c>
      <c r="G134" t="s">
        <v>97</v>
      </c>
      <c r="H134" s="21">
        <v>2169</v>
      </c>
      <c r="I134" s="22">
        <v>46029</v>
      </c>
      <c r="J134" s="22">
        <v>46031</v>
      </c>
      <c r="K134" t="s">
        <v>90</v>
      </c>
      <c r="L134" t="s">
        <v>113</v>
      </c>
    </row>
    <row r="135" spans="1:14" ht="15" customHeight="1" x14ac:dyDescent="0.35">
      <c r="A135" t="s">
        <v>356</v>
      </c>
      <c r="B135" t="s">
        <v>233</v>
      </c>
      <c r="C135" t="s">
        <v>234</v>
      </c>
      <c r="D135" t="s">
        <v>88</v>
      </c>
      <c r="E135" t="s">
        <v>172</v>
      </c>
      <c r="F135" t="s">
        <v>129</v>
      </c>
      <c r="G135" t="s">
        <v>82</v>
      </c>
      <c r="H135" s="21">
        <v>3050</v>
      </c>
      <c r="I135" s="22">
        <v>45995</v>
      </c>
      <c r="J135" s="22">
        <v>46000</v>
      </c>
      <c r="K135" t="s">
        <v>83</v>
      </c>
      <c r="L135" t="s">
        <v>130</v>
      </c>
    </row>
    <row r="136" spans="1:14" ht="15" customHeight="1" x14ac:dyDescent="0.35">
      <c r="A136" t="s">
        <v>357</v>
      </c>
      <c r="B136" t="s">
        <v>333</v>
      </c>
      <c r="C136" t="s">
        <v>334</v>
      </c>
      <c r="D136" t="s">
        <v>105</v>
      </c>
      <c r="E136" t="s">
        <v>80</v>
      </c>
      <c r="F136" t="s">
        <v>129</v>
      </c>
      <c r="G136" t="s">
        <v>82</v>
      </c>
      <c r="H136" s="21">
        <v>2133</v>
      </c>
      <c r="I136" s="22">
        <v>45749</v>
      </c>
      <c r="J136" s="22">
        <v>45758</v>
      </c>
      <c r="K136" t="s">
        <v>90</v>
      </c>
      <c r="L136" t="s">
        <v>138</v>
      </c>
    </row>
    <row r="137" spans="1:14" ht="15" customHeight="1" x14ac:dyDescent="0.35">
      <c r="A137" t="s">
        <v>358</v>
      </c>
      <c r="B137" t="s">
        <v>127</v>
      </c>
      <c r="C137" t="s">
        <v>128</v>
      </c>
      <c r="D137" t="s">
        <v>88</v>
      </c>
      <c r="E137" t="s">
        <v>89</v>
      </c>
      <c r="F137" t="s">
        <v>112</v>
      </c>
      <c r="G137" t="s">
        <v>82</v>
      </c>
      <c r="H137" s="21">
        <v>5367</v>
      </c>
      <c r="I137" s="22">
        <v>46046</v>
      </c>
      <c r="J137" s="22">
        <v>46051</v>
      </c>
      <c r="K137" t="s">
        <v>90</v>
      </c>
      <c r="L137" t="s">
        <v>130</v>
      </c>
    </row>
    <row r="138" spans="1:14" ht="15" customHeight="1" x14ac:dyDescent="0.35">
      <c r="A138" t="s">
        <v>359</v>
      </c>
      <c r="B138" t="s">
        <v>146</v>
      </c>
      <c r="C138" t="s">
        <v>147</v>
      </c>
      <c r="D138" t="s">
        <v>94</v>
      </c>
      <c r="E138" t="s">
        <v>95</v>
      </c>
      <c r="F138" t="s">
        <v>112</v>
      </c>
      <c r="G138" t="s">
        <v>82</v>
      </c>
      <c r="H138" s="21">
        <v>1957</v>
      </c>
      <c r="I138" s="22">
        <v>45928</v>
      </c>
      <c r="J138" s="22">
        <v>45933</v>
      </c>
      <c r="K138" t="s">
        <v>90</v>
      </c>
      <c r="L138" t="s">
        <v>130</v>
      </c>
    </row>
    <row r="139" spans="1:14" ht="15" customHeight="1" x14ac:dyDescent="0.35">
      <c r="A139" t="s">
        <v>360</v>
      </c>
      <c r="B139" t="s">
        <v>116</v>
      </c>
      <c r="C139" t="s">
        <v>117</v>
      </c>
      <c r="D139" t="s">
        <v>88</v>
      </c>
      <c r="E139" t="s">
        <v>123</v>
      </c>
      <c r="F139" t="s">
        <v>100</v>
      </c>
      <c r="G139" t="s">
        <v>97</v>
      </c>
      <c r="H139" s="21">
        <v>10409</v>
      </c>
      <c r="I139" s="22">
        <v>46044</v>
      </c>
      <c r="J139" s="22">
        <v>46053</v>
      </c>
      <c r="K139" t="s">
        <v>83</v>
      </c>
      <c r="L139" t="s">
        <v>113</v>
      </c>
    </row>
    <row r="140" spans="1:14" ht="15" customHeight="1" x14ac:dyDescent="0.35">
      <c r="A140" t="s">
        <v>361</v>
      </c>
      <c r="B140" t="s">
        <v>239</v>
      </c>
      <c r="C140" t="s">
        <v>240</v>
      </c>
      <c r="D140" t="s">
        <v>190</v>
      </c>
      <c r="E140" t="s">
        <v>95</v>
      </c>
      <c r="F140" t="s">
        <v>100</v>
      </c>
      <c r="G140" t="s">
        <v>97</v>
      </c>
      <c r="H140" s="21">
        <v>680</v>
      </c>
      <c r="I140" s="22">
        <v>45997</v>
      </c>
      <c r="J140" s="22">
        <v>46067</v>
      </c>
      <c r="K140" t="s">
        <v>90</v>
      </c>
      <c r="L140" t="s">
        <v>138</v>
      </c>
    </row>
    <row r="141" spans="1:14" ht="15" customHeight="1" x14ac:dyDescent="0.35">
      <c r="A141" t="s">
        <v>362</v>
      </c>
      <c r="B141" t="s">
        <v>77</v>
      </c>
      <c r="C141" t="s">
        <v>78</v>
      </c>
      <c r="D141" t="s">
        <v>79</v>
      </c>
      <c r="E141" t="s">
        <v>118</v>
      </c>
      <c r="F141" t="s">
        <v>100</v>
      </c>
      <c r="G141" t="s">
        <v>97</v>
      </c>
      <c r="H141" s="21">
        <v>1343</v>
      </c>
      <c r="I141" s="22">
        <v>46046</v>
      </c>
      <c r="J141" s="22">
        <v>46055</v>
      </c>
      <c r="K141" t="s">
        <v>90</v>
      </c>
      <c r="L141" t="s">
        <v>138</v>
      </c>
    </row>
    <row r="142" spans="1:14" ht="15" customHeight="1" x14ac:dyDescent="0.35">
      <c r="A142" t="s">
        <v>363</v>
      </c>
      <c r="B142" t="s">
        <v>333</v>
      </c>
      <c r="C142" t="s">
        <v>334</v>
      </c>
      <c r="D142" t="s">
        <v>105</v>
      </c>
      <c r="E142" t="s">
        <v>118</v>
      </c>
      <c r="F142" t="s">
        <v>119</v>
      </c>
      <c r="G142" t="s">
        <v>82</v>
      </c>
      <c r="H142" s="21">
        <v>338</v>
      </c>
      <c r="I142" s="22">
        <v>46003</v>
      </c>
      <c r="J142" s="22">
        <v>46012</v>
      </c>
      <c r="K142" t="s">
        <v>90</v>
      </c>
      <c r="L142" t="s">
        <v>101</v>
      </c>
    </row>
    <row r="143" spans="1:14" ht="15" customHeight="1" x14ac:dyDescent="0.35">
      <c r="A143" t="s">
        <v>364</v>
      </c>
      <c r="B143" t="s">
        <v>246</v>
      </c>
      <c r="C143" t="s">
        <v>247</v>
      </c>
      <c r="D143" t="s">
        <v>94</v>
      </c>
      <c r="E143" t="s">
        <v>89</v>
      </c>
      <c r="F143" t="s">
        <v>129</v>
      </c>
      <c r="G143" t="s">
        <v>82</v>
      </c>
      <c r="H143" s="21">
        <v>14385</v>
      </c>
      <c r="I143" s="22">
        <v>45911</v>
      </c>
      <c r="J143" s="22">
        <v>45925</v>
      </c>
      <c r="K143" t="s">
        <v>90</v>
      </c>
      <c r="L143" t="s">
        <v>138</v>
      </c>
    </row>
    <row r="144" spans="1:14" ht="15" customHeight="1" x14ac:dyDescent="0.35">
      <c r="A144" t="s">
        <v>365</v>
      </c>
      <c r="B144" t="s">
        <v>224</v>
      </c>
      <c r="C144" t="s">
        <v>225</v>
      </c>
      <c r="D144" t="s">
        <v>79</v>
      </c>
      <c r="E144" t="s">
        <v>111</v>
      </c>
      <c r="F144" t="s">
        <v>119</v>
      </c>
      <c r="G144" t="s">
        <v>82</v>
      </c>
      <c r="H144" s="21">
        <v>18402</v>
      </c>
      <c r="I144" s="22">
        <v>45841</v>
      </c>
      <c r="J144" s="22">
        <v>45861</v>
      </c>
      <c r="K144" t="s">
        <v>90</v>
      </c>
      <c r="L144" t="s">
        <v>107</v>
      </c>
      <c r="M144">
        <v>11</v>
      </c>
      <c r="N144" t="s">
        <v>266</v>
      </c>
    </row>
    <row r="145" spans="1:14" ht="15" customHeight="1" x14ac:dyDescent="0.35">
      <c r="A145" t="s">
        <v>366</v>
      </c>
      <c r="B145" t="s">
        <v>260</v>
      </c>
      <c r="C145" t="s">
        <v>261</v>
      </c>
      <c r="D145" t="s">
        <v>105</v>
      </c>
      <c r="E145" t="s">
        <v>111</v>
      </c>
      <c r="F145" t="s">
        <v>100</v>
      </c>
      <c r="G145" t="s">
        <v>97</v>
      </c>
      <c r="H145" s="21">
        <v>15698</v>
      </c>
      <c r="I145" s="22">
        <v>45891</v>
      </c>
      <c r="J145" s="22">
        <v>45896</v>
      </c>
      <c r="K145" t="s">
        <v>90</v>
      </c>
      <c r="L145" t="s">
        <v>98</v>
      </c>
      <c r="M145">
        <v>16</v>
      </c>
      <c r="N145" t="s">
        <v>114</v>
      </c>
    </row>
    <row r="146" spans="1:14" ht="15" customHeight="1" x14ac:dyDescent="0.35">
      <c r="A146" t="s">
        <v>367</v>
      </c>
      <c r="B146" t="s">
        <v>143</v>
      </c>
      <c r="C146" t="s">
        <v>144</v>
      </c>
      <c r="D146" t="s">
        <v>94</v>
      </c>
      <c r="E146" t="s">
        <v>95</v>
      </c>
      <c r="F146" t="s">
        <v>124</v>
      </c>
      <c r="G146" t="s">
        <v>97</v>
      </c>
      <c r="H146" s="21">
        <v>537</v>
      </c>
      <c r="I146" s="22">
        <v>46077</v>
      </c>
      <c r="J146" s="22">
        <v>46079</v>
      </c>
      <c r="K146" t="s">
        <v>90</v>
      </c>
      <c r="L146" t="s">
        <v>113</v>
      </c>
    </row>
    <row r="147" spans="1:14" ht="15" customHeight="1" x14ac:dyDescent="0.35">
      <c r="A147" t="s">
        <v>368</v>
      </c>
      <c r="B147" t="s">
        <v>77</v>
      </c>
      <c r="C147" t="s">
        <v>78</v>
      </c>
      <c r="D147" t="s">
        <v>79</v>
      </c>
      <c r="E147" t="s">
        <v>80</v>
      </c>
      <c r="F147" t="s">
        <v>96</v>
      </c>
      <c r="G147" t="s">
        <v>97</v>
      </c>
      <c r="H147" s="21">
        <v>2044</v>
      </c>
      <c r="I147" s="22">
        <v>45927</v>
      </c>
      <c r="J147" s="22">
        <v>45932</v>
      </c>
      <c r="K147" t="s">
        <v>90</v>
      </c>
      <c r="L147" t="s">
        <v>101</v>
      </c>
    </row>
    <row r="148" spans="1:14" ht="15" customHeight="1" x14ac:dyDescent="0.35">
      <c r="A148" t="s">
        <v>369</v>
      </c>
      <c r="B148" t="s">
        <v>370</v>
      </c>
      <c r="C148" t="s">
        <v>371</v>
      </c>
      <c r="D148" t="s">
        <v>88</v>
      </c>
      <c r="E148" t="s">
        <v>111</v>
      </c>
      <c r="F148" t="s">
        <v>119</v>
      </c>
      <c r="G148" t="s">
        <v>82</v>
      </c>
      <c r="H148" s="21">
        <v>21453</v>
      </c>
      <c r="I148" s="22">
        <v>45947</v>
      </c>
      <c r="J148" s="22">
        <v>45967</v>
      </c>
      <c r="K148" t="s">
        <v>90</v>
      </c>
      <c r="L148" t="s">
        <v>130</v>
      </c>
      <c r="M148">
        <v>17</v>
      </c>
      <c r="N148" t="s">
        <v>266</v>
      </c>
    </row>
    <row r="149" spans="1:14" ht="15" customHeight="1" x14ac:dyDescent="0.35">
      <c r="A149" t="s">
        <v>372</v>
      </c>
      <c r="B149" t="s">
        <v>195</v>
      </c>
      <c r="C149" t="s">
        <v>196</v>
      </c>
      <c r="D149" t="s">
        <v>79</v>
      </c>
      <c r="E149" t="s">
        <v>172</v>
      </c>
      <c r="F149" t="s">
        <v>148</v>
      </c>
      <c r="G149" t="s">
        <v>97</v>
      </c>
      <c r="H149" s="21">
        <v>2351</v>
      </c>
      <c r="I149" s="22">
        <v>45866</v>
      </c>
      <c r="J149" s="22">
        <v>45880</v>
      </c>
      <c r="K149" t="s">
        <v>90</v>
      </c>
      <c r="L149" t="s">
        <v>113</v>
      </c>
    </row>
    <row r="150" spans="1:14" ht="15" customHeight="1" x14ac:dyDescent="0.35">
      <c r="A150" t="s">
        <v>373</v>
      </c>
      <c r="B150" t="s">
        <v>154</v>
      </c>
      <c r="C150" t="s">
        <v>155</v>
      </c>
      <c r="D150" t="s">
        <v>94</v>
      </c>
      <c r="E150" t="s">
        <v>89</v>
      </c>
      <c r="F150" t="s">
        <v>100</v>
      </c>
      <c r="G150" t="s">
        <v>97</v>
      </c>
      <c r="H150" s="21">
        <v>15811</v>
      </c>
      <c r="I150" s="22">
        <v>45993</v>
      </c>
      <c r="J150" s="22">
        <v>45995</v>
      </c>
      <c r="K150" t="s">
        <v>90</v>
      </c>
      <c r="L150" t="s">
        <v>98</v>
      </c>
    </row>
    <row r="151" spans="1:14" ht="15" customHeight="1" x14ac:dyDescent="0.35">
      <c r="A151" t="s">
        <v>374</v>
      </c>
      <c r="B151" t="s">
        <v>333</v>
      </c>
      <c r="C151" t="s">
        <v>334</v>
      </c>
      <c r="D151" t="s">
        <v>105</v>
      </c>
      <c r="E151" t="s">
        <v>111</v>
      </c>
      <c r="F151" t="s">
        <v>124</v>
      </c>
      <c r="G151" t="s">
        <v>97</v>
      </c>
      <c r="H151" s="21">
        <v>20098</v>
      </c>
      <c r="I151" s="22">
        <v>45813</v>
      </c>
      <c r="J151" s="22">
        <v>45815</v>
      </c>
      <c r="K151" t="s">
        <v>83</v>
      </c>
      <c r="L151" t="s">
        <v>98</v>
      </c>
      <c r="M151">
        <v>9</v>
      </c>
      <c r="N151" t="s">
        <v>114</v>
      </c>
    </row>
    <row r="152" spans="1:14" ht="15" customHeight="1" x14ac:dyDescent="0.35">
      <c r="A152" t="s">
        <v>375</v>
      </c>
      <c r="B152" t="s">
        <v>176</v>
      </c>
      <c r="C152" t="s">
        <v>177</v>
      </c>
      <c r="D152" t="s">
        <v>79</v>
      </c>
      <c r="E152" t="s">
        <v>111</v>
      </c>
      <c r="F152" t="s">
        <v>119</v>
      </c>
      <c r="G152" t="s">
        <v>82</v>
      </c>
      <c r="H152" s="21">
        <v>9447</v>
      </c>
      <c r="I152" s="22">
        <v>45986</v>
      </c>
      <c r="J152" s="22">
        <v>46021</v>
      </c>
      <c r="K152" t="s">
        <v>90</v>
      </c>
      <c r="L152" t="s">
        <v>98</v>
      </c>
      <c r="M152">
        <v>7</v>
      </c>
      <c r="N152" t="s">
        <v>114</v>
      </c>
    </row>
    <row r="153" spans="1:14" ht="15" customHeight="1" x14ac:dyDescent="0.35">
      <c r="A153" t="s">
        <v>376</v>
      </c>
      <c r="B153" t="s">
        <v>121</v>
      </c>
      <c r="C153" t="s">
        <v>122</v>
      </c>
      <c r="D153" t="s">
        <v>94</v>
      </c>
      <c r="E153" t="s">
        <v>89</v>
      </c>
      <c r="F153" t="s">
        <v>81</v>
      </c>
      <c r="G153" t="s">
        <v>82</v>
      </c>
      <c r="H153" s="21">
        <v>8995</v>
      </c>
      <c r="I153" s="22">
        <v>46015</v>
      </c>
      <c r="J153" s="22">
        <v>46035</v>
      </c>
      <c r="K153" t="s">
        <v>90</v>
      </c>
      <c r="L153" t="s">
        <v>125</v>
      </c>
    </row>
    <row r="154" spans="1:14" ht="15" customHeight="1" x14ac:dyDescent="0.35">
      <c r="A154" t="s">
        <v>377</v>
      </c>
      <c r="B154" t="s">
        <v>146</v>
      </c>
      <c r="C154" t="s">
        <v>147</v>
      </c>
      <c r="D154" t="s">
        <v>94</v>
      </c>
      <c r="E154" t="s">
        <v>123</v>
      </c>
      <c r="F154" t="s">
        <v>96</v>
      </c>
      <c r="G154" t="s">
        <v>97</v>
      </c>
      <c r="H154" s="21">
        <v>11897</v>
      </c>
      <c r="I154" s="22">
        <v>45831</v>
      </c>
      <c r="J154" s="22">
        <v>45840</v>
      </c>
      <c r="K154" t="s">
        <v>90</v>
      </c>
      <c r="L154" t="s">
        <v>101</v>
      </c>
    </row>
    <row r="155" spans="1:14" ht="15" customHeight="1" x14ac:dyDescent="0.35">
      <c r="A155" t="s">
        <v>378</v>
      </c>
      <c r="B155" t="s">
        <v>206</v>
      </c>
      <c r="C155" t="s">
        <v>207</v>
      </c>
      <c r="D155" t="s">
        <v>88</v>
      </c>
      <c r="E155" t="s">
        <v>118</v>
      </c>
      <c r="F155" t="s">
        <v>100</v>
      </c>
      <c r="G155" t="s">
        <v>97</v>
      </c>
      <c r="H155" s="21">
        <v>661</v>
      </c>
      <c r="I155" s="22">
        <v>45868</v>
      </c>
      <c r="J155" s="22">
        <v>45882</v>
      </c>
      <c r="K155" t="s">
        <v>90</v>
      </c>
      <c r="L155" t="s">
        <v>130</v>
      </c>
    </row>
    <row r="156" spans="1:14" ht="15" customHeight="1" x14ac:dyDescent="0.35">
      <c r="A156" t="s">
        <v>379</v>
      </c>
      <c r="B156" t="s">
        <v>323</v>
      </c>
      <c r="C156" t="s">
        <v>324</v>
      </c>
      <c r="D156" t="s">
        <v>190</v>
      </c>
      <c r="E156" t="s">
        <v>118</v>
      </c>
      <c r="F156" t="s">
        <v>96</v>
      </c>
      <c r="G156" t="s">
        <v>97</v>
      </c>
      <c r="H156" s="21">
        <v>962</v>
      </c>
      <c r="I156" s="22">
        <v>45868</v>
      </c>
      <c r="J156" s="22">
        <v>45882</v>
      </c>
      <c r="K156" t="s">
        <v>90</v>
      </c>
      <c r="L156" t="s">
        <v>113</v>
      </c>
    </row>
    <row r="157" spans="1:14" ht="15" customHeight="1" x14ac:dyDescent="0.35">
      <c r="A157" t="s">
        <v>380</v>
      </c>
      <c r="B157" t="s">
        <v>140</v>
      </c>
      <c r="C157" t="s">
        <v>141</v>
      </c>
      <c r="D157" t="s">
        <v>88</v>
      </c>
      <c r="E157" t="s">
        <v>172</v>
      </c>
      <c r="F157" t="s">
        <v>129</v>
      </c>
      <c r="G157" t="s">
        <v>82</v>
      </c>
      <c r="H157" s="21">
        <v>2305</v>
      </c>
      <c r="I157" s="22">
        <v>46060</v>
      </c>
      <c r="J157" s="22">
        <v>46062</v>
      </c>
      <c r="K157" t="s">
        <v>90</v>
      </c>
      <c r="L157" t="s">
        <v>130</v>
      </c>
    </row>
    <row r="158" spans="1:14" ht="15" customHeight="1" x14ac:dyDescent="0.35">
      <c r="A158" t="s">
        <v>381</v>
      </c>
      <c r="B158" t="s">
        <v>185</v>
      </c>
      <c r="C158" t="s">
        <v>186</v>
      </c>
      <c r="D158" t="s">
        <v>94</v>
      </c>
      <c r="E158" t="s">
        <v>123</v>
      </c>
      <c r="F158" t="s">
        <v>148</v>
      </c>
      <c r="G158" t="s">
        <v>97</v>
      </c>
      <c r="H158" s="21">
        <v>16848</v>
      </c>
      <c r="I158" s="22">
        <v>46029</v>
      </c>
      <c r="J158" s="22">
        <v>46099</v>
      </c>
      <c r="K158" t="s">
        <v>83</v>
      </c>
      <c r="L158" t="s">
        <v>125</v>
      </c>
    </row>
    <row r="159" spans="1:14" ht="15" customHeight="1" x14ac:dyDescent="0.35">
      <c r="A159" t="s">
        <v>382</v>
      </c>
      <c r="B159" t="s">
        <v>135</v>
      </c>
      <c r="C159" t="s">
        <v>136</v>
      </c>
      <c r="D159" t="s">
        <v>94</v>
      </c>
      <c r="E159" t="s">
        <v>111</v>
      </c>
      <c r="F159" t="s">
        <v>119</v>
      </c>
      <c r="G159" t="s">
        <v>82</v>
      </c>
      <c r="H159" s="21">
        <v>20388</v>
      </c>
      <c r="I159" s="22">
        <v>46040</v>
      </c>
      <c r="J159" s="22">
        <v>46049</v>
      </c>
      <c r="K159" t="s">
        <v>90</v>
      </c>
      <c r="L159" t="s">
        <v>138</v>
      </c>
      <c r="M159">
        <v>11</v>
      </c>
      <c r="N159" t="s">
        <v>114</v>
      </c>
    </row>
    <row r="160" spans="1:14" ht="15" customHeight="1" x14ac:dyDescent="0.35">
      <c r="A160" t="s">
        <v>383</v>
      </c>
      <c r="B160" t="s">
        <v>293</v>
      </c>
      <c r="C160" t="s">
        <v>294</v>
      </c>
      <c r="D160" t="s">
        <v>94</v>
      </c>
      <c r="E160" t="s">
        <v>111</v>
      </c>
      <c r="F160" t="s">
        <v>96</v>
      </c>
      <c r="G160" t="s">
        <v>97</v>
      </c>
      <c r="H160" s="21">
        <v>5624</v>
      </c>
      <c r="I160" s="22">
        <v>45850</v>
      </c>
      <c r="J160" s="22">
        <v>45852</v>
      </c>
      <c r="K160" t="s">
        <v>90</v>
      </c>
      <c r="L160" t="s">
        <v>125</v>
      </c>
      <c r="M160">
        <v>7</v>
      </c>
      <c r="N160" t="s">
        <v>114</v>
      </c>
    </row>
    <row r="161" spans="1:14" ht="15" customHeight="1" x14ac:dyDescent="0.35">
      <c r="A161" t="s">
        <v>384</v>
      </c>
      <c r="B161" t="s">
        <v>246</v>
      </c>
      <c r="C161" t="s">
        <v>247</v>
      </c>
      <c r="D161" t="s">
        <v>94</v>
      </c>
      <c r="E161" t="s">
        <v>123</v>
      </c>
      <c r="F161" t="s">
        <v>100</v>
      </c>
      <c r="G161" t="s">
        <v>97</v>
      </c>
      <c r="H161" s="21">
        <v>14299</v>
      </c>
      <c r="I161" s="22">
        <v>45894</v>
      </c>
      <c r="J161" s="22">
        <v>45896</v>
      </c>
      <c r="K161" t="s">
        <v>90</v>
      </c>
      <c r="L161" t="s">
        <v>125</v>
      </c>
    </row>
    <row r="162" spans="1:14" ht="15" customHeight="1" x14ac:dyDescent="0.35">
      <c r="A162" t="s">
        <v>385</v>
      </c>
      <c r="B162" t="s">
        <v>92</v>
      </c>
      <c r="C162" t="s">
        <v>93</v>
      </c>
      <c r="D162" t="s">
        <v>94</v>
      </c>
      <c r="E162" t="s">
        <v>111</v>
      </c>
      <c r="F162" t="s">
        <v>148</v>
      </c>
      <c r="G162" t="s">
        <v>97</v>
      </c>
      <c r="H162" s="21">
        <v>16477</v>
      </c>
      <c r="I162" s="22">
        <v>46000</v>
      </c>
      <c r="J162" s="22">
        <v>46009</v>
      </c>
      <c r="K162" t="s">
        <v>90</v>
      </c>
      <c r="L162" t="s">
        <v>130</v>
      </c>
      <c r="M162">
        <v>0</v>
      </c>
      <c r="N162" t="s">
        <v>114</v>
      </c>
    </row>
    <row r="163" spans="1:14" ht="15" customHeight="1" x14ac:dyDescent="0.35">
      <c r="A163" t="s">
        <v>386</v>
      </c>
      <c r="B163" t="s">
        <v>200</v>
      </c>
      <c r="C163" t="s">
        <v>201</v>
      </c>
      <c r="D163" t="s">
        <v>94</v>
      </c>
      <c r="E163" t="s">
        <v>80</v>
      </c>
      <c r="F163" t="s">
        <v>129</v>
      </c>
      <c r="G163" t="s">
        <v>82</v>
      </c>
      <c r="H163" s="21">
        <v>1290</v>
      </c>
      <c r="I163" s="22">
        <v>45814</v>
      </c>
      <c r="J163" s="22">
        <v>45819</v>
      </c>
      <c r="K163" t="s">
        <v>90</v>
      </c>
      <c r="L163" t="s">
        <v>107</v>
      </c>
    </row>
    <row r="164" spans="1:14" ht="15" customHeight="1" x14ac:dyDescent="0.35">
      <c r="A164" t="s">
        <v>387</v>
      </c>
      <c r="B164" t="s">
        <v>158</v>
      </c>
      <c r="C164" t="s">
        <v>159</v>
      </c>
      <c r="D164" t="s">
        <v>94</v>
      </c>
      <c r="E164" t="s">
        <v>80</v>
      </c>
      <c r="F164" t="s">
        <v>124</v>
      </c>
      <c r="G164" t="s">
        <v>97</v>
      </c>
      <c r="H164" s="21">
        <v>1638</v>
      </c>
      <c r="I164" s="22">
        <v>45825</v>
      </c>
      <c r="J164" s="22">
        <v>45830</v>
      </c>
      <c r="K164" t="s">
        <v>90</v>
      </c>
      <c r="L164" t="s">
        <v>101</v>
      </c>
    </row>
    <row r="165" spans="1:14" ht="15" customHeight="1" x14ac:dyDescent="0.35">
      <c r="A165" t="s">
        <v>388</v>
      </c>
      <c r="B165" t="s">
        <v>170</v>
      </c>
      <c r="C165" t="s">
        <v>171</v>
      </c>
      <c r="D165" t="s">
        <v>88</v>
      </c>
      <c r="E165" t="s">
        <v>106</v>
      </c>
      <c r="F165" t="s">
        <v>129</v>
      </c>
      <c r="G165" t="s">
        <v>82</v>
      </c>
      <c r="H165" s="21">
        <v>4330</v>
      </c>
      <c r="I165" s="22">
        <v>45905</v>
      </c>
      <c r="J165" s="22">
        <v>45907</v>
      </c>
      <c r="K165" t="s">
        <v>83</v>
      </c>
      <c r="L165" t="s">
        <v>101</v>
      </c>
    </row>
    <row r="166" spans="1:14" ht="15" customHeight="1" x14ac:dyDescent="0.35">
      <c r="A166" t="s">
        <v>389</v>
      </c>
      <c r="B166" t="s">
        <v>285</v>
      </c>
      <c r="C166" t="s">
        <v>286</v>
      </c>
      <c r="D166" t="s">
        <v>79</v>
      </c>
      <c r="E166" t="s">
        <v>89</v>
      </c>
      <c r="F166" t="s">
        <v>81</v>
      </c>
      <c r="G166" t="s">
        <v>82</v>
      </c>
      <c r="H166" s="21">
        <v>8138</v>
      </c>
      <c r="I166" s="22">
        <v>45757</v>
      </c>
      <c r="J166" s="22">
        <v>45777</v>
      </c>
      <c r="K166" t="s">
        <v>90</v>
      </c>
      <c r="L166" t="s">
        <v>138</v>
      </c>
    </row>
    <row r="167" spans="1:14" ht="15" customHeight="1" x14ac:dyDescent="0.35">
      <c r="A167" t="s">
        <v>390</v>
      </c>
      <c r="B167" t="s">
        <v>391</v>
      </c>
      <c r="C167" t="s">
        <v>392</v>
      </c>
      <c r="D167" t="s">
        <v>94</v>
      </c>
      <c r="E167" t="s">
        <v>95</v>
      </c>
      <c r="F167" t="s">
        <v>148</v>
      </c>
      <c r="G167" t="s">
        <v>97</v>
      </c>
      <c r="H167" s="21">
        <v>1922</v>
      </c>
      <c r="I167" s="22">
        <v>45839</v>
      </c>
      <c r="J167" s="22">
        <v>45848</v>
      </c>
      <c r="K167" t="s">
        <v>90</v>
      </c>
      <c r="L167" t="s">
        <v>84</v>
      </c>
    </row>
    <row r="168" spans="1:14" ht="15" customHeight="1" x14ac:dyDescent="0.35">
      <c r="A168" t="s">
        <v>393</v>
      </c>
      <c r="B168" t="s">
        <v>167</v>
      </c>
      <c r="C168" t="s">
        <v>168</v>
      </c>
      <c r="D168" t="s">
        <v>105</v>
      </c>
      <c r="E168" t="s">
        <v>80</v>
      </c>
      <c r="F168" t="s">
        <v>81</v>
      </c>
      <c r="G168" t="s">
        <v>82</v>
      </c>
      <c r="H168" s="21">
        <v>1398</v>
      </c>
      <c r="I168" s="22">
        <v>45909</v>
      </c>
      <c r="J168" s="22">
        <v>45923</v>
      </c>
      <c r="K168" t="s">
        <v>90</v>
      </c>
      <c r="L168" t="s">
        <v>113</v>
      </c>
    </row>
    <row r="169" spans="1:14" ht="15" customHeight="1" x14ac:dyDescent="0.35">
      <c r="A169" t="s">
        <v>394</v>
      </c>
      <c r="B169" t="s">
        <v>143</v>
      </c>
      <c r="C169" t="s">
        <v>144</v>
      </c>
      <c r="D169" t="s">
        <v>94</v>
      </c>
      <c r="E169" t="s">
        <v>89</v>
      </c>
      <c r="F169" t="s">
        <v>96</v>
      </c>
      <c r="G169" t="s">
        <v>97</v>
      </c>
      <c r="H169" s="21">
        <v>4204</v>
      </c>
      <c r="I169" s="22">
        <v>45956</v>
      </c>
      <c r="J169" s="22">
        <v>45970</v>
      </c>
      <c r="K169" t="s">
        <v>90</v>
      </c>
      <c r="L169" t="s">
        <v>107</v>
      </c>
    </row>
    <row r="170" spans="1:14" ht="15" customHeight="1" x14ac:dyDescent="0.35">
      <c r="A170" t="s">
        <v>395</v>
      </c>
      <c r="B170" t="s">
        <v>268</v>
      </c>
      <c r="C170" t="s">
        <v>269</v>
      </c>
      <c r="D170" t="s">
        <v>88</v>
      </c>
      <c r="E170" t="s">
        <v>172</v>
      </c>
      <c r="F170" t="s">
        <v>119</v>
      </c>
      <c r="G170" t="s">
        <v>82</v>
      </c>
      <c r="H170" s="21">
        <v>3969</v>
      </c>
      <c r="I170" s="22">
        <v>46044</v>
      </c>
      <c r="J170" s="22">
        <v>46079</v>
      </c>
      <c r="K170" t="s">
        <v>90</v>
      </c>
      <c r="L170" t="s">
        <v>84</v>
      </c>
    </row>
    <row r="171" spans="1:14" ht="15" customHeight="1" x14ac:dyDescent="0.35">
      <c r="A171" t="s">
        <v>396</v>
      </c>
      <c r="B171" t="s">
        <v>239</v>
      </c>
      <c r="C171" t="s">
        <v>240</v>
      </c>
      <c r="D171" t="s">
        <v>190</v>
      </c>
      <c r="E171" t="s">
        <v>95</v>
      </c>
      <c r="F171" t="s">
        <v>100</v>
      </c>
      <c r="G171" t="s">
        <v>97</v>
      </c>
      <c r="H171" s="21">
        <v>218</v>
      </c>
      <c r="I171" s="22">
        <v>45860</v>
      </c>
      <c r="J171" s="22">
        <v>45880</v>
      </c>
      <c r="K171" t="s">
        <v>83</v>
      </c>
      <c r="L171" t="s">
        <v>113</v>
      </c>
    </row>
    <row r="172" spans="1:14" ht="15" customHeight="1" x14ac:dyDescent="0.35">
      <c r="A172" t="s">
        <v>397</v>
      </c>
      <c r="B172" t="s">
        <v>230</v>
      </c>
      <c r="C172" t="s">
        <v>231</v>
      </c>
      <c r="D172" t="s">
        <v>88</v>
      </c>
      <c r="E172" t="s">
        <v>118</v>
      </c>
      <c r="F172" t="s">
        <v>100</v>
      </c>
      <c r="G172" t="s">
        <v>97</v>
      </c>
      <c r="H172" s="21">
        <v>532</v>
      </c>
      <c r="I172" s="22">
        <v>45912</v>
      </c>
      <c r="J172" s="22">
        <v>45917</v>
      </c>
      <c r="K172" t="s">
        <v>90</v>
      </c>
      <c r="L172" t="s">
        <v>98</v>
      </c>
    </row>
    <row r="173" spans="1:14" ht="15" customHeight="1" x14ac:dyDescent="0.35">
      <c r="A173" t="s">
        <v>398</v>
      </c>
      <c r="B173" t="s">
        <v>185</v>
      </c>
      <c r="C173" t="s">
        <v>186</v>
      </c>
      <c r="D173" t="s">
        <v>94</v>
      </c>
      <c r="E173" t="s">
        <v>89</v>
      </c>
      <c r="F173" t="s">
        <v>81</v>
      </c>
      <c r="G173" t="s">
        <v>82</v>
      </c>
      <c r="H173" s="21">
        <v>3793</v>
      </c>
      <c r="I173" s="22">
        <v>45812</v>
      </c>
      <c r="J173" s="22">
        <v>45826</v>
      </c>
      <c r="K173" t="s">
        <v>83</v>
      </c>
      <c r="L173" t="s">
        <v>138</v>
      </c>
    </row>
    <row r="174" spans="1:14" ht="15" customHeight="1" x14ac:dyDescent="0.35">
      <c r="A174" t="s">
        <v>399</v>
      </c>
      <c r="B174" t="s">
        <v>220</v>
      </c>
      <c r="C174" t="s">
        <v>221</v>
      </c>
      <c r="D174" t="s">
        <v>79</v>
      </c>
      <c r="E174" t="s">
        <v>111</v>
      </c>
      <c r="F174" t="s">
        <v>119</v>
      </c>
      <c r="G174" t="s">
        <v>82</v>
      </c>
      <c r="H174" s="21">
        <v>8037</v>
      </c>
      <c r="I174" s="22">
        <v>45750</v>
      </c>
      <c r="J174" s="22">
        <v>45770</v>
      </c>
      <c r="K174" t="s">
        <v>83</v>
      </c>
      <c r="L174" t="s">
        <v>84</v>
      </c>
      <c r="M174">
        <v>9</v>
      </c>
      <c r="N174" t="s">
        <v>114</v>
      </c>
    </row>
    <row r="175" spans="1:14" ht="15" customHeight="1" x14ac:dyDescent="0.35">
      <c r="A175" t="s">
        <v>400</v>
      </c>
      <c r="B175" t="s">
        <v>344</v>
      </c>
      <c r="C175" t="s">
        <v>345</v>
      </c>
      <c r="D175" t="s">
        <v>94</v>
      </c>
      <c r="E175" t="s">
        <v>80</v>
      </c>
      <c r="F175" t="s">
        <v>112</v>
      </c>
      <c r="G175" t="s">
        <v>82</v>
      </c>
      <c r="H175" s="21">
        <v>1000</v>
      </c>
      <c r="I175" s="22">
        <v>46043</v>
      </c>
      <c r="J175" s="22">
        <v>46048</v>
      </c>
      <c r="K175" t="s">
        <v>90</v>
      </c>
      <c r="L175" t="s">
        <v>98</v>
      </c>
    </row>
    <row r="176" spans="1:14" ht="15" customHeight="1" x14ac:dyDescent="0.35">
      <c r="A176" t="s">
        <v>401</v>
      </c>
      <c r="B176" t="s">
        <v>135</v>
      </c>
      <c r="C176" t="s">
        <v>136</v>
      </c>
      <c r="D176" t="s">
        <v>94</v>
      </c>
      <c r="E176" t="s">
        <v>111</v>
      </c>
      <c r="F176" t="s">
        <v>96</v>
      </c>
      <c r="G176" t="s">
        <v>97</v>
      </c>
      <c r="H176" s="21">
        <v>11238</v>
      </c>
      <c r="I176" s="22">
        <v>45964</v>
      </c>
      <c r="J176" s="22">
        <v>45966</v>
      </c>
      <c r="K176" t="s">
        <v>90</v>
      </c>
      <c r="L176" t="s">
        <v>125</v>
      </c>
      <c r="M176">
        <v>1</v>
      </c>
      <c r="N176" t="s">
        <v>114</v>
      </c>
    </row>
    <row r="177" spans="1:14" ht="15" customHeight="1" x14ac:dyDescent="0.35">
      <c r="A177" t="s">
        <v>402</v>
      </c>
      <c r="B177" t="s">
        <v>316</v>
      </c>
      <c r="C177" t="s">
        <v>317</v>
      </c>
      <c r="D177" t="s">
        <v>88</v>
      </c>
      <c r="E177" t="s">
        <v>111</v>
      </c>
      <c r="F177" t="s">
        <v>81</v>
      </c>
      <c r="G177" t="s">
        <v>82</v>
      </c>
      <c r="H177" s="21">
        <v>19043</v>
      </c>
      <c r="I177" s="22">
        <v>45896</v>
      </c>
      <c r="J177" s="22">
        <v>45898</v>
      </c>
      <c r="K177" t="s">
        <v>90</v>
      </c>
      <c r="L177" t="s">
        <v>113</v>
      </c>
      <c r="M177">
        <v>10</v>
      </c>
      <c r="N177" t="s">
        <v>266</v>
      </c>
    </row>
    <row r="178" spans="1:14" ht="15" customHeight="1" x14ac:dyDescent="0.35">
      <c r="A178" t="s">
        <v>403</v>
      </c>
      <c r="B178" t="s">
        <v>263</v>
      </c>
      <c r="C178" t="s">
        <v>264</v>
      </c>
      <c r="D178" t="s">
        <v>94</v>
      </c>
      <c r="E178" t="s">
        <v>118</v>
      </c>
      <c r="F178" t="s">
        <v>100</v>
      </c>
      <c r="G178" t="s">
        <v>97</v>
      </c>
      <c r="H178" s="21">
        <v>870</v>
      </c>
      <c r="I178" s="22">
        <v>45930</v>
      </c>
      <c r="J178" s="22">
        <v>45950</v>
      </c>
      <c r="K178" t="s">
        <v>90</v>
      </c>
      <c r="L178" t="s">
        <v>125</v>
      </c>
    </row>
    <row r="179" spans="1:14" ht="15" customHeight="1" x14ac:dyDescent="0.35">
      <c r="A179" t="s">
        <v>404</v>
      </c>
      <c r="B179" t="s">
        <v>224</v>
      </c>
      <c r="C179" t="s">
        <v>225</v>
      </c>
      <c r="D179" t="s">
        <v>79</v>
      </c>
      <c r="E179" t="s">
        <v>95</v>
      </c>
      <c r="F179" t="s">
        <v>119</v>
      </c>
      <c r="G179" t="s">
        <v>82</v>
      </c>
      <c r="H179" s="21">
        <v>643</v>
      </c>
      <c r="I179" s="22">
        <v>45926</v>
      </c>
      <c r="J179" s="22">
        <v>45928</v>
      </c>
      <c r="K179" t="s">
        <v>90</v>
      </c>
      <c r="L179" t="s">
        <v>84</v>
      </c>
    </row>
    <row r="180" spans="1:14" ht="15" customHeight="1" x14ac:dyDescent="0.35">
      <c r="A180" t="s">
        <v>405</v>
      </c>
      <c r="B180" t="s">
        <v>212</v>
      </c>
      <c r="C180" t="s">
        <v>213</v>
      </c>
      <c r="D180" t="s">
        <v>94</v>
      </c>
      <c r="E180" t="s">
        <v>118</v>
      </c>
      <c r="F180" t="s">
        <v>124</v>
      </c>
      <c r="G180" t="s">
        <v>97</v>
      </c>
      <c r="H180" s="21">
        <v>1306</v>
      </c>
      <c r="I180" s="22">
        <v>45875</v>
      </c>
      <c r="J180" s="22">
        <v>45877</v>
      </c>
      <c r="K180" t="s">
        <v>90</v>
      </c>
      <c r="L180" t="s">
        <v>138</v>
      </c>
    </row>
    <row r="181" spans="1:14" ht="15" customHeight="1" x14ac:dyDescent="0.35">
      <c r="A181" t="s">
        <v>406</v>
      </c>
      <c r="B181" t="s">
        <v>260</v>
      </c>
      <c r="C181" t="s">
        <v>261</v>
      </c>
      <c r="D181" t="s">
        <v>105</v>
      </c>
      <c r="E181" t="s">
        <v>123</v>
      </c>
      <c r="F181" t="s">
        <v>129</v>
      </c>
      <c r="G181" t="s">
        <v>82</v>
      </c>
      <c r="H181" s="21">
        <v>4477</v>
      </c>
      <c r="I181" s="22">
        <v>45905</v>
      </c>
      <c r="J181" s="22">
        <v>45940</v>
      </c>
      <c r="K181" t="s">
        <v>90</v>
      </c>
      <c r="L181" t="s">
        <v>84</v>
      </c>
    </row>
    <row r="182" spans="1:14" ht="15" customHeight="1" x14ac:dyDescent="0.35">
      <c r="A182" t="s">
        <v>407</v>
      </c>
      <c r="B182" t="s">
        <v>220</v>
      </c>
      <c r="C182" t="s">
        <v>221</v>
      </c>
      <c r="D182" t="s">
        <v>79</v>
      </c>
      <c r="E182" t="s">
        <v>80</v>
      </c>
      <c r="F182" t="s">
        <v>96</v>
      </c>
      <c r="G182" t="s">
        <v>97</v>
      </c>
      <c r="H182" s="21">
        <v>1080</v>
      </c>
      <c r="I182" s="22">
        <v>45881</v>
      </c>
      <c r="J182" s="22">
        <v>45886</v>
      </c>
      <c r="K182" t="s">
        <v>90</v>
      </c>
      <c r="L182" t="s">
        <v>113</v>
      </c>
    </row>
    <row r="183" spans="1:14" ht="15" customHeight="1" x14ac:dyDescent="0.35">
      <c r="A183" t="s">
        <v>408</v>
      </c>
      <c r="B183" t="s">
        <v>297</v>
      </c>
      <c r="C183" t="s">
        <v>298</v>
      </c>
      <c r="D183" t="s">
        <v>88</v>
      </c>
      <c r="E183" t="s">
        <v>89</v>
      </c>
      <c r="F183" t="s">
        <v>124</v>
      </c>
      <c r="G183" t="s">
        <v>97</v>
      </c>
      <c r="H183" s="21">
        <v>11639</v>
      </c>
      <c r="I183" s="22">
        <v>45868</v>
      </c>
      <c r="J183" s="22">
        <v>45870</v>
      </c>
      <c r="K183" t="s">
        <v>90</v>
      </c>
      <c r="L183" t="s">
        <v>107</v>
      </c>
    </row>
    <row r="184" spans="1:14" ht="15" customHeight="1" x14ac:dyDescent="0.35">
      <c r="A184" t="s">
        <v>409</v>
      </c>
      <c r="B184" t="s">
        <v>289</v>
      </c>
      <c r="C184" t="s">
        <v>290</v>
      </c>
      <c r="D184" t="s">
        <v>88</v>
      </c>
      <c r="E184" t="s">
        <v>95</v>
      </c>
      <c r="F184" t="s">
        <v>112</v>
      </c>
      <c r="G184" t="s">
        <v>82</v>
      </c>
      <c r="H184" s="21">
        <v>217</v>
      </c>
      <c r="I184" s="22">
        <v>46029</v>
      </c>
      <c r="J184" s="22">
        <v>46034</v>
      </c>
      <c r="K184" t="s">
        <v>83</v>
      </c>
      <c r="L184" t="s">
        <v>125</v>
      </c>
    </row>
    <row r="185" spans="1:14" ht="15" customHeight="1" x14ac:dyDescent="0.35">
      <c r="A185" t="s">
        <v>410</v>
      </c>
      <c r="B185" t="s">
        <v>109</v>
      </c>
      <c r="C185" t="s">
        <v>110</v>
      </c>
      <c r="D185" t="s">
        <v>79</v>
      </c>
      <c r="E185" t="s">
        <v>123</v>
      </c>
      <c r="F185" t="s">
        <v>100</v>
      </c>
      <c r="G185" t="s">
        <v>97</v>
      </c>
      <c r="H185" s="21">
        <v>16960</v>
      </c>
      <c r="I185" s="22">
        <v>45888</v>
      </c>
      <c r="J185" s="22">
        <v>45893</v>
      </c>
      <c r="K185" t="s">
        <v>90</v>
      </c>
      <c r="L185" t="s">
        <v>101</v>
      </c>
    </row>
    <row r="186" spans="1:14" ht="15" customHeight="1" x14ac:dyDescent="0.35">
      <c r="A186" t="s">
        <v>411</v>
      </c>
      <c r="B186" t="s">
        <v>220</v>
      </c>
      <c r="C186" t="s">
        <v>221</v>
      </c>
      <c r="D186" t="s">
        <v>79</v>
      </c>
      <c r="E186" t="s">
        <v>172</v>
      </c>
      <c r="F186" t="s">
        <v>119</v>
      </c>
      <c r="G186" t="s">
        <v>82</v>
      </c>
      <c r="H186" s="21">
        <v>2020</v>
      </c>
      <c r="I186" s="22">
        <v>45923</v>
      </c>
      <c r="J186" s="22">
        <v>45937</v>
      </c>
      <c r="K186" t="s">
        <v>90</v>
      </c>
      <c r="L186" t="s">
        <v>101</v>
      </c>
    </row>
    <row r="187" spans="1:14" ht="15" customHeight="1" x14ac:dyDescent="0.35">
      <c r="A187" t="s">
        <v>412</v>
      </c>
      <c r="B187" t="s">
        <v>146</v>
      </c>
      <c r="C187" t="s">
        <v>147</v>
      </c>
      <c r="D187" t="s">
        <v>94</v>
      </c>
      <c r="E187" t="s">
        <v>111</v>
      </c>
      <c r="F187" t="s">
        <v>112</v>
      </c>
      <c r="G187" t="s">
        <v>82</v>
      </c>
      <c r="H187" s="21">
        <v>15855</v>
      </c>
      <c r="I187" s="22">
        <v>45880</v>
      </c>
      <c r="J187" s="22">
        <v>45882</v>
      </c>
      <c r="K187" t="s">
        <v>90</v>
      </c>
      <c r="L187" t="s">
        <v>84</v>
      </c>
      <c r="M187">
        <v>18</v>
      </c>
      <c r="N187" t="s">
        <v>114</v>
      </c>
    </row>
    <row r="188" spans="1:14" ht="15" customHeight="1" x14ac:dyDescent="0.35">
      <c r="A188" t="s">
        <v>413</v>
      </c>
      <c r="B188" t="s">
        <v>289</v>
      </c>
      <c r="C188" t="s">
        <v>290</v>
      </c>
      <c r="D188" t="s">
        <v>88</v>
      </c>
      <c r="E188" t="s">
        <v>172</v>
      </c>
      <c r="F188" t="s">
        <v>148</v>
      </c>
      <c r="G188" t="s">
        <v>97</v>
      </c>
      <c r="H188" s="21">
        <v>1467</v>
      </c>
      <c r="I188" s="22">
        <v>45935</v>
      </c>
      <c r="J188" s="22">
        <v>45944</v>
      </c>
      <c r="K188" t="s">
        <v>90</v>
      </c>
      <c r="L188" t="s">
        <v>138</v>
      </c>
    </row>
    <row r="189" spans="1:14" ht="15" customHeight="1" x14ac:dyDescent="0.35">
      <c r="A189" t="s">
        <v>414</v>
      </c>
      <c r="B189" t="s">
        <v>370</v>
      </c>
      <c r="C189" t="s">
        <v>371</v>
      </c>
      <c r="D189" t="s">
        <v>88</v>
      </c>
      <c r="E189" t="s">
        <v>118</v>
      </c>
      <c r="F189" t="s">
        <v>81</v>
      </c>
      <c r="G189" t="s">
        <v>82</v>
      </c>
      <c r="H189" s="21">
        <v>1028</v>
      </c>
      <c r="I189" s="22">
        <v>45810</v>
      </c>
      <c r="J189" s="22">
        <v>45819</v>
      </c>
      <c r="K189" t="s">
        <v>83</v>
      </c>
      <c r="L189" t="s">
        <v>107</v>
      </c>
    </row>
    <row r="190" spans="1:14" ht="15" customHeight="1" x14ac:dyDescent="0.35">
      <c r="A190" t="s">
        <v>415</v>
      </c>
      <c r="B190" t="s">
        <v>203</v>
      </c>
      <c r="C190" t="s">
        <v>204</v>
      </c>
      <c r="D190" t="s">
        <v>88</v>
      </c>
      <c r="E190" t="s">
        <v>95</v>
      </c>
      <c r="F190" t="s">
        <v>129</v>
      </c>
      <c r="G190" t="s">
        <v>82</v>
      </c>
      <c r="H190" s="21">
        <v>1563</v>
      </c>
      <c r="I190" s="22">
        <v>46071</v>
      </c>
      <c r="J190" s="22">
        <v>46080</v>
      </c>
      <c r="K190" t="s">
        <v>90</v>
      </c>
      <c r="L190" t="s">
        <v>125</v>
      </c>
    </row>
    <row r="191" spans="1:14" ht="15" customHeight="1" x14ac:dyDescent="0.35">
      <c r="A191" t="s">
        <v>416</v>
      </c>
      <c r="B191" t="s">
        <v>224</v>
      </c>
      <c r="C191" t="s">
        <v>225</v>
      </c>
      <c r="D191" t="s">
        <v>79</v>
      </c>
      <c r="E191" t="s">
        <v>95</v>
      </c>
      <c r="F191" t="s">
        <v>96</v>
      </c>
      <c r="G191" t="s">
        <v>97</v>
      </c>
      <c r="H191" s="21">
        <v>1402</v>
      </c>
      <c r="I191" s="22">
        <v>45954</v>
      </c>
      <c r="J191" s="22">
        <v>45956</v>
      </c>
      <c r="K191" t="s">
        <v>90</v>
      </c>
      <c r="L191" t="s">
        <v>98</v>
      </c>
    </row>
    <row r="192" spans="1:14" ht="15" customHeight="1" x14ac:dyDescent="0.35">
      <c r="A192" t="s">
        <v>417</v>
      </c>
      <c r="B192" t="s">
        <v>306</v>
      </c>
      <c r="C192" t="s">
        <v>307</v>
      </c>
      <c r="D192" t="s">
        <v>88</v>
      </c>
      <c r="E192" t="s">
        <v>89</v>
      </c>
      <c r="F192" t="s">
        <v>112</v>
      </c>
      <c r="G192" t="s">
        <v>82</v>
      </c>
      <c r="H192" s="21">
        <v>15881</v>
      </c>
      <c r="I192" s="22">
        <v>45922</v>
      </c>
      <c r="J192" s="22">
        <v>45992</v>
      </c>
      <c r="K192" t="s">
        <v>90</v>
      </c>
      <c r="L192" t="s">
        <v>98</v>
      </c>
    </row>
    <row r="193" spans="1:14" ht="15" customHeight="1" x14ac:dyDescent="0.35">
      <c r="A193" t="s">
        <v>418</v>
      </c>
      <c r="B193" t="s">
        <v>77</v>
      </c>
      <c r="C193" t="s">
        <v>78</v>
      </c>
      <c r="D193" t="s">
        <v>79</v>
      </c>
      <c r="E193" t="s">
        <v>95</v>
      </c>
      <c r="F193" t="s">
        <v>124</v>
      </c>
      <c r="G193" t="s">
        <v>97</v>
      </c>
      <c r="H193" s="21">
        <v>2035</v>
      </c>
      <c r="I193" s="22">
        <v>45968</v>
      </c>
      <c r="J193" s="22">
        <v>46003</v>
      </c>
      <c r="K193" t="s">
        <v>83</v>
      </c>
      <c r="L193" t="s">
        <v>107</v>
      </c>
    </row>
    <row r="194" spans="1:14" ht="15" customHeight="1" x14ac:dyDescent="0.35">
      <c r="A194" t="s">
        <v>419</v>
      </c>
      <c r="B194" t="s">
        <v>161</v>
      </c>
      <c r="C194" t="s">
        <v>162</v>
      </c>
      <c r="D194" t="s">
        <v>79</v>
      </c>
      <c r="E194" t="s">
        <v>95</v>
      </c>
      <c r="F194" t="s">
        <v>112</v>
      </c>
      <c r="G194" t="s">
        <v>82</v>
      </c>
      <c r="H194" s="21">
        <v>1684</v>
      </c>
      <c r="I194" s="22">
        <v>46039</v>
      </c>
      <c r="J194" s="22">
        <v>46053</v>
      </c>
      <c r="K194" t="s">
        <v>83</v>
      </c>
      <c r="L194" t="s">
        <v>125</v>
      </c>
    </row>
    <row r="195" spans="1:14" ht="15" customHeight="1" x14ac:dyDescent="0.35">
      <c r="A195" t="s">
        <v>420</v>
      </c>
      <c r="B195" t="s">
        <v>344</v>
      </c>
      <c r="C195" t="s">
        <v>345</v>
      </c>
      <c r="D195" t="s">
        <v>94</v>
      </c>
      <c r="E195" t="s">
        <v>118</v>
      </c>
      <c r="F195" t="s">
        <v>81</v>
      </c>
      <c r="G195" t="s">
        <v>82</v>
      </c>
      <c r="H195" s="21">
        <v>757</v>
      </c>
      <c r="I195" s="22">
        <v>45952</v>
      </c>
      <c r="J195" s="22">
        <v>45987</v>
      </c>
      <c r="K195" t="s">
        <v>90</v>
      </c>
      <c r="L195" t="s">
        <v>138</v>
      </c>
    </row>
    <row r="196" spans="1:14" ht="15" customHeight="1" x14ac:dyDescent="0.35">
      <c r="A196" t="s">
        <v>421</v>
      </c>
      <c r="B196" t="s">
        <v>285</v>
      </c>
      <c r="C196" t="s">
        <v>286</v>
      </c>
      <c r="D196" t="s">
        <v>79</v>
      </c>
      <c r="E196" t="s">
        <v>172</v>
      </c>
      <c r="F196" t="s">
        <v>129</v>
      </c>
      <c r="G196" t="s">
        <v>82</v>
      </c>
      <c r="H196" s="21">
        <v>2394</v>
      </c>
      <c r="I196" s="22">
        <v>46015</v>
      </c>
      <c r="J196" s="22">
        <v>46050</v>
      </c>
      <c r="K196" t="s">
        <v>90</v>
      </c>
      <c r="L196" t="s">
        <v>125</v>
      </c>
    </row>
    <row r="197" spans="1:14" ht="15" customHeight="1" x14ac:dyDescent="0.35">
      <c r="A197" t="s">
        <v>422</v>
      </c>
      <c r="B197" t="s">
        <v>146</v>
      </c>
      <c r="C197" t="s">
        <v>147</v>
      </c>
      <c r="D197" t="s">
        <v>94</v>
      </c>
      <c r="E197" t="s">
        <v>95</v>
      </c>
      <c r="F197" t="s">
        <v>119</v>
      </c>
      <c r="G197" t="s">
        <v>82</v>
      </c>
      <c r="H197" s="21">
        <v>2005</v>
      </c>
      <c r="I197" s="22">
        <v>45769</v>
      </c>
      <c r="J197" s="22">
        <v>45783</v>
      </c>
      <c r="K197" t="s">
        <v>90</v>
      </c>
      <c r="L197" t="s">
        <v>130</v>
      </c>
    </row>
    <row r="198" spans="1:14" ht="15" customHeight="1" x14ac:dyDescent="0.35">
      <c r="A198" t="s">
        <v>423</v>
      </c>
      <c r="B198" t="s">
        <v>176</v>
      </c>
      <c r="C198" t="s">
        <v>177</v>
      </c>
      <c r="D198" t="s">
        <v>79</v>
      </c>
      <c r="E198" t="s">
        <v>89</v>
      </c>
      <c r="F198" t="s">
        <v>119</v>
      </c>
      <c r="G198" t="s">
        <v>82</v>
      </c>
      <c r="H198" s="21">
        <v>3644</v>
      </c>
      <c r="I198" s="22">
        <v>45876</v>
      </c>
      <c r="J198" s="22">
        <v>45878</v>
      </c>
      <c r="K198" t="s">
        <v>90</v>
      </c>
      <c r="L198" t="s">
        <v>84</v>
      </c>
    </row>
    <row r="199" spans="1:14" ht="15" customHeight="1" x14ac:dyDescent="0.35">
      <c r="A199" t="s">
        <v>424</v>
      </c>
      <c r="B199" t="s">
        <v>268</v>
      </c>
      <c r="C199" t="s">
        <v>269</v>
      </c>
      <c r="D199" t="s">
        <v>88</v>
      </c>
      <c r="E199" t="s">
        <v>89</v>
      </c>
      <c r="F199" t="s">
        <v>96</v>
      </c>
      <c r="G199" t="s">
        <v>97</v>
      </c>
      <c r="H199" s="21">
        <v>10985</v>
      </c>
      <c r="I199" s="22">
        <v>45769</v>
      </c>
      <c r="J199" s="22">
        <v>45783</v>
      </c>
      <c r="K199" t="s">
        <v>90</v>
      </c>
      <c r="L199" t="s">
        <v>130</v>
      </c>
    </row>
    <row r="200" spans="1:14" ht="15" customHeight="1" x14ac:dyDescent="0.35">
      <c r="A200" t="s">
        <v>425</v>
      </c>
      <c r="B200" t="s">
        <v>164</v>
      </c>
      <c r="C200" t="s">
        <v>165</v>
      </c>
      <c r="D200" t="s">
        <v>94</v>
      </c>
      <c r="E200" t="s">
        <v>89</v>
      </c>
      <c r="F200" t="s">
        <v>148</v>
      </c>
      <c r="G200" t="s">
        <v>97</v>
      </c>
      <c r="H200" s="21">
        <v>6404</v>
      </c>
      <c r="I200" s="22">
        <v>45847</v>
      </c>
      <c r="J200" s="22">
        <v>45867</v>
      </c>
      <c r="K200" t="s">
        <v>90</v>
      </c>
      <c r="L200" t="s">
        <v>98</v>
      </c>
    </row>
    <row r="201" spans="1:14" ht="15" customHeight="1" x14ac:dyDescent="0.35">
      <c r="A201" t="s">
        <v>426</v>
      </c>
      <c r="B201" t="s">
        <v>206</v>
      </c>
      <c r="C201" t="s">
        <v>207</v>
      </c>
      <c r="D201" t="s">
        <v>88</v>
      </c>
      <c r="E201" t="s">
        <v>111</v>
      </c>
      <c r="F201" t="s">
        <v>129</v>
      </c>
      <c r="G201" t="s">
        <v>82</v>
      </c>
      <c r="H201" s="21">
        <v>11325</v>
      </c>
      <c r="I201" s="22">
        <v>46066</v>
      </c>
      <c r="J201" s="22">
        <v>46075</v>
      </c>
      <c r="K201" t="s">
        <v>90</v>
      </c>
      <c r="L201" t="s">
        <v>107</v>
      </c>
      <c r="M201">
        <v>8</v>
      </c>
      <c r="N201" t="s">
        <v>114</v>
      </c>
    </row>
    <row r="202" spans="1:14" ht="15" customHeight="1" x14ac:dyDescent="0.35">
      <c r="A202" t="s">
        <v>427</v>
      </c>
      <c r="B202" t="s">
        <v>158</v>
      </c>
      <c r="C202" t="s">
        <v>159</v>
      </c>
      <c r="D202" t="s">
        <v>94</v>
      </c>
      <c r="E202" t="s">
        <v>89</v>
      </c>
      <c r="F202" t="s">
        <v>119</v>
      </c>
      <c r="G202" t="s">
        <v>82</v>
      </c>
      <c r="H202" s="21">
        <v>9162</v>
      </c>
      <c r="I202" s="22">
        <v>45772</v>
      </c>
      <c r="J202" s="22">
        <v>45774</v>
      </c>
      <c r="K202" t="s">
        <v>90</v>
      </c>
      <c r="L202" t="s">
        <v>125</v>
      </c>
    </row>
    <row r="203" spans="1:14" ht="15" customHeight="1" x14ac:dyDescent="0.35">
      <c r="A203" t="s">
        <v>428</v>
      </c>
      <c r="B203" t="s">
        <v>121</v>
      </c>
      <c r="C203" t="s">
        <v>122</v>
      </c>
      <c r="D203" t="s">
        <v>94</v>
      </c>
      <c r="E203" t="s">
        <v>111</v>
      </c>
      <c r="F203" t="s">
        <v>148</v>
      </c>
      <c r="G203" t="s">
        <v>97</v>
      </c>
      <c r="H203" s="21">
        <v>4694</v>
      </c>
      <c r="I203" s="22">
        <v>45871</v>
      </c>
      <c r="J203" s="22">
        <v>45873</v>
      </c>
      <c r="K203" t="s">
        <v>90</v>
      </c>
      <c r="L203" t="s">
        <v>125</v>
      </c>
      <c r="M203">
        <v>15</v>
      </c>
      <c r="N203" t="s">
        <v>114</v>
      </c>
    </row>
    <row r="204" spans="1:14" ht="15" customHeight="1" x14ac:dyDescent="0.35">
      <c r="A204" t="s">
        <v>429</v>
      </c>
      <c r="B204" t="s">
        <v>233</v>
      </c>
      <c r="C204" t="s">
        <v>234</v>
      </c>
      <c r="D204" t="s">
        <v>88</v>
      </c>
      <c r="E204" t="s">
        <v>95</v>
      </c>
      <c r="F204" t="s">
        <v>124</v>
      </c>
      <c r="G204" t="s">
        <v>97</v>
      </c>
      <c r="H204" s="21">
        <v>704</v>
      </c>
      <c r="I204" s="22">
        <v>45774</v>
      </c>
      <c r="J204" s="22">
        <v>45794</v>
      </c>
      <c r="K204" t="s">
        <v>90</v>
      </c>
      <c r="L204" t="s">
        <v>101</v>
      </c>
    </row>
    <row r="205" spans="1:14" ht="15" customHeight="1" x14ac:dyDescent="0.35">
      <c r="A205" t="s">
        <v>430</v>
      </c>
      <c r="B205" t="s">
        <v>391</v>
      </c>
      <c r="C205" t="s">
        <v>392</v>
      </c>
      <c r="D205" t="s">
        <v>94</v>
      </c>
      <c r="E205" t="s">
        <v>111</v>
      </c>
      <c r="F205" t="s">
        <v>129</v>
      </c>
      <c r="G205" t="s">
        <v>82</v>
      </c>
      <c r="H205" s="21">
        <v>18346</v>
      </c>
      <c r="I205" s="22">
        <v>45906</v>
      </c>
      <c r="J205" s="22">
        <v>45911</v>
      </c>
      <c r="K205" t="s">
        <v>90</v>
      </c>
      <c r="L205" t="s">
        <v>101</v>
      </c>
      <c r="M205">
        <v>2</v>
      </c>
      <c r="N205" t="s">
        <v>114</v>
      </c>
    </row>
    <row r="206" spans="1:14" ht="15" customHeight="1" x14ac:dyDescent="0.35">
      <c r="A206" t="s">
        <v>431</v>
      </c>
      <c r="B206" t="s">
        <v>220</v>
      </c>
      <c r="C206" t="s">
        <v>221</v>
      </c>
      <c r="D206" t="s">
        <v>79</v>
      </c>
      <c r="E206" t="s">
        <v>89</v>
      </c>
      <c r="F206" t="s">
        <v>124</v>
      </c>
      <c r="G206" t="s">
        <v>97</v>
      </c>
      <c r="H206" s="21">
        <v>12326</v>
      </c>
      <c r="I206" s="22">
        <v>45897</v>
      </c>
      <c r="J206" s="22">
        <v>45899</v>
      </c>
      <c r="K206" t="s">
        <v>90</v>
      </c>
      <c r="L206" t="s">
        <v>113</v>
      </c>
    </row>
    <row r="207" spans="1:14" ht="15" customHeight="1" x14ac:dyDescent="0.35">
      <c r="A207" t="s">
        <v>432</v>
      </c>
      <c r="B207" t="s">
        <v>263</v>
      </c>
      <c r="C207" t="s">
        <v>264</v>
      </c>
      <c r="D207" t="s">
        <v>94</v>
      </c>
      <c r="E207" t="s">
        <v>111</v>
      </c>
      <c r="F207" t="s">
        <v>119</v>
      </c>
      <c r="G207" t="s">
        <v>82</v>
      </c>
      <c r="H207" s="21">
        <v>15875</v>
      </c>
      <c r="I207" s="22">
        <v>45927</v>
      </c>
      <c r="J207" s="22">
        <v>45941</v>
      </c>
      <c r="K207" t="s">
        <v>90</v>
      </c>
      <c r="L207" t="s">
        <v>130</v>
      </c>
      <c r="M207">
        <v>1</v>
      </c>
      <c r="N207" t="s">
        <v>114</v>
      </c>
    </row>
    <row r="208" spans="1:14" ht="15" customHeight="1" x14ac:dyDescent="0.35">
      <c r="A208" t="s">
        <v>433</v>
      </c>
      <c r="B208" t="s">
        <v>220</v>
      </c>
      <c r="C208" t="s">
        <v>221</v>
      </c>
      <c r="D208" t="s">
        <v>79</v>
      </c>
      <c r="E208" t="s">
        <v>80</v>
      </c>
      <c r="F208" t="s">
        <v>81</v>
      </c>
      <c r="G208" t="s">
        <v>82</v>
      </c>
      <c r="H208" s="21">
        <v>1266</v>
      </c>
      <c r="I208" s="22">
        <v>46035</v>
      </c>
      <c r="J208" s="22">
        <v>46044</v>
      </c>
      <c r="K208" t="s">
        <v>90</v>
      </c>
      <c r="L208" t="s">
        <v>130</v>
      </c>
    </row>
    <row r="209" spans="1:14" ht="15" customHeight="1" x14ac:dyDescent="0.35">
      <c r="A209" t="s">
        <v>434</v>
      </c>
      <c r="B209" t="s">
        <v>289</v>
      </c>
      <c r="C209" t="s">
        <v>290</v>
      </c>
      <c r="D209" t="s">
        <v>88</v>
      </c>
      <c r="E209" t="s">
        <v>111</v>
      </c>
      <c r="F209" t="s">
        <v>112</v>
      </c>
      <c r="G209" t="s">
        <v>82</v>
      </c>
      <c r="H209" s="21">
        <v>15133</v>
      </c>
      <c r="I209" s="22">
        <v>46033</v>
      </c>
      <c r="J209" s="22">
        <v>46038</v>
      </c>
      <c r="K209" t="s">
        <v>90</v>
      </c>
      <c r="L209" t="s">
        <v>138</v>
      </c>
      <c r="M209">
        <v>14</v>
      </c>
      <c r="N209" t="s">
        <v>114</v>
      </c>
    </row>
    <row r="210" spans="1:14" ht="15" customHeight="1" x14ac:dyDescent="0.35">
      <c r="A210" t="s">
        <v>435</v>
      </c>
      <c r="B210" t="s">
        <v>158</v>
      </c>
      <c r="C210" t="s">
        <v>159</v>
      </c>
      <c r="D210" t="s">
        <v>94</v>
      </c>
      <c r="E210" t="s">
        <v>95</v>
      </c>
      <c r="F210" t="s">
        <v>81</v>
      </c>
      <c r="G210" t="s">
        <v>82</v>
      </c>
      <c r="H210" s="21">
        <v>766</v>
      </c>
      <c r="I210" s="22">
        <v>45799</v>
      </c>
      <c r="J210" s="22">
        <v>45813</v>
      </c>
      <c r="K210" t="s">
        <v>90</v>
      </c>
      <c r="L210" t="s">
        <v>107</v>
      </c>
    </row>
    <row r="211" spans="1:14" ht="15" customHeight="1" x14ac:dyDescent="0.35">
      <c r="A211" t="s">
        <v>436</v>
      </c>
      <c r="B211" t="s">
        <v>140</v>
      </c>
      <c r="C211" t="s">
        <v>141</v>
      </c>
      <c r="D211" t="s">
        <v>88</v>
      </c>
      <c r="E211" t="s">
        <v>80</v>
      </c>
      <c r="F211" t="s">
        <v>148</v>
      </c>
      <c r="G211" t="s">
        <v>97</v>
      </c>
      <c r="H211" s="21">
        <v>441</v>
      </c>
      <c r="I211" s="22">
        <v>46054</v>
      </c>
      <c r="J211" s="22">
        <v>46089</v>
      </c>
      <c r="K211" t="s">
        <v>90</v>
      </c>
      <c r="L211" t="s">
        <v>113</v>
      </c>
    </row>
    <row r="212" spans="1:14" ht="15" customHeight="1" x14ac:dyDescent="0.35">
      <c r="A212" t="s">
        <v>437</v>
      </c>
      <c r="B212" t="s">
        <v>306</v>
      </c>
      <c r="C212" t="s">
        <v>307</v>
      </c>
      <c r="D212" t="s">
        <v>88</v>
      </c>
      <c r="E212" t="s">
        <v>123</v>
      </c>
      <c r="F212" t="s">
        <v>81</v>
      </c>
      <c r="G212" t="s">
        <v>82</v>
      </c>
      <c r="H212" s="21">
        <v>15773</v>
      </c>
      <c r="I212" s="22">
        <v>46002</v>
      </c>
      <c r="J212" s="22">
        <v>46011</v>
      </c>
      <c r="K212" t="s">
        <v>83</v>
      </c>
      <c r="L212" t="s">
        <v>101</v>
      </c>
    </row>
    <row r="213" spans="1:14" ht="15" customHeight="1" x14ac:dyDescent="0.35">
      <c r="A213" t="s">
        <v>438</v>
      </c>
      <c r="B213" t="s">
        <v>109</v>
      </c>
      <c r="C213" t="s">
        <v>110</v>
      </c>
      <c r="D213" t="s">
        <v>79</v>
      </c>
      <c r="E213" t="s">
        <v>80</v>
      </c>
      <c r="F213" t="s">
        <v>96</v>
      </c>
      <c r="G213" t="s">
        <v>97</v>
      </c>
      <c r="H213" s="21">
        <v>832</v>
      </c>
      <c r="I213" s="22">
        <v>45783</v>
      </c>
      <c r="J213" s="22">
        <v>45785</v>
      </c>
      <c r="K213" t="s">
        <v>90</v>
      </c>
      <c r="L213" t="s">
        <v>113</v>
      </c>
    </row>
    <row r="214" spans="1:14" ht="15" customHeight="1" x14ac:dyDescent="0.35">
      <c r="A214" t="s">
        <v>439</v>
      </c>
      <c r="B214" t="s">
        <v>109</v>
      </c>
      <c r="C214" t="s">
        <v>110</v>
      </c>
      <c r="D214" t="s">
        <v>79</v>
      </c>
      <c r="E214" t="s">
        <v>95</v>
      </c>
      <c r="F214" t="s">
        <v>119</v>
      </c>
      <c r="G214" t="s">
        <v>82</v>
      </c>
      <c r="H214" s="21">
        <v>1669</v>
      </c>
      <c r="I214" s="22">
        <v>46023</v>
      </c>
      <c r="J214" s="22">
        <v>46093</v>
      </c>
      <c r="K214" t="s">
        <v>90</v>
      </c>
      <c r="L214" t="s">
        <v>130</v>
      </c>
    </row>
    <row r="215" spans="1:14" ht="15" customHeight="1" x14ac:dyDescent="0.35">
      <c r="A215" t="s">
        <v>440</v>
      </c>
      <c r="B215" t="s">
        <v>297</v>
      </c>
      <c r="C215" t="s">
        <v>298</v>
      </c>
      <c r="D215" t="s">
        <v>88</v>
      </c>
      <c r="E215" t="s">
        <v>80</v>
      </c>
      <c r="F215" t="s">
        <v>119</v>
      </c>
      <c r="G215" t="s">
        <v>82</v>
      </c>
      <c r="H215" s="21">
        <v>925</v>
      </c>
      <c r="I215" s="22">
        <v>45974</v>
      </c>
      <c r="J215" s="22">
        <v>45979</v>
      </c>
      <c r="K215" t="s">
        <v>90</v>
      </c>
      <c r="L215" t="s">
        <v>138</v>
      </c>
    </row>
    <row r="216" spans="1:14" ht="15" customHeight="1" x14ac:dyDescent="0.35">
      <c r="A216" t="s">
        <v>441</v>
      </c>
      <c r="B216" t="s">
        <v>86</v>
      </c>
      <c r="C216" t="s">
        <v>87</v>
      </c>
      <c r="D216" t="s">
        <v>88</v>
      </c>
      <c r="E216" t="s">
        <v>111</v>
      </c>
      <c r="F216" t="s">
        <v>129</v>
      </c>
      <c r="G216" t="s">
        <v>82</v>
      </c>
      <c r="H216" s="21">
        <v>7038</v>
      </c>
      <c r="I216" s="22">
        <v>45918</v>
      </c>
      <c r="J216" s="22">
        <v>45920</v>
      </c>
      <c r="K216" t="s">
        <v>83</v>
      </c>
      <c r="L216" t="s">
        <v>138</v>
      </c>
      <c r="M216">
        <v>17</v>
      </c>
      <c r="N216" t="s">
        <v>114</v>
      </c>
    </row>
    <row r="217" spans="1:14" ht="15" customHeight="1" x14ac:dyDescent="0.35">
      <c r="A217" t="s">
        <v>442</v>
      </c>
      <c r="B217" t="s">
        <v>239</v>
      </c>
      <c r="C217" t="s">
        <v>240</v>
      </c>
      <c r="D217" t="s">
        <v>190</v>
      </c>
      <c r="E217" t="s">
        <v>95</v>
      </c>
      <c r="F217" t="s">
        <v>124</v>
      </c>
      <c r="G217" t="s">
        <v>97</v>
      </c>
      <c r="H217" s="21">
        <v>1949</v>
      </c>
      <c r="I217" s="22">
        <v>45887</v>
      </c>
      <c r="J217" s="22">
        <v>45889</v>
      </c>
      <c r="K217" t="s">
        <v>90</v>
      </c>
      <c r="L217" t="s">
        <v>138</v>
      </c>
    </row>
    <row r="218" spans="1:14" ht="15" customHeight="1" x14ac:dyDescent="0.35">
      <c r="A218" t="s">
        <v>443</v>
      </c>
      <c r="B218" t="s">
        <v>109</v>
      </c>
      <c r="C218" t="s">
        <v>110</v>
      </c>
      <c r="D218" t="s">
        <v>79</v>
      </c>
      <c r="E218" t="s">
        <v>89</v>
      </c>
      <c r="F218" t="s">
        <v>81</v>
      </c>
      <c r="G218" t="s">
        <v>82</v>
      </c>
      <c r="H218" s="21">
        <v>7899</v>
      </c>
      <c r="I218" s="22">
        <v>45966</v>
      </c>
      <c r="J218" s="22">
        <v>45971</v>
      </c>
      <c r="K218" t="s">
        <v>90</v>
      </c>
      <c r="L218" t="s">
        <v>98</v>
      </c>
    </row>
    <row r="219" spans="1:14" ht="15" customHeight="1" x14ac:dyDescent="0.35">
      <c r="A219" t="s">
        <v>444</v>
      </c>
      <c r="B219" t="s">
        <v>203</v>
      </c>
      <c r="C219" t="s">
        <v>204</v>
      </c>
      <c r="D219" t="s">
        <v>88</v>
      </c>
      <c r="E219" t="s">
        <v>89</v>
      </c>
      <c r="F219" t="s">
        <v>119</v>
      </c>
      <c r="G219" t="s">
        <v>82</v>
      </c>
      <c r="H219" s="21">
        <v>12401</v>
      </c>
      <c r="I219" s="22">
        <v>45926</v>
      </c>
      <c r="J219" s="22">
        <v>45928</v>
      </c>
      <c r="K219" t="s">
        <v>90</v>
      </c>
      <c r="L219" t="s">
        <v>84</v>
      </c>
    </row>
    <row r="220" spans="1:14" ht="15" customHeight="1" x14ac:dyDescent="0.35">
      <c r="A220" t="s">
        <v>445</v>
      </c>
      <c r="B220" t="s">
        <v>344</v>
      </c>
      <c r="C220" t="s">
        <v>345</v>
      </c>
      <c r="D220" t="s">
        <v>94</v>
      </c>
      <c r="E220" t="s">
        <v>118</v>
      </c>
      <c r="F220" t="s">
        <v>112</v>
      </c>
      <c r="G220" t="s">
        <v>82</v>
      </c>
      <c r="H220" s="21">
        <v>378</v>
      </c>
      <c r="I220" s="22">
        <v>45762</v>
      </c>
      <c r="J220" s="22">
        <v>45771</v>
      </c>
      <c r="K220" t="s">
        <v>90</v>
      </c>
      <c r="L220" t="s">
        <v>113</v>
      </c>
    </row>
    <row r="221" spans="1:14" ht="15" customHeight="1" x14ac:dyDescent="0.35">
      <c r="A221" t="s">
        <v>446</v>
      </c>
      <c r="B221" t="s">
        <v>326</v>
      </c>
      <c r="C221" t="s">
        <v>327</v>
      </c>
      <c r="D221" t="s">
        <v>94</v>
      </c>
      <c r="E221" t="s">
        <v>172</v>
      </c>
      <c r="F221" t="s">
        <v>129</v>
      </c>
      <c r="G221" t="s">
        <v>82</v>
      </c>
      <c r="H221" s="21">
        <v>1701</v>
      </c>
      <c r="I221" s="22">
        <v>46055</v>
      </c>
      <c r="J221" s="22">
        <v>46060</v>
      </c>
      <c r="K221" t="s">
        <v>90</v>
      </c>
      <c r="L221" t="s">
        <v>113</v>
      </c>
    </row>
    <row r="222" spans="1:14" ht="15" customHeight="1" x14ac:dyDescent="0.35">
      <c r="A222" t="s">
        <v>447</v>
      </c>
      <c r="B222" t="s">
        <v>164</v>
      </c>
      <c r="C222" t="s">
        <v>165</v>
      </c>
      <c r="D222" t="s">
        <v>94</v>
      </c>
      <c r="E222" t="s">
        <v>111</v>
      </c>
      <c r="F222" t="s">
        <v>112</v>
      </c>
      <c r="G222" t="s">
        <v>82</v>
      </c>
      <c r="H222" s="21">
        <v>20346</v>
      </c>
      <c r="I222" s="22">
        <v>45923</v>
      </c>
      <c r="J222" s="22">
        <v>45932</v>
      </c>
      <c r="K222" t="s">
        <v>83</v>
      </c>
      <c r="L222" t="s">
        <v>125</v>
      </c>
      <c r="M222">
        <v>6</v>
      </c>
      <c r="N222" t="s">
        <v>114</v>
      </c>
    </row>
    <row r="223" spans="1:14" ht="15" customHeight="1" x14ac:dyDescent="0.35">
      <c r="A223" t="s">
        <v>448</v>
      </c>
      <c r="B223" t="s">
        <v>109</v>
      </c>
      <c r="C223" t="s">
        <v>110</v>
      </c>
      <c r="D223" t="s">
        <v>79</v>
      </c>
      <c r="E223" t="s">
        <v>106</v>
      </c>
      <c r="F223" t="s">
        <v>96</v>
      </c>
      <c r="G223" t="s">
        <v>97</v>
      </c>
      <c r="H223" s="21">
        <v>1442</v>
      </c>
      <c r="I223" s="22">
        <v>45879</v>
      </c>
      <c r="J223" s="22">
        <v>45949</v>
      </c>
      <c r="K223" t="s">
        <v>90</v>
      </c>
      <c r="L223" t="s">
        <v>84</v>
      </c>
    </row>
    <row r="224" spans="1:14" ht="15" customHeight="1" x14ac:dyDescent="0.35">
      <c r="A224" t="s">
        <v>449</v>
      </c>
      <c r="B224" t="s">
        <v>224</v>
      </c>
      <c r="C224" t="s">
        <v>225</v>
      </c>
      <c r="D224" t="s">
        <v>79</v>
      </c>
      <c r="E224" t="s">
        <v>111</v>
      </c>
      <c r="F224" t="s">
        <v>129</v>
      </c>
      <c r="G224" t="s">
        <v>82</v>
      </c>
      <c r="H224" s="21">
        <v>10057</v>
      </c>
      <c r="I224" s="22">
        <v>45789</v>
      </c>
      <c r="J224" s="22">
        <v>45809</v>
      </c>
      <c r="K224" t="s">
        <v>90</v>
      </c>
      <c r="L224" t="s">
        <v>125</v>
      </c>
      <c r="M224">
        <v>8</v>
      </c>
      <c r="N224" t="s">
        <v>114</v>
      </c>
    </row>
    <row r="225" spans="1:14" ht="15" customHeight="1" x14ac:dyDescent="0.35">
      <c r="A225" t="s">
        <v>450</v>
      </c>
      <c r="B225" t="s">
        <v>239</v>
      </c>
      <c r="C225" t="s">
        <v>240</v>
      </c>
      <c r="D225" t="s">
        <v>190</v>
      </c>
      <c r="E225" t="s">
        <v>111</v>
      </c>
      <c r="F225" t="s">
        <v>129</v>
      </c>
      <c r="G225" t="s">
        <v>82</v>
      </c>
      <c r="H225" s="21">
        <v>15167</v>
      </c>
      <c r="I225" s="22">
        <v>45799</v>
      </c>
      <c r="J225" s="22">
        <v>45804</v>
      </c>
      <c r="K225" t="s">
        <v>90</v>
      </c>
      <c r="L225" t="s">
        <v>84</v>
      </c>
      <c r="M225">
        <v>1</v>
      </c>
      <c r="N225" t="s">
        <v>114</v>
      </c>
    </row>
    <row r="226" spans="1:14" ht="15" customHeight="1" x14ac:dyDescent="0.35">
      <c r="A226" t="s">
        <v>451</v>
      </c>
      <c r="B226" t="s">
        <v>293</v>
      </c>
      <c r="C226" t="s">
        <v>294</v>
      </c>
      <c r="D226" t="s">
        <v>94</v>
      </c>
      <c r="E226" t="s">
        <v>89</v>
      </c>
      <c r="F226" t="s">
        <v>100</v>
      </c>
      <c r="G226" t="s">
        <v>97</v>
      </c>
      <c r="H226" s="21">
        <v>11809</v>
      </c>
      <c r="I226" s="22">
        <v>45918</v>
      </c>
      <c r="J226" s="22">
        <v>45920</v>
      </c>
      <c r="K226" t="s">
        <v>90</v>
      </c>
      <c r="L226" t="s">
        <v>113</v>
      </c>
    </row>
    <row r="227" spans="1:14" ht="15" customHeight="1" x14ac:dyDescent="0.35">
      <c r="A227" t="s">
        <v>452</v>
      </c>
      <c r="B227" t="s">
        <v>316</v>
      </c>
      <c r="C227" t="s">
        <v>317</v>
      </c>
      <c r="D227" t="s">
        <v>88</v>
      </c>
      <c r="E227" t="s">
        <v>118</v>
      </c>
      <c r="F227" t="s">
        <v>96</v>
      </c>
      <c r="G227" t="s">
        <v>97</v>
      </c>
      <c r="H227" s="21">
        <v>273</v>
      </c>
      <c r="I227" s="22">
        <v>45897</v>
      </c>
      <c r="J227" s="22">
        <v>45902</v>
      </c>
      <c r="K227" t="s">
        <v>90</v>
      </c>
      <c r="L227" t="s">
        <v>113</v>
      </c>
    </row>
    <row r="228" spans="1:14" ht="15" customHeight="1" x14ac:dyDescent="0.35">
      <c r="A228" t="s">
        <v>453</v>
      </c>
      <c r="B228" t="s">
        <v>333</v>
      </c>
      <c r="C228" t="s">
        <v>334</v>
      </c>
      <c r="D228" t="s">
        <v>105</v>
      </c>
      <c r="E228" t="s">
        <v>118</v>
      </c>
      <c r="F228" t="s">
        <v>96</v>
      </c>
      <c r="G228" t="s">
        <v>97</v>
      </c>
      <c r="H228" s="21">
        <v>753</v>
      </c>
      <c r="I228" s="22">
        <v>45768</v>
      </c>
      <c r="J228" s="22">
        <v>45782</v>
      </c>
      <c r="K228" t="s">
        <v>90</v>
      </c>
      <c r="L228" t="s">
        <v>98</v>
      </c>
    </row>
    <row r="229" spans="1:14" ht="15" customHeight="1" x14ac:dyDescent="0.35">
      <c r="A229" t="s">
        <v>454</v>
      </c>
      <c r="B229" t="s">
        <v>217</v>
      </c>
      <c r="C229" t="s">
        <v>218</v>
      </c>
      <c r="D229" t="s">
        <v>88</v>
      </c>
      <c r="E229" t="s">
        <v>89</v>
      </c>
      <c r="F229" t="s">
        <v>124</v>
      </c>
      <c r="G229" t="s">
        <v>97</v>
      </c>
      <c r="H229" s="21">
        <v>5391</v>
      </c>
      <c r="I229" s="22">
        <v>46067</v>
      </c>
      <c r="J229" s="22">
        <v>46076</v>
      </c>
      <c r="K229" t="s">
        <v>90</v>
      </c>
      <c r="L229" t="s">
        <v>98</v>
      </c>
    </row>
    <row r="230" spans="1:14" ht="15" customHeight="1" x14ac:dyDescent="0.35">
      <c r="A230" t="s">
        <v>455</v>
      </c>
      <c r="B230" t="s">
        <v>109</v>
      </c>
      <c r="C230" t="s">
        <v>110</v>
      </c>
      <c r="D230" t="s">
        <v>79</v>
      </c>
      <c r="E230" t="s">
        <v>118</v>
      </c>
      <c r="F230" t="s">
        <v>100</v>
      </c>
      <c r="G230" t="s">
        <v>97</v>
      </c>
      <c r="H230" s="21">
        <v>119</v>
      </c>
      <c r="I230" s="22">
        <v>45749</v>
      </c>
      <c r="J230" s="22">
        <v>45751</v>
      </c>
      <c r="K230" t="s">
        <v>90</v>
      </c>
      <c r="L230" t="s">
        <v>130</v>
      </c>
    </row>
    <row r="231" spans="1:14" ht="15" customHeight="1" x14ac:dyDescent="0.35">
      <c r="A231" t="s">
        <v>456</v>
      </c>
      <c r="B231" t="s">
        <v>289</v>
      </c>
      <c r="C231" t="s">
        <v>290</v>
      </c>
      <c r="D231" t="s">
        <v>88</v>
      </c>
      <c r="E231" t="s">
        <v>80</v>
      </c>
      <c r="F231" t="s">
        <v>124</v>
      </c>
      <c r="G231" t="s">
        <v>97</v>
      </c>
      <c r="H231" s="21">
        <v>1573</v>
      </c>
      <c r="I231" s="22">
        <v>45915</v>
      </c>
      <c r="J231" s="22">
        <v>45920</v>
      </c>
      <c r="K231" t="s">
        <v>90</v>
      </c>
      <c r="L231" t="s">
        <v>101</v>
      </c>
    </row>
    <row r="232" spans="1:14" ht="15" customHeight="1" x14ac:dyDescent="0.35">
      <c r="A232" t="s">
        <v>457</v>
      </c>
      <c r="B232" t="s">
        <v>164</v>
      </c>
      <c r="C232" t="s">
        <v>165</v>
      </c>
      <c r="D232" t="s">
        <v>94</v>
      </c>
      <c r="E232" t="s">
        <v>80</v>
      </c>
      <c r="F232" t="s">
        <v>112</v>
      </c>
      <c r="G232" t="s">
        <v>82</v>
      </c>
      <c r="H232" s="21">
        <v>1131</v>
      </c>
      <c r="I232" s="22">
        <v>45972</v>
      </c>
      <c r="J232" s="22">
        <v>45981</v>
      </c>
      <c r="K232" t="s">
        <v>90</v>
      </c>
      <c r="L232" t="s">
        <v>107</v>
      </c>
    </row>
    <row r="233" spans="1:14" ht="15" customHeight="1" x14ac:dyDescent="0.35">
      <c r="A233" t="s">
        <v>458</v>
      </c>
      <c r="B233" t="s">
        <v>195</v>
      </c>
      <c r="C233" t="s">
        <v>196</v>
      </c>
      <c r="D233" t="s">
        <v>79</v>
      </c>
      <c r="E233" t="s">
        <v>89</v>
      </c>
      <c r="F233" t="s">
        <v>148</v>
      </c>
      <c r="G233" t="s">
        <v>97</v>
      </c>
      <c r="H233" s="21">
        <v>5139</v>
      </c>
      <c r="I233" s="22">
        <v>46031</v>
      </c>
      <c r="J233" s="22">
        <v>46040</v>
      </c>
      <c r="K233" t="s">
        <v>90</v>
      </c>
      <c r="L233" t="s">
        <v>130</v>
      </c>
    </row>
    <row r="234" spans="1:14" ht="15" customHeight="1" x14ac:dyDescent="0.35">
      <c r="A234" t="s">
        <v>459</v>
      </c>
      <c r="B234" t="s">
        <v>306</v>
      </c>
      <c r="C234" t="s">
        <v>307</v>
      </c>
      <c r="D234" t="s">
        <v>88</v>
      </c>
      <c r="E234" t="s">
        <v>80</v>
      </c>
      <c r="F234" t="s">
        <v>124</v>
      </c>
      <c r="G234" t="s">
        <v>97</v>
      </c>
      <c r="H234" s="21">
        <v>1627</v>
      </c>
      <c r="I234" s="22">
        <v>45761</v>
      </c>
      <c r="J234" s="22">
        <v>45763</v>
      </c>
      <c r="K234" t="s">
        <v>90</v>
      </c>
      <c r="L234" t="s">
        <v>125</v>
      </c>
    </row>
    <row r="235" spans="1:14" ht="15" customHeight="1" x14ac:dyDescent="0.35">
      <c r="A235" t="s">
        <v>460</v>
      </c>
      <c r="B235" t="s">
        <v>285</v>
      </c>
      <c r="C235" t="s">
        <v>286</v>
      </c>
      <c r="D235" t="s">
        <v>79</v>
      </c>
      <c r="E235" t="s">
        <v>80</v>
      </c>
      <c r="F235" t="s">
        <v>96</v>
      </c>
      <c r="G235" t="s">
        <v>97</v>
      </c>
      <c r="H235" s="21">
        <v>1596</v>
      </c>
      <c r="I235" s="22">
        <v>45754</v>
      </c>
      <c r="J235" s="22">
        <v>45774</v>
      </c>
      <c r="K235" t="s">
        <v>90</v>
      </c>
      <c r="L235" t="s">
        <v>98</v>
      </c>
    </row>
    <row r="236" spans="1:14" ht="15" customHeight="1" x14ac:dyDescent="0.35">
      <c r="A236" t="s">
        <v>461</v>
      </c>
      <c r="B236" t="s">
        <v>251</v>
      </c>
      <c r="C236" t="s">
        <v>252</v>
      </c>
      <c r="D236" t="s">
        <v>94</v>
      </c>
      <c r="E236" t="s">
        <v>111</v>
      </c>
      <c r="F236" t="s">
        <v>81</v>
      </c>
      <c r="G236" t="s">
        <v>82</v>
      </c>
      <c r="H236" s="21">
        <v>13270</v>
      </c>
      <c r="I236" s="22">
        <v>45824</v>
      </c>
      <c r="J236" s="22">
        <v>45833</v>
      </c>
      <c r="K236" t="s">
        <v>90</v>
      </c>
      <c r="L236" t="s">
        <v>125</v>
      </c>
      <c r="M236">
        <v>14</v>
      </c>
      <c r="N236" t="s">
        <v>114</v>
      </c>
    </row>
    <row r="237" spans="1:14" ht="15" customHeight="1" x14ac:dyDescent="0.35">
      <c r="A237" t="s">
        <v>462</v>
      </c>
      <c r="B237" t="s">
        <v>135</v>
      </c>
      <c r="C237" t="s">
        <v>136</v>
      </c>
      <c r="D237" t="s">
        <v>94</v>
      </c>
      <c r="E237" t="s">
        <v>111</v>
      </c>
      <c r="F237" t="s">
        <v>112</v>
      </c>
      <c r="G237" t="s">
        <v>82</v>
      </c>
      <c r="H237" s="21">
        <v>7368</v>
      </c>
      <c r="I237" s="22">
        <v>45987</v>
      </c>
      <c r="J237" s="22">
        <v>46001</v>
      </c>
      <c r="K237" t="s">
        <v>90</v>
      </c>
      <c r="L237" t="s">
        <v>125</v>
      </c>
      <c r="M237">
        <v>8</v>
      </c>
      <c r="N237" t="s">
        <v>114</v>
      </c>
    </row>
    <row r="238" spans="1:14" ht="15" customHeight="1" x14ac:dyDescent="0.35">
      <c r="A238" t="s">
        <v>463</v>
      </c>
      <c r="B238" t="s">
        <v>464</v>
      </c>
      <c r="C238" t="s">
        <v>465</v>
      </c>
      <c r="D238" t="s">
        <v>79</v>
      </c>
      <c r="E238" t="s">
        <v>95</v>
      </c>
      <c r="F238" t="s">
        <v>124</v>
      </c>
      <c r="G238" t="s">
        <v>97</v>
      </c>
      <c r="H238" s="21">
        <v>1040</v>
      </c>
      <c r="I238" s="22">
        <v>45806</v>
      </c>
      <c r="J238" s="22">
        <v>45820</v>
      </c>
      <c r="K238" t="s">
        <v>90</v>
      </c>
      <c r="L238" t="s">
        <v>98</v>
      </c>
    </row>
    <row r="239" spans="1:14" ht="15" customHeight="1" x14ac:dyDescent="0.35">
      <c r="A239" t="s">
        <v>466</v>
      </c>
      <c r="B239" t="s">
        <v>297</v>
      </c>
      <c r="C239" t="s">
        <v>298</v>
      </c>
      <c r="D239" t="s">
        <v>88</v>
      </c>
      <c r="E239" t="s">
        <v>89</v>
      </c>
      <c r="F239" t="s">
        <v>100</v>
      </c>
      <c r="G239" t="s">
        <v>97</v>
      </c>
      <c r="H239" s="21">
        <v>10412</v>
      </c>
      <c r="I239" s="22">
        <v>46077</v>
      </c>
      <c r="J239" s="22">
        <v>46097</v>
      </c>
      <c r="K239" t="s">
        <v>90</v>
      </c>
      <c r="L239" t="s">
        <v>125</v>
      </c>
    </row>
    <row r="240" spans="1:14" ht="15" customHeight="1" x14ac:dyDescent="0.35">
      <c r="A240" t="s">
        <v>467</v>
      </c>
      <c r="B240" t="s">
        <v>206</v>
      </c>
      <c r="C240" t="s">
        <v>207</v>
      </c>
      <c r="D240" t="s">
        <v>88</v>
      </c>
      <c r="E240" t="s">
        <v>111</v>
      </c>
      <c r="F240" t="s">
        <v>96</v>
      </c>
      <c r="G240" t="s">
        <v>97</v>
      </c>
      <c r="H240" s="21">
        <v>21520</v>
      </c>
      <c r="I240" s="22">
        <v>45946</v>
      </c>
      <c r="J240" s="22">
        <v>45951</v>
      </c>
      <c r="K240" t="s">
        <v>83</v>
      </c>
      <c r="L240" t="s">
        <v>138</v>
      </c>
      <c r="M240">
        <v>18</v>
      </c>
      <c r="N240" t="s">
        <v>114</v>
      </c>
    </row>
    <row r="241" spans="1:14" ht="15" customHeight="1" x14ac:dyDescent="0.35">
      <c r="A241" t="s">
        <v>468</v>
      </c>
      <c r="B241" t="s">
        <v>293</v>
      </c>
      <c r="C241" t="s">
        <v>294</v>
      </c>
      <c r="D241" t="s">
        <v>94</v>
      </c>
      <c r="E241" t="s">
        <v>89</v>
      </c>
      <c r="F241" t="s">
        <v>148</v>
      </c>
      <c r="G241" t="s">
        <v>97</v>
      </c>
      <c r="H241" s="21">
        <v>4377</v>
      </c>
      <c r="I241" s="22">
        <v>45896</v>
      </c>
      <c r="J241" s="22">
        <v>45931</v>
      </c>
      <c r="K241" t="s">
        <v>90</v>
      </c>
      <c r="L241" t="s">
        <v>113</v>
      </c>
    </row>
    <row r="242" spans="1:14" ht="15" customHeight="1" x14ac:dyDescent="0.35">
      <c r="A242" t="s">
        <v>469</v>
      </c>
      <c r="B242" t="s">
        <v>470</v>
      </c>
      <c r="C242" t="s">
        <v>471</v>
      </c>
      <c r="D242" t="s">
        <v>88</v>
      </c>
      <c r="E242" t="s">
        <v>80</v>
      </c>
      <c r="F242" t="s">
        <v>112</v>
      </c>
      <c r="G242" t="s">
        <v>82</v>
      </c>
      <c r="H242" s="21">
        <v>910</v>
      </c>
      <c r="I242" s="22">
        <v>46021</v>
      </c>
      <c r="J242" s="22">
        <v>46030</v>
      </c>
      <c r="K242" t="s">
        <v>83</v>
      </c>
      <c r="L242" t="s">
        <v>138</v>
      </c>
    </row>
    <row r="243" spans="1:14" ht="15" customHeight="1" x14ac:dyDescent="0.35">
      <c r="A243" t="s">
        <v>472</v>
      </c>
      <c r="B243" t="s">
        <v>260</v>
      </c>
      <c r="C243" t="s">
        <v>261</v>
      </c>
      <c r="D243" t="s">
        <v>105</v>
      </c>
      <c r="E243" t="s">
        <v>118</v>
      </c>
      <c r="F243" t="s">
        <v>119</v>
      </c>
      <c r="G243" t="s">
        <v>82</v>
      </c>
      <c r="H243" s="21">
        <v>176</v>
      </c>
      <c r="I243" s="22">
        <v>45904</v>
      </c>
      <c r="J243" s="22">
        <v>45913</v>
      </c>
      <c r="K243" t="s">
        <v>90</v>
      </c>
      <c r="L243" t="s">
        <v>107</v>
      </c>
    </row>
    <row r="244" spans="1:14" ht="15" customHeight="1" x14ac:dyDescent="0.35">
      <c r="A244" t="s">
        <v>473</v>
      </c>
      <c r="B244" t="s">
        <v>344</v>
      </c>
      <c r="C244" t="s">
        <v>345</v>
      </c>
      <c r="D244" t="s">
        <v>94</v>
      </c>
      <c r="E244" t="s">
        <v>80</v>
      </c>
      <c r="F244" t="s">
        <v>96</v>
      </c>
      <c r="G244" t="s">
        <v>97</v>
      </c>
      <c r="H244" s="21">
        <v>796</v>
      </c>
      <c r="I244" s="22">
        <v>45971</v>
      </c>
      <c r="J244" s="22">
        <v>45976</v>
      </c>
      <c r="K244" t="s">
        <v>90</v>
      </c>
      <c r="L244" t="s">
        <v>138</v>
      </c>
    </row>
    <row r="245" spans="1:14" ht="15" customHeight="1" x14ac:dyDescent="0.35">
      <c r="A245" t="s">
        <v>474</v>
      </c>
      <c r="B245" t="s">
        <v>150</v>
      </c>
      <c r="C245" t="s">
        <v>151</v>
      </c>
      <c r="D245" t="s">
        <v>79</v>
      </c>
      <c r="E245" t="s">
        <v>111</v>
      </c>
      <c r="F245" t="s">
        <v>112</v>
      </c>
      <c r="G245" t="s">
        <v>82</v>
      </c>
      <c r="H245" s="21">
        <v>7063</v>
      </c>
      <c r="I245" s="22">
        <v>45943</v>
      </c>
      <c r="J245" s="22">
        <v>45952</v>
      </c>
      <c r="K245" t="s">
        <v>90</v>
      </c>
      <c r="L245" t="s">
        <v>125</v>
      </c>
      <c r="M245">
        <v>9</v>
      </c>
      <c r="N245" t="s">
        <v>114</v>
      </c>
    </row>
    <row r="246" spans="1:14" ht="15" customHeight="1" x14ac:dyDescent="0.35">
      <c r="A246" t="s">
        <v>475</v>
      </c>
      <c r="B246" t="s">
        <v>306</v>
      </c>
      <c r="C246" t="s">
        <v>307</v>
      </c>
      <c r="D246" t="s">
        <v>88</v>
      </c>
      <c r="E246" t="s">
        <v>95</v>
      </c>
      <c r="F246" t="s">
        <v>124</v>
      </c>
      <c r="G246" t="s">
        <v>97</v>
      </c>
      <c r="H246" s="21">
        <v>662</v>
      </c>
      <c r="I246" s="22">
        <v>45817</v>
      </c>
      <c r="J246" s="22">
        <v>45826</v>
      </c>
      <c r="K246" t="s">
        <v>90</v>
      </c>
      <c r="L246" t="s">
        <v>113</v>
      </c>
    </row>
    <row r="247" spans="1:14" ht="15" customHeight="1" x14ac:dyDescent="0.35">
      <c r="A247" t="s">
        <v>476</v>
      </c>
      <c r="B247" t="s">
        <v>188</v>
      </c>
      <c r="C247" t="s">
        <v>189</v>
      </c>
      <c r="D247" t="s">
        <v>190</v>
      </c>
      <c r="E247" t="s">
        <v>95</v>
      </c>
      <c r="F247" t="s">
        <v>148</v>
      </c>
      <c r="G247" t="s">
        <v>97</v>
      </c>
      <c r="H247" s="21">
        <v>1574</v>
      </c>
      <c r="I247" s="22">
        <v>45988</v>
      </c>
      <c r="J247" s="22">
        <v>46002</v>
      </c>
      <c r="K247" t="s">
        <v>90</v>
      </c>
      <c r="L247" t="s">
        <v>113</v>
      </c>
    </row>
    <row r="248" spans="1:14" ht="15" customHeight="1" x14ac:dyDescent="0.35">
      <c r="A248" t="s">
        <v>477</v>
      </c>
      <c r="B248" t="s">
        <v>289</v>
      </c>
      <c r="C248" t="s">
        <v>290</v>
      </c>
      <c r="D248" t="s">
        <v>88</v>
      </c>
      <c r="E248" t="s">
        <v>111</v>
      </c>
      <c r="F248" t="s">
        <v>81</v>
      </c>
      <c r="G248" t="s">
        <v>82</v>
      </c>
      <c r="H248" s="21">
        <v>11362</v>
      </c>
      <c r="I248" s="22">
        <v>45876</v>
      </c>
      <c r="J248" s="22">
        <v>45885</v>
      </c>
      <c r="K248" t="s">
        <v>90</v>
      </c>
      <c r="L248" t="s">
        <v>130</v>
      </c>
      <c r="M248">
        <v>15</v>
      </c>
      <c r="N248" t="s">
        <v>114</v>
      </c>
    </row>
    <row r="249" spans="1:14" ht="15" customHeight="1" x14ac:dyDescent="0.35">
      <c r="A249" t="s">
        <v>478</v>
      </c>
      <c r="B249" t="s">
        <v>220</v>
      </c>
      <c r="C249" t="s">
        <v>221</v>
      </c>
      <c r="D249" t="s">
        <v>79</v>
      </c>
      <c r="E249" t="s">
        <v>95</v>
      </c>
      <c r="F249" t="s">
        <v>119</v>
      </c>
      <c r="G249" t="s">
        <v>82</v>
      </c>
      <c r="H249" s="21">
        <v>1933</v>
      </c>
      <c r="I249" s="22">
        <v>45765</v>
      </c>
      <c r="J249" s="22">
        <v>45770</v>
      </c>
      <c r="K249" t="s">
        <v>83</v>
      </c>
      <c r="L249" t="s">
        <v>125</v>
      </c>
    </row>
    <row r="250" spans="1:14" ht="15" customHeight="1" x14ac:dyDescent="0.35">
      <c r="A250" t="s">
        <v>479</v>
      </c>
      <c r="B250" t="s">
        <v>391</v>
      </c>
      <c r="C250" t="s">
        <v>392</v>
      </c>
      <c r="D250" t="s">
        <v>94</v>
      </c>
      <c r="E250" t="s">
        <v>95</v>
      </c>
      <c r="F250" t="s">
        <v>148</v>
      </c>
      <c r="G250" t="s">
        <v>97</v>
      </c>
      <c r="H250" s="21">
        <v>415</v>
      </c>
      <c r="I250" s="22">
        <v>45857</v>
      </c>
      <c r="J250" s="22">
        <v>45859</v>
      </c>
      <c r="K250" t="s">
        <v>90</v>
      </c>
      <c r="L250" t="s">
        <v>101</v>
      </c>
    </row>
    <row r="251" spans="1:14" ht="15" customHeight="1" x14ac:dyDescent="0.35">
      <c r="A251" t="s">
        <v>480</v>
      </c>
      <c r="B251" t="s">
        <v>200</v>
      </c>
      <c r="C251" t="s">
        <v>201</v>
      </c>
      <c r="D251" t="s">
        <v>94</v>
      </c>
      <c r="E251" t="s">
        <v>172</v>
      </c>
      <c r="F251" t="s">
        <v>100</v>
      </c>
      <c r="G251" t="s">
        <v>97</v>
      </c>
      <c r="H251" s="21">
        <v>2374</v>
      </c>
      <c r="I251" s="22">
        <v>45942</v>
      </c>
      <c r="J251" s="22">
        <v>45962</v>
      </c>
      <c r="K251" t="s">
        <v>90</v>
      </c>
      <c r="L251" t="s">
        <v>130</v>
      </c>
    </row>
    <row r="252" spans="1:14" ht="15" customHeight="1" x14ac:dyDescent="0.35">
      <c r="A252" t="s">
        <v>481</v>
      </c>
      <c r="B252" t="s">
        <v>212</v>
      </c>
      <c r="C252" t="s">
        <v>213</v>
      </c>
      <c r="D252" t="s">
        <v>94</v>
      </c>
      <c r="E252" t="s">
        <v>95</v>
      </c>
      <c r="F252" t="s">
        <v>81</v>
      </c>
      <c r="G252" t="s">
        <v>82</v>
      </c>
      <c r="H252" s="21">
        <v>763</v>
      </c>
      <c r="I252" s="22">
        <v>45901</v>
      </c>
      <c r="J252" s="22">
        <v>45903</v>
      </c>
      <c r="K252" t="s">
        <v>83</v>
      </c>
      <c r="L252" t="s">
        <v>130</v>
      </c>
    </row>
    <row r="253" spans="1:14" ht="15" customHeight="1" x14ac:dyDescent="0.35">
      <c r="A253" t="s">
        <v>482</v>
      </c>
      <c r="B253" t="s">
        <v>109</v>
      </c>
      <c r="C253" t="s">
        <v>110</v>
      </c>
      <c r="D253" t="s">
        <v>79</v>
      </c>
      <c r="E253" t="s">
        <v>106</v>
      </c>
      <c r="F253" t="s">
        <v>124</v>
      </c>
      <c r="G253" t="s">
        <v>97</v>
      </c>
      <c r="H253" s="21">
        <v>4546</v>
      </c>
      <c r="I253" s="22">
        <v>45913</v>
      </c>
      <c r="J253" s="22">
        <v>45918</v>
      </c>
      <c r="K253" t="s">
        <v>90</v>
      </c>
      <c r="L253" t="s">
        <v>107</v>
      </c>
    </row>
    <row r="254" spans="1:14" ht="15" customHeight="1" x14ac:dyDescent="0.35">
      <c r="A254" t="s">
        <v>483</v>
      </c>
      <c r="B254" t="s">
        <v>251</v>
      </c>
      <c r="C254" t="s">
        <v>252</v>
      </c>
      <c r="D254" t="s">
        <v>94</v>
      </c>
      <c r="E254" t="s">
        <v>89</v>
      </c>
      <c r="F254" t="s">
        <v>124</v>
      </c>
      <c r="G254" t="s">
        <v>97</v>
      </c>
      <c r="H254" s="21">
        <v>3484</v>
      </c>
      <c r="I254" s="22">
        <v>45894</v>
      </c>
      <c r="J254" s="22">
        <v>45964</v>
      </c>
      <c r="K254" t="s">
        <v>90</v>
      </c>
      <c r="L254" t="s">
        <v>125</v>
      </c>
    </row>
    <row r="255" spans="1:14" ht="15" customHeight="1" x14ac:dyDescent="0.35">
      <c r="A255" t="s">
        <v>484</v>
      </c>
      <c r="B255" t="s">
        <v>143</v>
      </c>
      <c r="C255" t="s">
        <v>144</v>
      </c>
      <c r="D255" t="s">
        <v>94</v>
      </c>
      <c r="E255" t="s">
        <v>89</v>
      </c>
      <c r="F255" t="s">
        <v>129</v>
      </c>
      <c r="G255" t="s">
        <v>82</v>
      </c>
      <c r="H255" s="21">
        <v>3595</v>
      </c>
      <c r="I255" s="22">
        <v>46062</v>
      </c>
      <c r="J255" s="22">
        <v>46082</v>
      </c>
      <c r="K255" t="s">
        <v>90</v>
      </c>
      <c r="L255" t="s">
        <v>84</v>
      </c>
    </row>
    <row r="256" spans="1:14" ht="15" customHeight="1" x14ac:dyDescent="0.35">
      <c r="A256" t="s">
        <v>485</v>
      </c>
      <c r="B256" t="s">
        <v>103</v>
      </c>
      <c r="C256" t="s">
        <v>104</v>
      </c>
      <c r="D256" t="s">
        <v>105</v>
      </c>
      <c r="E256" t="s">
        <v>172</v>
      </c>
      <c r="F256" t="s">
        <v>112</v>
      </c>
      <c r="G256" t="s">
        <v>82</v>
      </c>
      <c r="H256" s="21">
        <v>3634</v>
      </c>
      <c r="I256" s="22">
        <v>45985</v>
      </c>
      <c r="J256" s="22">
        <v>45994</v>
      </c>
      <c r="K256" t="s">
        <v>90</v>
      </c>
      <c r="L256" t="s">
        <v>138</v>
      </c>
    </row>
    <row r="257" spans="1:14" ht="15" customHeight="1" x14ac:dyDescent="0.35">
      <c r="A257" t="s">
        <v>486</v>
      </c>
      <c r="B257" t="s">
        <v>263</v>
      </c>
      <c r="C257" t="s">
        <v>264</v>
      </c>
      <c r="D257" t="s">
        <v>94</v>
      </c>
      <c r="E257" t="s">
        <v>111</v>
      </c>
      <c r="F257" t="s">
        <v>119</v>
      </c>
      <c r="G257" t="s">
        <v>82</v>
      </c>
      <c r="H257" s="21">
        <v>16024</v>
      </c>
      <c r="I257" s="22">
        <v>45858</v>
      </c>
      <c r="J257" s="22">
        <v>45863</v>
      </c>
      <c r="K257" t="s">
        <v>90</v>
      </c>
      <c r="L257" t="s">
        <v>101</v>
      </c>
      <c r="M257">
        <v>0</v>
      </c>
      <c r="N257" t="s">
        <v>114</v>
      </c>
    </row>
    <row r="258" spans="1:14" ht="15" customHeight="1" x14ac:dyDescent="0.35">
      <c r="A258" t="s">
        <v>487</v>
      </c>
      <c r="B258" t="s">
        <v>154</v>
      </c>
      <c r="C258" t="s">
        <v>155</v>
      </c>
      <c r="D258" t="s">
        <v>94</v>
      </c>
      <c r="E258" t="s">
        <v>80</v>
      </c>
      <c r="F258" t="s">
        <v>100</v>
      </c>
      <c r="G258" t="s">
        <v>97</v>
      </c>
      <c r="H258" s="21">
        <v>1144</v>
      </c>
      <c r="I258" s="22">
        <v>46049</v>
      </c>
      <c r="J258" s="22">
        <v>46119</v>
      </c>
      <c r="K258" t="s">
        <v>90</v>
      </c>
      <c r="L258" t="s">
        <v>107</v>
      </c>
    </row>
    <row r="259" spans="1:14" ht="15" customHeight="1" x14ac:dyDescent="0.35">
      <c r="A259" t="s">
        <v>488</v>
      </c>
      <c r="B259" t="s">
        <v>146</v>
      </c>
      <c r="C259" t="s">
        <v>147</v>
      </c>
      <c r="D259" t="s">
        <v>94</v>
      </c>
      <c r="E259" t="s">
        <v>89</v>
      </c>
      <c r="F259" t="s">
        <v>112</v>
      </c>
      <c r="G259" t="s">
        <v>82</v>
      </c>
      <c r="H259" s="21">
        <v>6810</v>
      </c>
      <c r="I259" s="22">
        <v>45952</v>
      </c>
      <c r="J259" s="22">
        <v>45987</v>
      </c>
      <c r="K259" t="s">
        <v>90</v>
      </c>
      <c r="L259" t="s">
        <v>101</v>
      </c>
    </row>
    <row r="260" spans="1:14" ht="15" customHeight="1" x14ac:dyDescent="0.35">
      <c r="A260" t="s">
        <v>489</v>
      </c>
      <c r="B260" t="s">
        <v>224</v>
      </c>
      <c r="C260" t="s">
        <v>225</v>
      </c>
      <c r="D260" t="s">
        <v>79</v>
      </c>
      <c r="E260" t="s">
        <v>89</v>
      </c>
      <c r="F260" t="s">
        <v>129</v>
      </c>
      <c r="G260" t="s">
        <v>82</v>
      </c>
      <c r="H260" s="21">
        <v>3900</v>
      </c>
      <c r="I260" s="22">
        <v>45920</v>
      </c>
      <c r="J260" s="22">
        <v>45955</v>
      </c>
      <c r="K260" t="s">
        <v>90</v>
      </c>
      <c r="L260" t="s">
        <v>113</v>
      </c>
    </row>
    <row r="261" spans="1:14" ht="15" customHeight="1" x14ac:dyDescent="0.35">
      <c r="A261" t="s">
        <v>490</v>
      </c>
      <c r="B261" t="s">
        <v>154</v>
      </c>
      <c r="C261" t="s">
        <v>155</v>
      </c>
      <c r="D261" t="s">
        <v>94</v>
      </c>
      <c r="E261" t="s">
        <v>95</v>
      </c>
      <c r="F261" t="s">
        <v>112</v>
      </c>
      <c r="G261" t="s">
        <v>82</v>
      </c>
      <c r="H261" s="21">
        <v>592</v>
      </c>
      <c r="I261" s="22">
        <v>45811</v>
      </c>
      <c r="J261" s="22">
        <v>45881</v>
      </c>
      <c r="K261" t="s">
        <v>90</v>
      </c>
      <c r="L261" t="s">
        <v>107</v>
      </c>
    </row>
    <row r="262" spans="1:14" ht="15" customHeight="1" x14ac:dyDescent="0.35">
      <c r="A262" t="s">
        <v>491</v>
      </c>
      <c r="B262" t="s">
        <v>103</v>
      </c>
      <c r="C262" t="s">
        <v>104</v>
      </c>
      <c r="D262" t="s">
        <v>105</v>
      </c>
      <c r="E262" t="s">
        <v>111</v>
      </c>
      <c r="F262" t="s">
        <v>100</v>
      </c>
      <c r="G262" t="s">
        <v>97</v>
      </c>
      <c r="H262" s="21">
        <v>11526</v>
      </c>
      <c r="I262" s="22">
        <v>45865</v>
      </c>
      <c r="J262" s="22">
        <v>45885</v>
      </c>
      <c r="K262" t="s">
        <v>90</v>
      </c>
      <c r="L262" t="s">
        <v>130</v>
      </c>
      <c r="M262">
        <v>8</v>
      </c>
      <c r="N262" t="s">
        <v>114</v>
      </c>
    </row>
    <row r="263" spans="1:14" ht="15" customHeight="1" x14ac:dyDescent="0.35">
      <c r="A263" t="s">
        <v>492</v>
      </c>
      <c r="B263" t="s">
        <v>251</v>
      </c>
      <c r="C263" t="s">
        <v>252</v>
      </c>
      <c r="D263" t="s">
        <v>94</v>
      </c>
      <c r="E263" t="s">
        <v>111</v>
      </c>
      <c r="F263" t="s">
        <v>81</v>
      </c>
      <c r="G263" t="s">
        <v>82</v>
      </c>
      <c r="H263" s="21">
        <v>4599</v>
      </c>
      <c r="I263" s="22">
        <v>45907</v>
      </c>
      <c r="J263" s="22">
        <v>45909</v>
      </c>
      <c r="K263" t="s">
        <v>90</v>
      </c>
      <c r="L263" t="s">
        <v>98</v>
      </c>
      <c r="M263">
        <v>9</v>
      </c>
      <c r="N263" t="s">
        <v>114</v>
      </c>
    </row>
    <row r="264" spans="1:14" ht="15" customHeight="1" x14ac:dyDescent="0.35">
      <c r="A264" t="s">
        <v>493</v>
      </c>
      <c r="B264" t="s">
        <v>203</v>
      </c>
      <c r="C264" t="s">
        <v>204</v>
      </c>
      <c r="D264" t="s">
        <v>88</v>
      </c>
      <c r="E264" t="s">
        <v>95</v>
      </c>
      <c r="F264" t="s">
        <v>148</v>
      </c>
      <c r="G264" t="s">
        <v>97</v>
      </c>
      <c r="H264" s="21">
        <v>250</v>
      </c>
      <c r="I264" s="22">
        <v>45781</v>
      </c>
      <c r="J264" s="22">
        <v>45795</v>
      </c>
      <c r="K264" t="s">
        <v>90</v>
      </c>
      <c r="L264" t="s">
        <v>125</v>
      </c>
    </row>
    <row r="265" spans="1:14" ht="15" customHeight="1" x14ac:dyDescent="0.35">
      <c r="A265" t="s">
        <v>494</v>
      </c>
      <c r="B265" t="s">
        <v>348</v>
      </c>
      <c r="C265" t="s">
        <v>349</v>
      </c>
      <c r="D265" t="s">
        <v>79</v>
      </c>
      <c r="E265" t="s">
        <v>118</v>
      </c>
      <c r="F265" t="s">
        <v>100</v>
      </c>
      <c r="G265" t="s">
        <v>97</v>
      </c>
      <c r="H265" s="21">
        <v>1265</v>
      </c>
      <c r="I265" s="22">
        <v>46020</v>
      </c>
      <c r="J265" s="22">
        <v>46055</v>
      </c>
      <c r="K265" t="s">
        <v>90</v>
      </c>
      <c r="L265" t="s">
        <v>107</v>
      </c>
    </row>
    <row r="266" spans="1:14" ht="15" customHeight="1" x14ac:dyDescent="0.35">
      <c r="A266" t="s">
        <v>495</v>
      </c>
      <c r="B266" t="s">
        <v>121</v>
      </c>
      <c r="C266" t="s">
        <v>122</v>
      </c>
      <c r="D266" t="s">
        <v>94</v>
      </c>
      <c r="E266" t="s">
        <v>80</v>
      </c>
      <c r="F266" t="s">
        <v>96</v>
      </c>
      <c r="G266" t="s">
        <v>97</v>
      </c>
      <c r="H266" s="21">
        <v>738</v>
      </c>
      <c r="I266" s="22">
        <v>45798</v>
      </c>
      <c r="J266" s="22">
        <v>45807</v>
      </c>
      <c r="K266" t="s">
        <v>90</v>
      </c>
      <c r="L266" t="s">
        <v>113</v>
      </c>
    </row>
    <row r="267" spans="1:14" ht="15" customHeight="1" x14ac:dyDescent="0.35">
      <c r="A267" t="s">
        <v>496</v>
      </c>
      <c r="B267" t="s">
        <v>233</v>
      </c>
      <c r="C267" t="s">
        <v>234</v>
      </c>
      <c r="D267" t="s">
        <v>88</v>
      </c>
      <c r="E267" t="s">
        <v>95</v>
      </c>
      <c r="F267" t="s">
        <v>124</v>
      </c>
      <c r="G267" t="s">
        <v>97</v>
      </c>
      <c r="H267" s="21">
        <v>963</v>
      </c>
      <c r="I267" s="22">
        <v>46039</v>
      </c>
      <c r="J267" s="22">
        <v>46074</v>
      </c>
      <c r="K267" t="s">
        <v>90</v>
      </c>
      <c r="L267" t="s">
        <v>98</v>
      </c>
    </row>
    <row r="268" spans="1:14" ht="15" customHeight="1" x14ac:dyDescent="0.35">
      <c r="A268" t="s">
        <v>497</v>
      </c>
      <c r="B268" t="s">
        <v>77</v>
      </c>
      <c r="C268" t="s">
        <v>78</v>
      </c>
      <c r="D268" t="s">
        <v>79</v>
      </c>
      <c r="E268" t="s">
        <v>111</v>
      </c>
      <c r="F268" t="s">
        <v>100</v>
      </c>
      <c r="G268" t="s">
        <v>97</v>
      </c>
      <c r="H268" s="21">
        <v>20822</v>
      </c>
      <c r="I268" s="22">
        <v>45824</v>
      </c>
      <c r="J268" s="22">
        <v>45894</v>
      </c>
      <c r="K268" t="s">
        <v>90</v>
      </c>
      <c r="L268" t="s">
        <v>107</v>
      </c>
      <c r="M268">
        <v>7</v>
      </c>
      <c r="N268" t="s">
        <v>114</v>
      </c>
    </row>
    <row r="269" spans="1:14" ht="15" customHeight="1" x14ac:dyDescent="0.35">
      <c r="A269" t="s">
        <v>498</v>
      </c>
      <c r="B269" t="s">
        <v>161</v>
      </c>
      <c r="C269" t="s">
        <v>162</v>
      </c>
      <c r="D269" t="s">
        <v>79</v>
      </c>
      <c r="E269" t="s">
        <v>80</v>
      </c>
      <c r="F269" t="s">
        <v>124</v>
      </c>
      <c r="G269" t="s">
        <v>97</v>
      </c>
      <c r="H269" s="21">
        <v>1247</v>
      </c>
      <c r="I269" s="22">
        <v>45803</v>
      </c>
      <c r="J269" s="22">
        <v>45805</v>
      </c>
      <c r="K269" t="s">
        <v>90</v>
      </c>
      <c r="L269" t="s">
        <v>84</v>
      </c>
    </row>
    <row r="270" spans="1:14" ht="15" customHeight="1" x14ac:dyDescent="0.35">
      <c r="A270" t="s">
        <v>499</v>
      </c>
      <c r="B270" t="s">
        <v>217</v>
      </c>
      <c r="C270" t="s">
        <v>218</v>
      </c>
      <c r="D270" t="s">
        <v>88</v>
      </c>
      <c r="E270" t="s">
        <v>89</v>
      </c>
      <c r="F270" t="s">
        <v>148</v>
      </c>
      <c r="G270" t="s">
        <v>97</v>
      </c>
      <c r="H270" s="21">
        <v>13065</v>
      </c>
      <c r="I270" s="22">
        <v>45894</v>
      </c>
      <c r="J270" s="22">
        <v>45903</v>
      </c>
      <c r="K270" t="s">
        <v>90</v>
      </c>
      <c r="L270" t="s">
        <v>101</v>
      </c>
    </row>
    <row r="271" spans="1:14" ht="15" customHeight="1" x14ac:dyDescent="0.35">
      <c r="A271" t="s">
        <v>500</v>
      </c>
      <c r="B271" t="s">
        <v>209</v>
      </c>
      <c r="C271" t="s">
        <v>210</v>
      </c>
      <c r="D271" t="s">
        <v>94</v>
      </c>
      <c r="E271" t="s">
        <v>89</v>
      </c>
      <c r="F271" t="s">
        <v>119</v>
      </c>
      <c r="G271" t="s">
        <v>82</v>
      </c>
      <c r="H271" s="21">
        <v>13723</v>
      </c>
      <c r="I271" s="22">
        <v>45918</v>
      </c>
      <c r="J271" s="22">
        <v>45932</v>
      </c>
      <c r="K271" t="s">
        <v>90</v>
      </c>
      <c r="L271" t="s">
        <v>98</v>
      </c>
    </row>
    <row r="272" spans="1:14" ht="15" customHeight="1" x14ac:dyDescent="0.35">
      <c r="A272" t="s">
        <v>501</v>
      </c>
      <c r="B272" t="s">
        <v>351</v>
      </c>
      <c r="C272" t="s">
        <v>352</v>
      </c>
      <c r="D272" t="s">
        <v>94</v>
      </c>
      <c r="E272" t="s">
        <v>118</v>
      </c>
      <c r="F272" t="s">
        <v>129</v>
      </c>
      <c r="G272" t="s">
        <v>82</v>
      </c>
      <c r="H272" s="21">
        <v>320</v>
      </c>
      <c r="I272" s="22">
        <v>45847</v>
      </c>
      <c r="J272" s="22">
        <v>45867</v>
      </c>
      <c r="K272" t="s">
        <v>90</v>
      </c>
      <c r="L272" t="s">
        <v>98</v>
      </c>
    </row>
    <row r="273" spans="1:14" ht="15" customHeight="1" x14ac:dyDescent="0.35">
      <c r="A273" t="s">
        <v>502</v>
      </c>
      <c r="B273" t="s">
        <v>306</v>
      </c>
      <c r="C273" t="s">
        <v>307</v>
      </c>
      <c r="D273" t="s">
        <v>88</v>
      </c>
      <c r="E273" t="s">
        <v>80</v>
      </c>
      <c r="F273" t="s">
        <v>81</v>
      </c>
      <c r="G273" t="s">
        <v>82</v>
      </c>
      <c r="H273" s="21">
        <v>1586</v>
      </c>
      <c r="I273" s="22">
        <v>45983</v>
      </c>
      <c r="J273" s="22">
        <v>45985</v>
      </c>
      <c r="K273" t="s">
        <v>90</v>
      </c>
      <c r="L273" t="s">
        <v>107</v>
      </c>
    </row>
    <row r="274" spans="1:14" ht="15" customHeight="1" x14ac:dyDescent="0.35">
      <c r="A274" t="s">
        <v>503</v>
      </c>
      <c r="B274" t="s">
        <v>170</v>
      </c>
      <c r="C274" t="s">
        <v>171</v>
      </c>
      <c r="D274" t="s">
        <v>88</v>
      </c>
      <c r="E274" t="s">
        <v>111</v>
      </c>
      <c r="F274" t="s">
        <v>124</v>
      </c>
      <c r="G274" t="s">
        <v>97</v>
      </c>
      <c r="H274" s="21">
        <v>5465</v>
      </c>
      <c r="I274" s="22">
        <v>45908</v>
      </c>
      <c r="J274" s="22">
        <v>45917</v>
      </c>
      <c r="K274" t="s">
        <v>90</v>
      </c>
      <c r="L274" t="s">
        <v>101</v>
      </c>
      <c r="M274">
        <v>11</v>
      </c>
      <c r="N274" t="s">
        <v>266</v>
      </c>
    </row>
    <row r="275" spans="1:14" ht="15" customHeight="1" x14ac:dyDescent="0.35">
      <c r="A275" t="s">
        <v>504</v>
      </c>
      <c r="B275" t="s">
        <v>333</v>
      </c>
      <c r="C275" t="s">
        <v>334</v>
      </c>
      <c r="D275" t="s">
        <v>105</v>
      </c>
      <c r="E275" t="s">
        <v>111</v>
      </c>
      <c r="F275" t="s">
        <v>112</v>
      </c>
      <c r="G275" t="s">
        <v>82</v>
      </c>
      <c r="H275" s="21">
        <v>18031</v>
      </c>
      <c r="I275" s="22">
        <v>45992</v>
      </c>
      <c r="J275" s="22">
        <v>45994</v>
      </c>
      <c r="K275" t="s">
        <v>90</v>
      </c>
      <c r="L275" t="s">
        <v>84</v>
      </c>
      <c r="M275">
        <v>6</v>
      </c>
      <c r="N275" t="s">
        <v>114</v>
      </c>
    </row>
    <row r="276" spans="1:14" ht="15" customHeight="1" x14ac:dyDescent="0.35">
      <c r="A276" t="s">
        <v>505</v>
      </c>
      <c r="B276" t="s">
        <v>200</v>
      </c>
      <c r="C276" t="s">
        <v>201</v>
      </c>
      <c r="D276" t="s">
        <v>94</v>
      </c>
      <c r="E276" t="s">
        <v>118</v>
      </c>
      <c r="F276" t="s">
        <v>81</v>
      </c>
      <c r="G276" t="s">
        <v>82</v>
      </c>
      <c r="H276" s="21">
        <v>843</v>
      </c>
      <c r="I276" s="22">
        <v>45942</v>
      </c>
      <c r="J276" s="22">
        <v>45944</v>
      </c>
      <c r="K276" t="s">
        <v>90</v>
      </c>
      <c r="L276" t="s">
        <v>98</v>
      </c>
    </row>
    <row r="277" spans="1:14" ht="15" customHeight="1" x14ac:dyDescent="0.35">
      <c r="A277" t="s">
        <v>506</v>
      </c>
      <c r="B277" t="s">
        <v>135</v>
      </c>
      <c r="C277" t="s">
        <v>136</v>
      </c>
      <c r="D277" t="s">
        <v>94</v>
      </c>
      <c r="E277" t="s">
        <v>80</v>
      </c>
      <c r="F277" t="s">
        <v>96</v>
      </c>
      <c r="G277" t="s">
        <v>97</v>
      </c>
      <c r="H277" s="21">
        <v>1870</v>
      </c>
      <c r="I277" s="22">
        <v>46072</v>
      </c>
      <c r="J277" s="22">
        <v>46074</v>
      </c>
      <c r="K277" t="s">
        <v>90</v>
      </c>
      <c r="L277" t="s">
        <v>101</v>
      </c>
    </row>
    <row r="278" spans="1:14" ht="15" customHeight="1" x14ac:dyDescent="0.35">
      <c r="A278" t="s">
        <v>507</v>
      </c>
      <c r="B278" t="s">
        <v>92</v>
      </c>
      <c r="C278" t="s">
        <v>93</v>
      </c>
      <c r="D278" t="s">
        <v>94</v>
      </c>
      <c r="E278" t="s">
        <v>95</v>
      </c>
      <c r="F278" t="s">
        <v>129</v>
      </c>
      <c r="G278" t="s">
        <v>82</v>
      </c>
      <c r="H278" s="21">
        <v>2045</v>
      </c>
      <c r="I278" s="22">
        <v>45860</v>
      </c>
      <c r="J278" s="22">
        <v>45862</v>
      </c>
      <c r="K278" t="s">
        <v>90</v>
      </c>
      <c r="L278" t="s">
        <v>101</v>
      </c>
    </row>
    <row r="279" spans="1:14" ht="15" customHeight="1" x14ac:dyDescent="0.35">
      <c r="A279" t="s">
        <v>508</v>
      </c>
      <c r="B279" t="s">
        <v>92</v>
      </c>
      <c r="C279" t="s">
        <v>93</v>
      </c>
      <c r="D279" t="s">
        <v>94</v>
      </c>
      <c r="E279" t="s">
        <v>89</v>
      </c>
      <c r="F279" t="s">
        <v>81</v>
      </c>
      <c r="G279" t="s">
        <v>82</v>
      </c>
      <c r="H279" s="21">
        <v>7755</v>
      </c>
      <c r="I279" s="22">
        <v>45908</v>
      </c>
      <c r="J279" s="22">
        <v>45917</v>
      </c>
      <c r="K279" t="s">
        <v>83</v>
      </c>
      <c r="L279" t="s">
        <v>138</v>
      </c>
    </row>
    <row r="280" spans="1:14" ht="15" customHeight="1" x14ac:dyDescent="0.35">
      <c r="A280" t="s">
        <v>509</v>
      </c>
      <c r="B280" t="s">
        <v>464</v>
      </c>
      <c r="C280" t="s">
        <v>465</v>
      </c>
      <c r="D280" t="s">
        <v>79</v>
      </c>
      <c r="E280" t="s">
        <v>172</v>
      </c>
      <c r="F280" t="s">
        <v>124</v>
      </c>
      <c r="G280" t="s">
        <v>97</v>
      </c>
      <c r="H280" s="21">
        <v>1823</v>
      </c>
      <c r="I280" s="22">
        <v>45755</v>
      </c>
      <c r="J280" s="22">
        <v>45760</v>
      </c>
      <c r="K280" t="s">
        <v>90</v>
      </c>
      <c r="L280" t="s">
        <v>98</v>
      </c>
    </row>
    <row r="281" spans="1:14" ht="15" customHeight="1" x14ac:dyDescent="0.35">
      <c r="A281" t="s">
        <v>510</v>
      </c>
      <c r="B281" t="s">
        <v>77</v>
      </c>
      <c r="C281" t="s">
        <v>78</v>
      </c>
      <c r="D281" t="s">
        <v>79</v>
      </c>
      <c r="E281" t="s">
        <v>89</v>
      </c>
      <c r="F281" t="s">
        <v>148</v>
      </c>
      <c r="G281" t="s">
        <v>97</v>
      </c>
      <c r="H281" s="21">
        <v>14938</v>
      </c>
      <c r="I281" s="22">
        <v>45752</v>
      </c>
      <c r="J281" s="22">
        <v>45757</v>
      </c>
      <c r="K281" t="s">
        <v>90</v>
      </c>
      <c r="L281" t="s">
        <v>130</v>
      </c>
    </row>
    <row r="282" spans="1:14" ht="15" customHeight="1" x14ac:dyDescent="0.35">
      <c r="A282" t="s">
        <v>511</v>
      </c>
      <c r="B282" t="s">
        <v>121</v>
      </c>
      <c r="C282" t="s">
        <v>122</v>
      </c>
      <c r="D282" t="s">
        <v>94</v>
      </c>
      <c r="E282" t="s">
        <v>95</v>
      </c>
      <c r="F282" t="s">
        <v>129</v>
      </c>
      <c r="G282" t="s">
        <v>82</v>
      </c>
      <c r="H282" s="21">
        <v>1032</v>
      </c>
      <c r="I282" s="22">
        <v>45898</v>
      </c>
      <c r="J282" s="22">
        <v>45900</v>
      </c>
      <c r="K282" t="s">
        <v>90</v>
      </c>
      <c r="L282" t="s">
        <v>101</v>
      </c>
    </row>
    <row r="283" spans="1:14" ht="15" customHeight="1" x14ac:dyDescent="0.35">
      <c r="A283" t="s">
        <v>512</v>
      </c>
      <c r="B283" t="s">
        <v>143</v>
      </c>
      <c r="C283" t="s">
        <v>144</v>
      </c>
      <c r="D283" t="s">
        <v>94</v>
      </c>
      <c r="E283" t="s">
        <v>80</v>
      </c>
      <c r="F283" t="s">
        <v>124</v>
      </c>
      <c r="G283" t="s">
        <v>97</v>
      </c>
      <c r="H283" s="21">
        <v>1741</v>
      </c>
      <c r="I283" s="22">
        <v>45786</v>
      </c>
      <c r="J283" s="22">
        <v>45791</v>
      </c>
      <c r="K283" t="s">
        <v>90</v>
      </c>
      <c r="L283" t="s">
        <v>125</v>
      </c>
    </row>
    <row r="284" spans="1:14" ht="15" customHeight="1" x14ac:dyDescent="0.35">
      <c r="A284" t="s">
        <v>513</v>
      </c>
      <c r="B284" t="s">
        <v>135</v>
      </c>
      <c r="C284" t="s">
        <v>136</v>
      </c>
      <c r="D284" t="s">
        <v>94</v>
      </c>
      <c r="E284" t="s">
        <v>172</v>
      </c>
      <c r="F284" t="s">
        <v>81</v>
      </c>
      <c r="G284" t="s">
        <v>82</v>
      </c>
      <c r="H284" s="21">
        <v>984</v>
      </c>
      <c r="I284" s="22">
        <v>45859</v>
      </c>
      <c r="J284" s="22">
        <v>45879</v>
      </c>
      <c r="K284" t="s">
        <v>90</v>
      </c>
      <c r="L284" t="s">
        <v>125</v>
      </c>
    </row>
    <row r="285" spans="1:14" ht="15" customHeight="1" x14ac:dyDescent="0.35">
      <c r="A285" t="s">
        <v>514</v>
      </c>
      <c r="B285" t="s">
        <v>77</v>
      </c>
      <c r="C285" t="s">
        <v>78</v>
      </c>
      <c r="D285" t="s">
        <v>79</v>
      </c>
      <c r="E285" t="s">
        <v>118</v>
      </c>
      <c r="F285" t="s">
        <v>100</v>
      </c>
      <c r="G285" t="s">
        <v>97</v>
      </c>
      <c r="H285" s="21">
        <v>347</v>
      </c>
      <c r="I285" s="22">
        <v>45773</v>
      </c>
      <c r="J285" s="22">
        <v>45808</v>
      </c>
      <c r="K285" t="s">
        <v>83</v>
      </c>
      <c r="L285" t="s">
        <v>84</v>
      </c>
    </row>
    <row r="286" spans="1:14" ht="15" customHeight="1" x14ac:dyDescent="0.35">
      <c r="A286" t="s">
        <v>515</v>
      </c>
      <c r="B286" t="s">
        <v>297</v>
      </c>
      <c r="C286" t="s">
        <v>298</v>
      </c>
      <c r="D286" t="s">
        <v>88</v>
      </c>
      <c r="E286" t="s">
        <v>80</v>
      </c>
      <c r="F286" t="s">
        <v>112</v>
      </c>
      <c r="G286" t="s">
        <v>82</v>
      </c>
      <c r="H286" s="21">
        <v>1646</v>
      </c>
      <c r="I286" s="22">
        <v>45868</v>
      </c>
      <c r="J286" s="22">
        <v>45882</v>
      </c>
      <c r="K286" t="s">
        <v>90</v>
      </c>
      <c r="L286" t="s">
        <v>113</v>
      </c>
    </row>
    <row r="287" spans="1:14" ht="15" customHeight="1" x14ac:dyDescent="0.35">
      <c r="A287" t="s">
        <v>516</v>
      </c>
      <c r="B287" t="s">
        <v>150</v>
      </c>
      <c r="C287" t="s">
        <v>151</v>
      </c>
      <c r="D287" t="s">
        <v>79</v>
      </c>
      <c r="E287" t="s">
        <v>80</v>
      </c>
      <c r="F287" t="s">
        <v>112</v>
      </c>
      <c r="G287" t="s">
        <v>82</v>
      </c>
      <c r="H287" s="21">
        <v>919</v>
      </c>
      <c r="I287" s="22">
        <v>45961</v>
      </c>
      <c r="J287" s="22">
        <v>45970</v>
      </c>
      <c r="K287" t="s">
        <v>90</v>
      </c>
      <c r="L287" t="s">
        <v>107</v>
      </c>
    </row>
    <row r="288" spans="1:14" ht="15" customHeight="1" x14ac:dyDescent="0.35">
      <c r="A288" t="s">
        <v>517</v>
      </c>
      <c r="B288" t="s">
        <v>289</v>
      </c>
      <c r="C288" t="s">
        <v>290</v>
      </c>
      <c r="D288" t="s">
        <v>88</v>
      </c>
      <c r="E288" t="s">
        <v>95</v>
      </c>
      <c r="F288" t="s">
        <v>81</v>
      </c>
      <c r="G288" t="s">
        <v>82</v>
      </c>
      <c r="H288" s="21">
        <v>2000</v>
      </c>
      <c r="I288" s="22">
        <v>45952</v>
      </c>
      <c r="J288" s="22">
        <v>45957</v>
      </c>
      <c r="K288" t="s">
        <v>90</v>
      </c>
      <c r="L288" t="s">
        <v>125</v>
      </c>
    </row>
    <row r="289" spans="1:12" ht="15" customHeight="1" x14ac:dyDescent="0.35">
      <c r="A289" t="s">
        <v>518</v>
      </c>
      <c r="B289" t="s">
        <v>192</v>
      </c>
      <c r="C289" t="s">
        <v>193</v>
      </c>
      <c r="D289" t="s">
        <v>94</v>
      </c>
      <c r="E289" t="s">
        <v>80</v>
      </c>
      <c r="F289" t="s">
        <v>129</v>
      </c>
      <c r="G289" t="s">
        <v>82</v>
      </c>
      <c r="H289" s="21">
        <v>2106</v>
      </c>
      <c r="I289" s="22">
        <v>45872</v>
      </c>
      <c r="J289" s="22">
        <v>45874</v>
      </c>
      <c r="K289" t="s">
        <v>90</v>
      </c>
      <c r="L289" t="s">
        <v>138</v>
      </c>
    </row>
    <row r="290" spans="1:12" ht="15" customHeight="1" x14ac:dyDescent="0.35">
      <c r="A290" t="s">
        <v>519</v>
      </c>
      <c r="B290" t="s">
        <v>370</v>
      </c>
      <c r="C290" t="s">
        <v>371</v>
      </c>
      <c r="D290" t="s">
        <v>88</v>
      </c>
      <c r="E290" t="s">
        <v>118</v>
      </c>
      <c r="F290" t="s">
        <v>81</v>
      </c>
      <c r="G290" t="s">
        <v>82</v>
      </c>
      <c r="H290" s="21">
        <v>656</v>
      </c>
      <c r="I290" s="22">
        <v>45773</v>
      </c>
      <c r="J290" s="22">
        <v>45782</v>
      </c>
      <c r="K290" t="s">
        <v>90</v>
      </c>
      <c r="L290" t="s">
        <v>138</v>
      </c>
    </row>
    <row r="291" spans="1:12" ht="15" customHeight="1" x14ac:dyDescent="0.35">
      <c r="A291" t="s">
        <v>520</v>
      </c>
      <c r="B291" t="s">
        <v>176</v>
      </c>
      <c r="C291" t="s">
        <v>177</v>
      </c>
      <c r="D291" t="s">
        <v>79</v>
      </c>
      <c r="E291" t="s">
        <v>118</v>
      </c>
      <c r="F291" t="s">
        <v>129</v>
      </c>
      <c r="G291" t="s">
        <v>82</v>
      </c>
      <c r="H291" s="21">
        <v>1213</v>
      </c>
      <c r="I291" s="22">
        <v>45970</v>
      </c>
      <c r="J291" s="22">
        <v>45979</v>
      </c>
      <c r="K291" t="s">
        <v>90</v>
      </c>
      <c r="L291" t="s">
        <v>84</v>
      </c>
    </row>
    <row r="292" spans="1:12" ht="15" customHeight="1" x14ac:dyDescent="0.35">
      <c r="A292" t="s">
        <v>521</v>
      </c>
      <c r="B292" t="s">
        <v>77</v>
      </c>
      <c r="C292" t="s">
        <v>78</v>
      </c>
      <c r="D292" t="s">
        <v>79</v>
      </c>
      <c r="E292" t="s">
        <v>89</v>
      </c>
      <c r="F292" t="s">
        <v>129</v>
      </c>
      <c r="G292" t="s">
        <v>82</v>
      </c>
      <c r="H292" s="21">
        <v>12031</v>
      </c>
      <c r="I292" s="22">
        <v>45810</v>
      </c>
      <c r="J292" s="22">
        <v>45812</v>
      </c>
      <c r="K292" t="s">
        <v>90</v>
      </c>
      <c r="L292" t="s">
        <v>130</v>
      </c>
    </row>
    <row r="293" spans="1:12" ht="15" customHeight="1" x14ac:dyDescent="0.35">
      <c r="A293" t="s">
        <v>522</v>
      </c>
      <c r="B293" t="s">
        <v>86</v>
      </c>
      <c r="C293" t="s">
        <v>87</v>
      </c>
      <c r="D293" t="s">
        <v>88</v>
      </c>
      <c r="E293" t="s">
        <v>80</v>
      </c>
      <c r="F293" t="s">
        <v>119</v>
      </c>
      <c r="G293" t="s">
        <v>82</v>
      </c>
      <c r="H293" s="21">
        <v>2178</v>
      </c>
      <c r="I293" s="22">
        <v>45956</v>
      </c>
      <c r="J293" s="22">
        <v>45970</v>
      </c>
      <c r="K293" t="s">
        <v>90</v>
      </c>
      <c r="L293" t="s">
        <v>107</v>
      </c>
    </row>
    <row r="294" spans="1:12" ht="15" customHeight="1" x14ac:dyDescent="0.35">
      <c r="A294" t="s">
        <v>523</v>
      </c>
      <c r="B294" t="s">
        <v>143</v>
      </c>
      <c r="C294" t="s">
        <v>144</v>
      </c>
      <c r="D294" t="s">
        <v>94</v>
      </c>
      <c r="E294" t="s">
        <v>89</v>
      </c>
      <c r="F294" t="s">
        <v>81</v>
      </c>
      <c r="G294" t="s">
        <v>82</v>
      </c>
      <c r="H294" s="21">
        <v>13561</v>
      </c>
      <c r="I294" s="22">
        <v>45977</v>
      </c>
      <c r="J294" s="22">
        <v>46012</v>
      </c>
      <c r="K294" t="s">
        <v>90</v>
      </c>
      <c r="L294" t="s">
        <v>130</v>
      </c>
    </row>
    <row r="295" spans="1:12" ht="15" customHeight="1" x14ac:dyDescent="0.35">
      <c r="A295" t="s">
        <v>524</v>
      </c>
      <c r="B295" t="s">
        <v>176</v>
      </c>
      <c r="C295" t="s">
        <v>177</v>
      </c>
      <c r="D295" t="s">
        <v>79</v>
      </c>
      <c r="E295" t="s">
        <v>80</v>
      </c>
      <c r="F295" t="s">
        <v>119</v>
      </c>
      <c r="G295" t="s">
        <v>82</v>
      </c>
      <c r="H295" s="21">
        <v>1971</v>
      </c>
      <c r="I295" s="22">
        <v>45782</v>
      </c>
      <c r="J295" s="22">
        <v>45802</v>
      </c>
      <c r="K295" t="s">
        <v>90</v>
      </c>
      <c r="L295" t="s">
        <v>107</v>
      </c>
    </row>
    <row r="296" spans="1:12" ht="15" customHeight="1" x14ac:dyDescent="0.35">
      <c r="A296" t="s">
        <v>525</v>
      </c>
      <c r="B296" t="s">
        <v>170</v>
      </c>
      <c r="C296" t="s">
        <v>171</v>
      </c>
      <c r="D296" t="s">
        <v>88</v>
      </c>
      <c r="E296" t="s">
        <v>95</v>
      </c>
      <c r="F296" t="s">
        <v>129</v>
      </c>
      <c r="G296" t="s">
        <v>82</v>
      </c>
      <c r="H296" s="21">
        <v>1775</v>
      </c>
      <c r="I296" s="22">
        <v>45885</v>
      </c>
      <c r="J296" s="22">
        <v>45905</v>
      </c>
      <c r="K296" t="s">
        <v>83</v>
      </c>
      <c r="L296" t="s">
        <v>84</v>
      </c>
    </row>
    <row r="297" spans="1:12" ht="15" customHeight="1" x14ac:dyDescent="0.35">
      <c r="A297" t="s">
        <v>526</v>
      </c>
      <c r="B297" t="s">
        <v>323</v>
      </c>
      <c r="C297" t="s">
        <v>324</v>
      </c>
      <c r="D297" t="s">
        <v>190</v>
      </c>
      <c r="E297" t="s">
        <v>95</v>
      </c>
      <c r="F297" t="s">
        <v>119</v>
      </c>
      <c r="G297" t="s">
        <v>82</v>
      </c>
      <c r="H297" s="21">
        <v>1433</v>
      </c>
      <c r="I297" s="22">
        <v>45781</v>
      </c>
      <c r="J297" s="22">
        <v>45790</v>
      </c>
      <c r="K297" t="s">
        <v>90</v>
      </c>
      <c r="L297" t="s">
        <v>125</v>
      </c>
    </row>
    <row r="298" spans="1:12" ht="15" customHeight="1" x14ac:dyDescent="0.35">
      <c r="A298" t="s">
        <v>527</v>
      </c>
      <c r="B298" t="s">
        <v>316</v>
      </c>
      <c r="C298" t="s">
        <v>317</v>
      </c>
      <c r="D298" t="s">
        <v>88</v>
      </c>
      <c r="E298" t="s">
        <v>118</v>
      </c>
      <c r="F298" t="s">
        <v>129</v>
      </c>
      <c r="G298" t="s">
        <v>82</v>
      </c>
      <c r="H298" s="21">
        <v>531</v>
      </c>
      <c r="I298" s="22">
        <v>45811</v>
      </c>
      <c r="J298" s="22">
        <v>45816</v>
      </c>
      <c r="K298" t="s">
        <v>90</v>
      </c>
      <c r="L298" t="s">
        <v>101</v>
      </c>
    </row>
    <row r="299" spans="1:12" ht="15" customHeight="1" x14ac:dyDescent="0.35">
      <c r="A299" t="s">
        <v>528</v>
      </c>
      <c r="B299" t="s">
        <v>391</v>
      </c>
      <c r="C299" t="s">
        <v>392</v>
      </c>
      <c r="D299" t="s">
        <v>94</v>
      </c>
      <c r="E299" t="s">
        <v>95</v>
      </c>
      <c r="F299" t="s">
        <v>112</v>
      </c>
      <c r="G299" t="s">
        <v>82</v>
      </c>
      <c r="H299" s="21">
        <v>1575</v>
      </c>
      <c r="I299" s="22">
        <v>45904</v>
      </c>
      <c r="J299" s="22">
        <v>45913</v>
      </c>
      <c r="K299" t="s">
        <v>90</v>
      </c>
      <c r="L299" t="s">
        <v>107</v>
      </c>
    </row>
    <row r="300" spans="1:12" ht="15" customHeight="1" x14ac:dyDescent="0.35">
      <c r="A300" t="s">
        <v>529</v>
      </c>
      <c r="B300" t="s">
        <v>316</v>
      </c>
      <c r="C300" t="s">
        <v>317</v>
      </c>
      <c r="D300" t="s">
        <v>88</v>
      </c>
      <c r="E300" t="s">
        <v>89</v>
      </c>
      <c r="F300" t="s">
        <v>124</v>
      </c>
      <c r="G300" t="s">
        <v>97</v>
      </c>
      <c r="H300" s="21">
        <v>11308</v>
      </c>
      <c r="I300" s="22">
        <v>45948</v>
      </c>
      <c r="J300" s="22">
        <v>45950</v>
      </c>
      <c r="K300" t="s">
        <v>90</v>
      </c>
      <c r="L300" t="s">
        <v>138</v>
      </c>
    </row>
    <row r="301" spans="1:12" ht="15" customHeight="1" x14ac:dyDescent="0.35">
      <c r="A301" t="s">
        <v>530</v>
      </c>
      <c r="B301" t="s">
        <v>217</v>
      </c>
      <c r="C301" t="s">
        <v>218</v>
      </c>
      <c r="D301" t="s">
        <v>88</v>
      </c>
      <c r="E301" t="s">
        <v>95</v>
      </c>
      <c r="F301" t="s">
        <v>96</v>
      </c>
      <c r="G301" t="s">
        <v>97</v>
      </c>
      <c r="H301" s="21">
        <v>2001</v>
      </c>
      <c r="I301" s="22">
        <v>45803</v>
      </c>
      <c r="J301" s="22">
        <v>45805</v>
      </c>
      <c r="K301" t="s">
        <v>83</v>
      </c>
      <c r="L301" t="s">
        <v>101</v>
      </c>
    </row>
    <row r="302" spans="1:12" ht="15" customHeight="1" x14ac:dyDescent="0.35">
      <c r="A302" t="s">
        <v>531</v>
      </c>
      <c r="B302" t="s">
        <v>230</v>
      </c>
      <c r="C302" t="s">
        <v>231</v>
      </c>
      <c r="D302" t="s">
        <v>88</v>
      </c>
      <c r="E302" t="s">
        <v>80</v>
      </c>
      <c r="F302" t="s">
        <v>112</v>
      </c>
      <c r="G302" t="s">
        <v>82</v>
      </c>
      <c r="H302" s="21">
        <v>2095</v>
      </c>
      <c r="I302" s="22">
        <v>45755</v>
      </c>
      <c r="J302" s="22">
        <v>45764</v>
      </c>
      <c r="K302" t="s">
        <v>90</v>
      </c>
      <c r="L302" t="s">
        <v>130</v>
      </c>
    </row>
    <row r="303" spans="1:12" ht="15" customHeight="1" x14ac:dyDescent="0.35">
      <c r="A303" t="s">
        <v>532</v>
      </c>
      <c r="B303" t="s">
        <v>289</v>
      </c>
      <c r="C303" t="s">
        <v>290</v>
      </c>
      <c r="D303" t="s">
        <v>88</v>
      </c>
      <c r="E303" t="s">
        <v>172</v>
      </c>
      <c r="F303" t="s">
        <v>96</v>
      </c>
      <c r="G303" t="s">
        <v>97</v>
      </c>
      <c r="H303" s="21">
        <v>2992</v>
      </c>
      <c r="I303" s="22">
        <v>45938</v>
      </c>
      <c r="J303" s="22">
        <v>45973</v>
      </c>
      <c r="K303" t="s">
        <v>83</v>
      </c>
      <c r="L303" t="s">
        <v>107</v>
      </c>
    </row>
    <row r="304" spans="1:12" ht="15" customHeight="1" x14ac:dyDescent="0.35">
      <c r="A304" t="s">
        <v>533</v>
      </c>
      <c r="B304" t="s">
        <v>323</v>
      </c>
      <c r="C304" t="s">
        <v>324</v>
      </c>
      <c r="D304" t="s">
        <v>190</v>
      </c>
      <c r="E304" t="s">
        <v>95</v>
      </c>
      <c r="F304" t="s">
        <v>96</v>
      </c>
      <c r="G304" t="s">
        <v>97</v>
      </c>
      <c r="H304" s="21">
        <v>393</v>
      </c>
      <c r="I304" s="22">
        <v>45882</v>
      </c>
      <c r="J304" s="22">
        <v>45887</v>
      </c>
      <c r="K304" t="s">
        <v>90</v>
      </c>
      <c r="L304" t="s">
        <v>84</v>
      </c>
    </row>
    <row r="305" spans="1:14" ht="15" customHeight="1" x14ac:dyDescent="0.35">
      <c r="A305" t="s">
        <v>534</v>
      </c>
      <c r="B305" t="s">
        <v>77</v>
      </c>
      <c r="C305" t="s">
        <v>78</v>
      </c>
      <c r="D305" t="s">
        <v>79</v>
      </c>
      <c r="E305" t="s">
        <v>89</v>
      </c>
      <c r="F305" t="s">
        <v>129</v>
      </c>
      <c r="G305" t="s">
        <v>82</v>
      </c>
      <c r="H305" s="21">
        <v>8064</v>
      </c>
      <c r="I305" s="22">
        <v>45909</v>
      </c>
      <c r="J305" s="22">
        <v>45923</v>
      </c>
      <c r="K305" t="s">
        <v>90</v>
      </c>
      <c r="L305" t="s">
        <v>101</v>
      </c>
    </row>
    <row r="306" spans="1:14" ht="15" customHeight="1" x14ac:dyDescent="0.35">
      <c r="A306" t="s">
        <v>535</v>
      </c>
      <c r="B306" t="s">
        <v>279</v>
      </c>
      <c r="C306" t="s">
        <v>280</v>
      </c>
      <c r="D306" t="s">
        <v>190</v>
      </c>
      <c r="E306" t="s">
        <v>123</v>
      </c>
      <c r="F306" t="s">
        <v>100</v>
      </c>
      <c r="G306" t="s">
        <v>97</v>
      </c>
      <c r="H306" s="21">
        <v>9383</v>
      </c>
      <c r="I306" s="22">
        <v>45775</v>
      </c>
      <c r="J306" s="22">
        <v>45784</v>
      </c>
      <c r="K306" t="s">
        <v>90</v>
      </c>
      <c r="L306" t="s">
        <v>138</v>
      </c>
    </row>
    <row r="307" spans="1:14" ht="15" customHeight="1" x14ac:dyDescent="0.35">
      <c r="A307" t="s">
        <v>536</v>
      </c>
      <c r="B307" t="s">
        <v>246</v>
      </c>
      <c r="C307" t="s">
        <v>247</v>
      </c>
      <c r="D307" t="s">
        <v>94</v>
      </c>
      <c r="E307" t="s">
        <v>118</v>
      </c>
      <c r="F307" t="s">
        <v>124</v>
      </c>
      <c r="G307" t="s">
        <v>97</v>
      </c>
      <c r="H307" s="21">
        <v>1029</v>
      </c>
      <c r="I307" s="22">
        <v>46019</v>
      </c>
      <c r="J307" s="22">
        <v>46024</v>
      </c>
      <c r="K307" t="s">
        <v>90</v>
      </c>
      <c r="L307" t="s">
        <v>130</v>
      </c>
    </row>
    <row r="308" spans="1:14" ht="15" customHeight="1" x14ac:dyDescent="0.35">
      <c r="A308" t="s">
        <v>537</v>
      </c>
      <c r="B308" t="s">
        <v>251</v>
      </c>
      <c r="C308" t="s">
        <v>252</v>
      </c>
      <c r="D308" t="s">
        <v>94</v>
      </c>
      <c r="E308" t="s">
        <v>89</v>
      </c>
      <c r="F308" t="s">
        <v>148</v>
      </c>
      <c r="G308" t="s">
        <v>97</v>
      </c>
      <c r="H308" s="21">
        <v>3362</v>
      </c>
      <c r="I308" s="22">
        <v>45843</v>
      </c>
      <c r="J308" s="22">
        <v>45845</v>
      </c>
      <c r="K308" t="s">
        <v>90</v>
      </c>
      <c r="L308" t="s">
        <v>138</v>
      </c>
    </row>
    <row r="309" spans="1:14" ht="15" customHeight="1" x14ac:dyDescent="0.35">
      <c r="A309" t="s">
        <v>538</v>
      </c>
      <c r="B309" t="s">
        <v>233</v>
      </c>
      <c r="C309" t="s">
        <v>234</v>
      </c>
      <c r="D309" t="s">
        <v>88</v>
      </c>
      <c r="E309" t="s">
        <v>95</v>
      </c>
      <c r="F309" t="s">
        <v>100</v>
      </c>
      <c r="G309" t="s">
        <v>97</v>
      </c>
      <c r="H309" s="21">
        <v>379</v>
      </c>
      <c r="I309" s="22">
        <v>45964</v>
      </c>
      <c r="J309" s="22">
        <v>45999</v>
      </c>
      <c r="K309" t="s">
        <v>90</v>
      </c>
      <c r="L309" t="s">
        <v>101</v>
      </c>
    </row>
    <row r="310" spans="1:14" ht="15" customHeight="1" x14ac:dyDescent="0.35">
      <c r="A310" t="s">
        <v>539</v>
      </c>
      <c r="B310" t="s">
        <v>220</v>
      </c>
      <c r="C310" t="s">
        <v>221</v>
      </c>
      <c r="D310" t="s">
        <v>79</v>
      </c>
      <c r="E310" t="s">
        <v>89</v>
      </c>
      <c r="F310" t="s">
        <v>81</v>
      </c>
      <c r="G310" t="s">
        <v>82</v>
      </c>
      <c r="H310" s="21">
        <v>8386</v>
      </c>
      <c r="I310" s="22">
        <v>46043</v>
      </c>
      <c r="J310" s="22">
        <v>46057</v>
      </c>
      <c r="K310" t="s">
        <v>83</v>
      </c>
      <c r="L310" t="s">
        <v>84</v>
      </c>
    </row>
    <row r="311" spans="1:14" ht="15" customHeight="1" x14ac:dyDescent="0.35">
      <c r="A311" t="s">
        <v>540</v>
      </c>
      <c r="B311" t="s">
        <v>289</v>
      </c>
      <c r="C311" t="s">
        <v>290</v>
      </c>
      <c r="D311" t="s">
        <v>88</v>
      </c>
      <c r="E311" t="s">
        <v>172</v>
      </c>
      <c r="F311" t="s">
        <v>96</v>
      </c>
      <c r="G311" t="s">
        <v>97</v>
      </c>
      <c r="H311" s="21">
        <v>3662</v>
      </c>
      <c r="I311" s="22">
        <v>46050</v>
      </c>
      <c r="J311" s="22">
        <v>46064</v>
      </c>
      <c r="K311" t="s">
        <v>83</v>
      </c>
      <c r="L311" t="s">
        <v>107</v>
      </c>
    </row>
    <row r="312" spans="1:14" ht="15" customHeight="1" x14ac:dyDescent="0.35">
      <c r="A312" t="s">
        <v>541</v>
      </c>
      <c r="B312" t="s">
        <v>150</v>
      </c>
      <c r="C312" t="s">
        <v>151</v>
      </c>
      <c r="D312" t="s">
        <v>79</v>
      </c>
      <c r="E312" t="s">
        <v>95</v>
      </c>
      <c r="F312" t="s">
        <v>129</v>
      </c>
      <c r="G312" t="s">
        <v>82</v>
      </c>
      <c r="H312" s="21">
        <v>488</v>
      </c>
      <c r="I312" s="22">
        <v>45767</v>
      </c>
      <c r="J312" s="22">
        <v>45772</v>
      </c>
      <c r="K312" t="s">
        <v>90</v>
      </c>
      <c r="L312" t="s">
        <v>84</v>
      </c>
    </row>
    <row r="313" spans="1:14" ht="15" customHeight="1" x14ac:dyDescent="0.35">
      <c r="A313" t="s">
        <v>542</v>
      </c>
      <c r="B313" t="s">
        <v>306</v>
      </c>
      <c r="C313" t="s">
        <v>307</v>
      </c>
      <c r="D313" t="s">
        <v>88</v>
      </c>
      <c r="E313" t="s">
        <v>118</v>
      </c>
      <c r="F313" t="s">
        <v>81</v>
      </c>
      <c r="G313" t="s">
        <v>82</v>
      </c>
      <c r="H313" s="21">
        <v>352</v>
      </c>
      <c r="I313" s="22">
        <v>45933</v>
      </c>
      <c r="J313" s="22">
        <v>45935</v>
      </c>
      <c r="K313" t="s">
        <v>90</v>
      </c>
      <c r="L313" t="s">
        <v>113</v>
      </c>
    </row>
    <row r="314" spans="1:14" ht="15" customHeight="1" x14ac:dyDescent="0.35">
      <c r="A314" t="s">
        <v>543</v>
      </c>
      <c r="B314" t="s">
        <v>143</v>
      </c>
      <c r="C314" t="s">
        <v>144</v>
      </c>
      <c r="D314" t="s">
        <v>94</v>
      </c>
      <c r="E314" t="s">
        <v>111</v>
      </c>
      <c r="F314" t="s">
        <v>119</v>
      </c>
      <c r="G314" t="s">
        <v>82</v>
      </c>
      <c r="H314" s="21">
        <v>7209</v>
      </c>
      <c r="I314" s="22">
        <v>46046</v>
      </c>
      <c r="J314" s="22">
        <v>46060</v>
      </c>
      <c r="K314" t="s">
        <v>83</v>
      </c>
      <c r="L314" t="s">
        <v>130</v>
      </c>
      <c r="M314">
        <v>9</v>
      </c>
      <c r="N314" t="s">
        <v>114</v>
      </c>
    </row>
    <row r="315" spans="1:14" ht="15" customHeight="1" x14ac:dyDescent="0.35">
      <c r="A315" t="s">
        <v>544</v>
      </c>
      <c r="B315" t="s">
        <v>233</v>
      </c>
      <c r="C315" t="s">
        <v>234</v>
      </c>
      <c r="D315" t="s">
        <v>88</v>
      </c>
      <c r="E315" t="s">
        <v>111</v>
      </c>
      <c r="F315" t="s">
        <v>81</v>
      </c>
      <c r="G315" t="s">
        <v>82</v>
      </c>
      <c r="H315" s="21">
        <v>10708</v>
      </c>
      <c r="I315" s="22">
        <v>46063</v>
      </c>
      <c r="J315" s="22">
        <v>46083</v>
      </c>
      <c r="K315" t="s">
        <v>90</v>
      </c>
      <c r="L315" t="s">
        <v>130</v>
      </c>
      <c r="M315">
        <v>17</v>
      </c>
      <c r="N315" t="s">
        <v>266</v>
      </c>
    </row>
    <row r="316" spans="1:14" ht="15" customHeight="1" x14ac:dyDescent="0.35">
      <c r="A316" t="s">
        <v>545</v>
      </c>
      <c r="B316" t="s">
        <v>257</v>
      </c>
      <c r="C316" t="s">
        <v>258</v>
      </c>
      <c r="D316" t="s">
        <v>88</v>
      </c>
      <c r="E316" t="s">
        <v>95</v>
      </c>
      <c r="F316" t="s">
        <v>112</v>
      </c>
      <c r="G316" t="s">
        <v>82</v>
      </c>
      <c r="H316" s="21">
        <v>908</v>
      </c>
      <c r="I316" s="22">
        <v>45835</v>
      </c>
      <c r="J316" s="22">
        <v>45849</v>
      </c>
      <c r="K316" t="s">
        <v>90</v>
      </c>
      <c r="L316" t="s">
        <v>113</v>
      </c>
    </row>
    <row r="317" spans="1:14" ht="15" customHeight="1" x14ac:dyDescent="0.35">
      <c r="A317" t="s">
        <v>546</v>
      </c>
      <c r="B317" t="s">
        <v>132</v>
      </c>
      <c r="C317" t="s">
        <v>133</v>
      </c>
      <c r="D317" t="s">
        <v>88</v>
      </c>
      <c r="E317" t="s">
        <v>80</v>
      </c>
      <c r="F317" t="s">
        <v>100</v>
      </c>
      <c r="G317" t="s">
        <v>97</v>
      </c>
      <c r="H317" s="21">
        <v>1989</v>
      </c>
      <c r="I317" s="22">
        <v>45956</v>
      </c>
      <c r="J317" s="22">
        <v>45976</v>
      </c>
      <c r="K317" t="s">
        <v>83</v>
      </c>
      <c r="L317" t="s">
        <v>138</v>
      </c>
    </row>
    <row r="318" spans="1:14" ht="15" customHeight="1" x14ac:dyDescent="0.35">
      <c r="A318" t="s">
        <v>547</v>
      </c>
      <c r="B318" t="s">
        <v>293</v>
      </c>
      <c r="C318" t="s">
        <v>294</v>
      </c>
      <c r="D318" t="s">
        <v>94</v>
      </c>
      <c r="E318" t="s">
        <v>80</v>
      </c>
      <c r="F318" t="s">
        <v>96</v>
      </c>
      <c r="G318" t="s">
        <v>97</v>
      </c>
      <c r="H318" s="21">
        <v>1120</v>
      </c>
      <c r="I318" s="22">
        <v>45915</v>
      </c>
      <c r="J318" s="22">
        <v>45920</v>
      </c>
      <c r="K318" t="s">
        <v>90</v>
      </c>
      <c r="L318" t="s">
        <v>125</v>
      </c>
    </row>
    <row r="319" spans="1:14" ht="15" customHeight="1" x14ac:dyDescent="0.35">
      <c r="A319" t="s">
        <v>548</v>
      </c>
      <c r="B319" t="s">
        <v>212</v>
      </c>
      <c r="C319" t="s">
        <v>213</v>
      </c>
      <c r="D319" t="s">
        <v>94</v>
      </c>
      <c r="E319" t="s">
        <v>118</v>
      </c>
      <c r="F319" t="s">
        <v>124</v>
      </c>
      <c r="G319" t="s">
        <v>97</v>
      </c>
      <c r="H319" s="21">
        <v>1456</v>
      </c>
      <c r="I319" s="22">
        <v>45909</v>
      </c>
      <c r="J319" s="22">
        <v>45911</v>
      </c>
      <c r="K319" t="s">
        <v>90</v>
      </c>
      <c r="L319" t="s">
        <v>113</v>
      </c>
    </row>
    <row r="320" spans="1:14" ht="15" customHeight="1" x14ac:dyDescent="0.35">
      <c r="A320" t="s">
        <v>549</v>
      </c>
      <c r="B320" t="s">
        <v>195</v>
      </c>
      <c r="C320" t="s">
        <v>196</v>
      </c>
      <c r="D320" t="s">
        <v>79</v>
      </c>
      <c r="E320" t="s">
        <v>172</v>
      </c>
      <c r="F320" t="s">
        <v>112</v>
      </c>
      <c r="G320" t="s">
        <v>82</v>
      </c>
      <c r="H320" s="21">
        <v>3040</v>
      </c>
      <c r="I320" s="22">
        <v>45843</v>
      </c>
      <c r="J320" s="22">
        <v>45852</v>
      </c>
      <c r="K320" t="s">
        <v>90</v>
      </c>
      <c r="L320" t="s">
        <v>98</v>
      </c>
    </row>
    <row r="321" spans="1:14" ht="15" customHeight="1" x14ac:dyDescent="0.35">
      <c r="A321" t="s">
        <v>550</v>
      </c>
      <c r="B321" t="s">
        <v>77</v>
      </c>
      <c r="C321" t="s">
        <v>78</v>
      </c>
      <c r="D321" t="s">
        <v>79</v>
      </c>
      <c r="E321" t="s">
        <v>172</v>
      </c>
      <c r="F321" t="s">
        <v>148</v>
      </c>
      <c r="G321" t="s">
        <v>97</v>
      </c>
      <c r="H321" s="21">
        <v>3651</v>
      </c>
      <c r="I321" s="22">
        <v>45804</v>
      </c>
      <c r="J321" s="22">
        <v>45813</v>
      </c>
      <c r="K321" t="s">
        <v>90</v>
      </c>
      <c r="L321" t="s">
        <v>125</v>
      </c>
    </row>
    <row r="322" spans="1:14" ht="15" customHeight="1" x14ac:dyDescent="0.35">
      <c r="A322" t="s">
        <v>551</v>
      </c>
      <c r="B322" t="s">
        <v>260</v>
      </c>
      <c r="C322" t="s">
        <v>261</v>
      </c>
      <c r="D322" t="s">
        <v>105</v>
      </c>
      <c r="E322" t="s">
        <v>123</v>
      </c>
      <c r="F322" t="s">
        <v>119</v>
      </c>
      <c r="G322" t="s">
        <v>82</v>
      </c>
      <c r="H322" s="21">
        <v>11444</v>
      </c>
      <c r="I322" s="22">
        <v>45865</v>
      </c>
      <c r="J322" s="22">
        <v>45867</v>
      </c>
      <c r="K322" t="s">
        <v>90</v>
      </c>
      <c r="L322" t="s">
        <v>98</v>
      </c>
    </row>
    <row r="323" spans="1:14" ht="15" customHeight="1" x14ac:dyDescent="0.35">
      <c r="A323" t="s">
        <v>552</v>
      </c>
      <c r="B323" t="s">
        <v>92</v>
      </c>
      <c r="C323" t="s">
        <v>93</v>
      </c>
      <c r="D323" t="s">
        <v>94</v>
      </c>
      <c r="E323" t="s">
        <v>123</v>
      </c>
      <c r="F323" t="s">
        <v>112</v>
      </c>
      <c r="G323" t="s">
        <v>82</v>
      </c>
      <c r="H323" s="21">
        <v>10018</v>
      </c>
      <c r="I323" s="22">
        <v>45995</v>
      </c>
      <c r="J323" s="22">
        <v>46015</v>
      </c>
      <c r="K323" t="s">
        <v>83</v>
      </c>
      <c r="L323" t="s">
        <v>113</v>
      </c>
    </row>
    <row r="324" spans="1:14" ht="15" customHeight="1" x14ac:dyDescent="0.35">
      <c r="A324" t="s">
        <v>553</v>
      </c>
      <c r="B324" t="s">
        <v>251</v>
      </c>
      <c r="C324" t="s">
        <v>252</v>
      </c>
      <c r="D324" t="s">
        <v>94</v>
      </c>
      <c r="E324" t="s">
        <v>111</v>
      </c>
      <c r="F324" t="s">
        <v>129</v>
      </c>
      <c r="G324" t="s">
        <v>82</v>
      </c>
      <c r="H324" s="21">
        <v>5749</v>
      </c>
      <c r="I324" s="22">
        <v>45944</v>
      </c>
      <c r="J324" s="22">
        <v>45946</v>
      </c>
      <c r="K324" t="s">
        <v>90</v>
      </c>
      <c r="L324" t="s">
        <v>113</v>
      </c>
      <c r="M324">
        <v>14</v>
      </c>
      <c r="N324" t="s">
        <v>114</v>
      </c>
    </row>
    <row r="325" spans="1:14" ht="15" customHeight="1" x14ac:dyDescent="0.35">
      <c r="A325" t="s">
        <v>554</v>
      </c>
      <c r="B325" t="s">
        <v>348</v>
      </c>
      <c r="C325" t="s">
        <v>349</v>
      </c>
      <c r="D325" t="s">
        <v>79</v>
      </c>
      <c r="E325" t="s">
        <v>123</v>
      </c>
      <c r="F325" t="s">
        <v>124</v>
      </c>
      <c r="G325" t="s">
        <v>97</v>
      </c>
      <c r="H325" s="21">
        <v>13938</v>
      </c>
      <c r="I325" s="22">
        <v>45986</v>
      </c>
      <c r="J325" s="22">
        <v>46021</v>
      </c>
      <c r="K325" t="s">
        <v>90</v>
      </c>
      <c r="L325" t="s">
        <v>125</v>
      </c>
    </row>
    <row r="326" spans="1:14" ht="15" customHeight="1" x14ac:dyDescent="0.35">
      <c r="A326" t="s">
        <v>555</v>
      </c>
      <c r="B326" t="s">
        <v>297</v>
      </c>
      <c r="C326" t="s">
        <v>298</v>
      </c>
      <c r="D326" t="s">
        <v>88</v>
      </c>
      <c r="E326" t="s">
        <v>111</v>
      </c>
      <c r="F326" t="s">
        <v>96</v>
      </c>
      <c r="G326" t="s">
        <v>97</v>
      </c>
      <c r="H326" s="21">
        <v>4258</v>
      </c>
      <c r="I326" s="22">
        <v>45976</v>
      </c>
      <c r="J326" s="22">
        <v>45981</v>
      </c>
      <c r="K326" t="s">
        <v>90</v>
      </c>
      <c r="L326" t="s">
        <v>84</v>
      </c>
      <c r="M326">
        <v>14</v>
      </c>
      <c r="N326" t="s">
        <v>114</v>
      </c>
    </row>
    <row r="327" spans="1:14" ht="15" customHeight="1" x14ac:dyDescent="0.35">
      <c r="A327" t="s">
        <v>556</v>
      </c>
      <c r="B327" t="s">
        <v>192</v>
      </c>
      <c r="C327" t="s">
        <v>193</v>
      </c>
      <c r="D327" t="s">
        <v>94</v>
      </c>
      <c r="E327" t="s">
        <v>89</v>
      </c>
      <c r="F327" t="s">
        <v>148</v>
      </c>
      <c r="G327" t="s">
        <v>97</v>
      </c>
      <c r="H327" s="21">
        <v>12899</v>
      </c>
      <c r="I327" s="22">
        <v>46059</v>
      </c>
      <c r="J327" s="22">
        <v>46068</v>
      </c>
      <c r="K327" t="s">
        <v>90</v>
      </c>
      <c r="L327" t="s">
        <v>130</v>
      </c>
    </row>
    <row r="328" spans="1:14" ht="15" customHeight="1" x14ac:dyDescent="0.35">
      <c r="A328" t="s">
        <v>557</v>
      </c>
      <c r="B328" t="s">
        <v>146</v>
      </c>
      <c r="C328" t="s">
        <v>147</v>
      </c>
      <c r="D328" t="s">
        <v>94</v>
      </c>
      <c r="E328" t="s">
        <v>123</v>
      </c>
      <c r="F328" t="s">
        <v>96</v>
      </c>
      <c r="G328" t="s">
        <v>97</v>
      </c>
      <c r="H328" s="21">
        <v>7044</v>
      </c>
      <c r="I328" s="22">
        <v>45832</v>
      </c>
      <c r="J328" s="22">
        <v>45834</v>
      </c>
      <c r="K328" t="s">
        <v>90</v>
      </c>
      <c r="L328" t="s">
        <v>113</v>
      </c>
    </row>
    <row r="329" spans="1:14" ht="15" customHeight="1" x14ac:dyDescent="0.35">
      <c r="A329" t="s">
        <v>558</v>
      </c>
      <c r="B329" t="s">
        <v>150</v>
      </c>
      <c r="C329" t="s">
        <v>151</v>
      </c>
      <c r="D329" t="s">
        <v>79</v>
      </c>
      <c r="E329" t="s">
        <v>89</v>
      </c>
      <c r="F329" t="s">
        <v>100</v>
      </c>
      <c r="G329" t="s">
        <v>97</v>
      </c>
      <c r="H329" s="21">
        <v>14983</v>
      </c>
      <c r="I329" s="22">
        <v>46009</v>
      </c>
      <c r="J329" s="22">
        <v>46018</v>
      </c>
      <c r="K329" t="s">
        <v>90</v>
      </c>
      <c r="L329" t="s">
        <v>101</v>
      </c>
    </row>
    <row r="330" spans="1:14" ht="15" customHeight="1" x14ac:dyDescent="0.35">
      <c r="A330" t="s">
        <v>559</v>
      </c>
      <c r="B330" t="s">
        <v>203</v>
      </c>
      <c r="C330" t="s">
        <v>204</v>
      </c>
      <c r="D330" t="s">
        <v>88</v>
      </c>
      <c r="E330" t="s">
        <v>80</v>
      </c>
      <c r="F330" t="s">
        <v>81</v>
      </c>
      <c r="G330" t="s">
        <v>82</v>
      </c>
      <c r="H330" s="21">
        <v>2083</v>
      </c>
      <c r="I330" s="22">
        <v>45955</v>
      </c>
      <c r="J330" s="22">
        <v>45964</v>
      </c>
      <c r="K330" t="s">
        <v>90</v>
      </c>
      <c r="L330" t="s">
        <v>113</v>
      </c>
    </row>
    <row r="331" spans="1:14" ht="15" customHeight="1" x14ac:dyDescent="0.35">
      <c r="A331" t="s">
        <v>560</v>
      </c>
      <c r="B331" t="s">
        <v>200</v>
      </c>
      <c r="C331" t="s">
        <v>201</v>
      </c>
      <c r="D331" t="s">
        <v>94</v>
      </c>
      <c r="E331" t="s">
        <v>111</v>
      </c>
      <c r="F331" t="s">
        <v>148</v>
      </c>
      <c r="G331" t="s">
        <v>97</v>
      </c>
      <c r="H331" s="21">
        <v>11422</v>
      </c>
      <c r="I331" s="22">
        <v>45792</v>
      </c>
      <c r="J331" s="22">
        <v>45806</v>
      </c>
      <c r="K331" t="s">
        <v>90</v>
      </c>
      <c r="L331" t="s">
        <v>130</v>
      </c>
      <c r="M331">
        <v>14</v>
      </c>
      <c r="N331" t="s">
        <v>114</v>
      </c>
    </row>
    <row r="332" spans="1:14" ht="15" customHeight="1" x14ac:dyDescent="0.35">
      <c r="A332" t="s">
        <v>561</v>
      </c>
      <c r="B332" t="s">
        <v>326</v>
      </c>
      <c r="C332" t="s">
        <v>327</v>
      </c>
      <c r="D332" t="s">
        <v>94</v>
      </c>
      <c r="E332" t="s">
        <v>95</v>
      </c>
      <c r="F332" t="s">
        <v>129</v>
      </c>
      <c r="G332" t="s">
        <v>82</v>
      </c>
      <c r="H332" s="21">
        <v>429</v>
      </c>
      <c r="I332" s="22">
        <v>45778</v>
      </c>
      <c r="J332" s="22">
        <v>45780</v>
      </c>
      <c r="K332" t="s">
        <v>83</v>
      </c>
      <c r="L332" t="s">
        <v>107</v>
      </c>
    </row>
    <row r="333" spans="1:14" ht="15" customHeight="1" x14ac:dyDescent="0.35">
      <c r="A333" t="s">
        <v>562</v>
      </c>
      <c r="B333" t="s">
        <v>121</v>
      </c>
      <c r="C333" t="s">
        <v>122</v>
      </c>
      <c r="D333" t="s">
        <v>94</v>
      </c>
      <c r="E333" t="s">
        <v>80</v>
      </c>
      <c r="F333" t="s">
        <v>81</v>
      </c>
      <c r="G333" t="s">
        <v>82</v>
      </c>
      <c r="H333" s="21">
        <v>1989</v>
      </c>
      <c r="I333" s="22">
        <v>45763</v>
      </c>
      <c r="J333" s="22">
        <v>45765</v>
      </c>
      <c r="K333" t="s">
        <v>90</v>
      </c>
      <c r="L333" t="s">
        <v>113</v>
      </c>
    </row>
    <row r="334" spans="1:14" ht="15" customHeight="1" x14ac:dyDescent="0.35">
      <c r="A334" t="s">
        <v>563</v>
      </c>
      <c r="B334" t="s">
        <v>188</v>
      </c>
      <c r="C334" t="s">
        <v>189</v>
      </c>
      <c r="D334" t="s">
        <v>190</v>
      </c>
      <c r="E334" t="s">
        <v>89</v>
      </c>
      <c r="F334" t="s">
        <v>119</v>
      </c>
      <c r="G334" t="s">
        <v>82</v>
      </c>
      <c r="H334" s="21">
        <v>13836</v>
      </c>
      <c r="I334" s="22">
        <v>45853</v>
      </c>
      <c r="J334" s="22">
        <v>45862</v>
      </c>
      <c r="K334" t="s">
        <v>90</v>
      </c>
      <c r="L334" t="s">
        <v>130</v>
      </c>
    </row>
    <row r="335" spans="1:14" ht="15" customHeight="1" x14ac:dyDescent="0.35">
      <c r="A335" t="s">
        <v>564</v>
      </c>
      <c r="B335" t="s">
        <v>239</v>
      </c>
      <c r="C335" t="s">
        <v>240</v>
      </c>
      <c r="D335" t="s">
        <v>190</v>
      </c>
      <c r="E335" t="s">
        <v>80</v>
      </c>
      <c r="F335" t="s">
        <v>148</v>
      </c>
      <c r="G335" t="s">
        <v>97</v>
      </c>
      <c r="H335" s="21">
        <v>816</v>
      </c>
      <c r="I335" s="22">
        <v>45997</v>
      </c>
      <c r="J335" s="22">
        <v>46006</v>
      </c>
      <c r="K335" t="s">
        <v>90</v>
      </c>
      <c r="L335" t="s">
        <v>130</v>
      </c>
    </row>
    <row r="336" spans="1:14" ht="15" customHeight="1" x14ac:dyDescent="0.35">
      <c r="A336" t="s">
        <v>565</v>
      </c>
      <c r="B336" t="s">
        <v>192</v>
      </c>
      <c r="C336" t="s">
        <v>193</v>
      </c>
      <c r="D336" t="s">
        <v>94</v>
      </c>
      <c r="E336" t="s">
        <v>80</v>
      </c>
      <c r="F336" t="s">
        <v>119</v>
      </c>
      <c r="G336" t="s">
        <v>82</v>
      </c>
      <c r="H336" s="21">
        <v>948</v>
      </c>
      <c r="I336" s="22">
        <v>45833</v>
      </c>
      <c r="J336" s="22">
        <v>45842</v>
      </c>
      <c r="K336" t="s">
        <v>90</v>
      </c>
      <c r="L336" t="s">
        <v>98</v>
      </c>
    </row>
    <row r="337" spans="1:14" ht="15" customHeight="1" x14ac:dyDescent="0.35">
      <c r="A337" t="s">
        <v>566</v>
      </c>
      <c r="B337" t="s">
        <v>77</v>
      </c>
      <c r="C337" t="s">
        <v>78</v>
      </c>
      <c r="D337" t="s">
        <v>79</v>
      </c>
      <c r="E337" t="s">
        <v>118</v>
      </c>
      <c r="F337" t="s">
        <v>124</v>
      </c>
      <c r="G337" t="s">
        <v>97</v>
      </c>
      <c r="H337" s="21">
        <v>1389</v>
      </c>
      <c r="I337" s="22">
        <v>46010</v>
      </c>
      <c r="J337" s="22">
        <v>46030</v>
      </c>
      <c r="K337" t="s">
        <v>90</v>
      </c>
      <c r="L337" t="s">
        <v>113</v>
      </c>
    </row>
    <row r="338" spans="1:14" ht="15" customHeight="1" x14ac:dyDescent="0.35">
      <c r="A338" t="s">
        <v>567</v>
      </c>
      <c r="B338" t="s">
        <v>268</v>
      </c>
      <c r="C338" t="s">
        <v>269</v>
      </c>
      <c r="D338" t="s">
        <v>88</v>
      </c>
      <c r="E338" t="s">
        <v>89</v>
      </c>
      <c r="F338" t="s">
        <v>81</v>
      </c>
      <c r="G338" t="s">
        <v>82</v>
      </c>
      <c r="H338" s="21">
        <v>15020</v>
      </c>
      <c r="I338" s="22">
        <v>45768</v>
      </c>
      <c r="J338" s="22">
        <v>45777</v>
      </c>
      <c r="K338" t="s">
        <v>90</v>
      </c>
      <c r="L338" t="s">
        <v>107</v>
      </c>
    </row>
    <row r="339" spans="1:14" ht="15" customHeight="1" x14ac:dyDescent="0.35">
      <c r="A339" t="s">
        <v>568</v>
      </c>
      <c r="B339" t="s">
        <v>116</v>
      </c>
      <c r="C339" t="s">
        <v>117</v>
      </c>
      <c r="D339" t="s">
        <v>88</v>
      </c>
      <c r="E339" t="s">
        <v>89</v>
      </c>
      <c r="F339" t="s">
        <v>81</v>
      </c>
      <c r="G339" t="s">
        <v>82</v>
      </c>
      <c r="H339" s="21">
        <v>15910</v>
      </c>
      <c r="I339" s="22">
        <v>45960</v>
      </c>
      <c r="J339" s="22">
        <v>45980</v>
      </c>
      <c r="K339" t="s">
        <v>90</v>
      </c>
      <c r="L339" t="s">
        <v>84</v>
      </c>
    </row>
    <row r="340" spans="1:14" ht="15" customHeight="1" x14ac:dyDescent="0.35">
      <c r="A340" t="s">
        <v>569</v>
      </c>
      <c r="B340" t="s">
        <v>77</v>
      </c>
      <c r="C340" t="s">
        <v>78</v>
      </c>
      <c r="D340" t="s">
        <v>79</v>
      </c>
      <c r="E340" t="s">
        <v>80</v>
      </c>
      <c r="F340" t="s">
        <v>81</v>
      </c>
      <c r="G340" t="s">
        <v>82</v>
      </c>
      <c r="H340" s="21">
        <v>2019</v>
      </c>
      <c r="I340" s="22">
        <v>45820</v>
      </c>
      <c r="J340" s="22">
        <v>45840</v>
      </c>
      <c r="K340" t="s">
        <v>90</v>
      </c>
      <c r="L340" t="s">
        <v>130</v>
      </c>
    </row>
    <row r="341" spans="1:14" ht="15" customHeight="1" x14ac:dyDescent="0.35">
      <c r="A341" t="s">
        <v>570</v>
      </c>
      <c r="B341" t="s">
        <v>293</v>
      </c>
      <c r="C341" t="s">
        <v>294</v>
      </c>
      <c r="D341" t="s">
        <v>94</v>
      </c>
      <c r="E341" t="s">
        <v>95</v>
      </c>
      <c r="F341" t="s">
        <v>148</v>
      </c>
      <c r="G341" t="s">
        <v>97</v>
      </c>
      <c r="H341" s="21">
        <v>1083</v>
      </c>
      <c r="I341" s="22">
        <v>46038</v>
      </c>
      <c r="J341" s="22">
        <v>46047</v>
      </c>
      <c r="K341" t="s">
        <v>83</v>
      </c>
      <c r="L341" t="s">
        <v>130</v>
      </c>
    </row>
    <row r="342" spans="1:14" ht="15" customHeight="1" x14ac:dyDescent="0.35">
      <c r="A342" t="s">
        <v>571</v>
      </c>
      <c r="B342" t="s">
        <v>209</v>
      </c>
      <c r="C342" t="s">
        <v>210</v>
      </c>
      <c r="D342" t="s">
        <v>94</v>
      </c>
      <c r="E342" t="s">
        <v>111</v>
      </c>
      <c r="F342" t="s">
        <v>96</v>
      </c>
      <c r="G342" t="s">
        <v>97</v>
      </c>
      <c r="H342" s="21">
        <v>9050</v>
      </c>
      <c r="I342" s="22">
        <v>45802</v>
      </c>
      <c r="J342" s="22">
        <v>45816</v>
      </c>
      <c r="K342" t="s">
        <v>90</v>
      </c>
      <c r="L342" t="s">
        <v>130</v>
      </c>
      <c r="M342">
        <v>4</v>
      </c>
      <c r="N342" t="s">
        <v>114</v>
      </c>
    </row>
    <row r="343" spans="1:14" ht="15" customHeight="1" x14ac:dyDescent="0.35">
      <c r="A343" t="s">
        <v>572</v>
      </c>
      <c r="B343" t="s">
        <v>323</v>
      </c>
      <c r="C343" t="s">
        <v>324</v>
      </c>
      <c r="D343" t="s">
        <v>190</v>
      </c>
      <c r="E343" t="s">
        <v>123</v>
      </c>
      <c r="F343" t="s">
        <v>96</v>
      </c>
      <c r="G343" t="s">
        <v>97</v>
      </c>
      <c r="H343" s="21">
        <v>10763</v>
      </c>
      <c r="I343" s="22">
        <v>45946</v>
      </c>
      <c r="J343" s="22">
        <v>45948</v>
      </c>
      <c r="K343" t="s">
        <v>90</v>
      </c>
      <c r="L343" t="s">
        <v>138</v>
      </c>
    </row>
    <row r="344" spans="1:14" ht="15" customHeight="1" x14ac:dyDescent="0.35">
      <c r="A344" t="s">
        <v>573</v>
      </c>
      <c r="B344" t="s">
        <v>158</v>
      </c>
      <c r="C344" t="s">
        <v>159</v>
      </c>
      <c r="D344" t="s">
        <v>94</v>
      </c>
      <c r="E344" t="s">
        <v>95</v>
      </c>
      <c r="F344" t="s">
        <v>96</v>
      </c>
      <c r="G344" t="s">
        <v>97</v>
      </c>
      <c r="H344" s="21">
        <v>365</v>
      </c>
      <c r="I344" s="22">
        <v>45965</v>
      </c>
      <c r="J344" s="22">
        <v>46035</v>
      </c>
      <c r="K344" t="s">
        <v>90</v>
      </c>
      <c r="L344" t="s">
        <v>113</v>
      </c>
    </row>
    <row r="345" spans="1:14" ht="15" customHeight="1" x14ac:dyDescent="0.35">
      <c r="A345" t="s">
        <v>574</v>
      </c>
      <c r="B345" t="s">
        <v>92</v>
      </c>
      <c r="C345" t="s">
        <v>93</v>
      </c>
      <c r="D345" t="s">
        <v>94</v>
      </c>
      <c r="E345" t="s">
        <v>172</v>
      </c>
      <c r="F345" t="s">
        <v>81</v>
      </c>
      <c r="G345" t="s">
        <v>82</v>
      </c>
      <c r="H345" s="21">
        <v>2407</v>
      </c>
      <c r="I345" s="22">
        <v>45784</v>
      </c>
      <c r="J345" s="22">
        <v>45789</v>
      </c>
      <c r="K345" t="s">
        <v>90</v>
      </c>
      <c r="L345" t="s">
        <v>98</v>
      </c>
    </row>
    <row r="346" spans="1:14" ht="15" customHeight="1" x14ac:dyDescent="0.35">
      <c r="A346" t="s">
        <v>575</v>
      </c>
      <c r="B346" t="s">
        <v>86</v>
      </c>
      <c r="C346" t="s">
        <v>87</v>
      </c>
      <c r="D346" t="s">
        <v>88</v>
      </c>
      <c r="E346" t="s">
        <v>172</v>
      </c>
      <c r="F346" t="s">
        <v>81</v>
      </c>
      <c r="G346" t="s">
        <v>82</v>
      </c>
      <c r="H346" s="21">
        <v>841</v>
      </c>
      <c r="I346" s="22">
        <v>45787</v>
      </c>
      <c r="J346" s="22">
        <v>45801</v>
      </c>
      <c r="K346" t="s">
        <v>90</v>
      </c>
      <c r="L346" t="s">
        <v>98</v>
      </c>
    </row>
    <row r="347" spans="1:14" ht="15" customHeight="1" x14ac:dyDescent="0.35">
      <c r="A347" t="s">
        <v>576</v>
      </c>
      <c r="B347" t="s">
        <v>200</v>
      </c>
      <c r="C347" t="s">
        <v>201</v>
      </c>
      <c r="D347" t="s">
        <v>94</v>
      </c>
      <c r="E347" t="s">
        <v>111</v>
      </c>
      <c r="F347" t="s">
        <v>129</v>
      </c>
      <c r="G347" t="s">
        <v>82</v>
      </c>
      <c r="H347" s="21">
        <v>10801</v>
      </c>
      <c r="I347" s="22">
        <v>45798</v>
      </c>
      <c r="J347" s="22">
        <v>45800</v>
      </c>
      <c r="K347" t="s">
        <v>90</v>
      </c>
      <c r="L347" t="s">
        <v>130</v>
      </c>
      <c r="M347">
        <v>15</v>
      </c>
      <c r="N347" t="s">
        <v>114</v>
      </c>
    </row>
    <row r="348" spans="1:14" ht="15" customHeight="1" x14ac:dyDescent="0.35">
      <c r="A348" t="s">
        <v>577</v>
      </c>
      <c r="B348" t="s">
        <v>348</v>
      </c>
      <c r="C348" t="s">
        <v>349</v>
      </c>
      <c r="D348" t="s">
        <v>79</v>
      </c>
      <c r="E348" t="s">
        <v>80</v>
      </c>
      <c r="F348" t="s">
        <v>148</v>
      </c>
      <c r="G348" t="s">
        <v>97</v>
      </c>
      <c r="H348" s="21">
        <v>632</v>
      </c>
      <c r="I348" s="22">
        <v>45827</v>
      </c>
      <c r="J348" s="22">
        <v>45832</v>
      </c>
      <c r="K348" t="s">
        <v>83</v>
      </c>
      <c r="L348" t="s">
        <v>84</v>
      </c>
    </row>
    <row r="349" spans="1:14" ht="15" customHeight="1" x14ac:dyDescent="0.35">
      <c r="A349" t="s">
        <v>578</v>
      </c>
      <c r="B349" t="s">
        <v>285</v>
      </c>
      <c r="C349" t="s">
        <v>286</v>
      </c>
      <c r="D349" t="s">
        <v>79</v>
      </c>
      <c r="E349" t="s">
        <v>111</v>
      </c>
      <c r="F349" t="s">
        <v>100</v>
      </c>
      <c r="G349" t="s">
        <v>97</v>
      </c>
      <c r="H349" s="21">
        <v>8659</v>
      </c>
      <c r="I349" s="22">
        <v>45804</v>
      </c>
      <c r="J349" s="22">
        <v>45809</v>
      </c>
      <c r="K349" t="s">
        <v>90</v>
      </c>
      <c r="L349" t="s">
        <v>138</v>
      </c>
      <c r="M349">
        <v>6</v>
      </c>
      <c r="N349" t="s">
        <v>114</v>
      </c>
    </row>
    <row r="350" spans="1:14" ht="15" customHeight="1" x14ac:dyDescent="0.35">
      <c r="A350" t="s">
        <v>579</v>
      </c>
      <c r="B350" t="s">
        <v>279</v>
      </c>
      <c r="C350" t="s">
        <v>280</v>
      </c>
      <c r="D350" t="s">
        <v>190</v>
      </c>
      <c r="E350" t="s">
        <v>89</v>
      </c>
      <c r="F350" t="s">
        <v>81</v>
      </c>
      <c r="G350" t="s">
        <v>82</v>
      </c>
      <c r="H350" s="21">
        <v>14152</v>
      </c>
      <c r="I350" s="22">
        <v>45772</v>
      </c>
      <c r="J350" s="22">
        <v>45774</v>
      </c>
      <c r="K350" t="s">
        <v>90</v>
      </c>
      <c r="L350" t="s">
        <v>125</v>
      </c>
    </row>
    <row r="351" spans="1:14" ht="15" customHeight="1" x14ac:dyDescent="0.35">
      <c r="A351" t="s">
        <v>580</v>
      </c>
      <c r="B351" t="s">
        <v>316</v>
      </c>
      <c r="C351" t="s">
        <v>317</v>
      </c>
      <c r="D351" t="s">
        <v>88</v>
      </c>
      <c r="E351" t="s">
        <v>123</v>
      </c>
      <c r="F351" t="s">
        <v>148</v>
      </c>
      <c r="G351" t="s">
        <v>97</v>
      </c>
      <c r="H351" s="21">
        <v>14033</v>
      </c>
      <c r="I351" s="22">
        <v>45926</v>
      </c>
      <c r="J351" s="22">
        <v>45931</v>
      </c>
      <c r="K351" t="s">
        <v>90</v>
      </c>
      <c r="L351" t="s">
        <v>138</v>
      </c>
    </row>
    <row r="352" spans="1:14" ht="15" customHeight="1" x14ac:dyDescent="0.35">
      <c r="A352" t="s">
        <v>581</v>
      </c>
      <c r="B352" t="s">
        <v>209</v>
      </c>
      <c r="C352" t="s">
        <v>210</v>
      </c>
      <c r="D352" t="s">
        <v>94</v>
      </c>
      <c r="E352" t="s">
        <v>172</v>
      </c>
      <c r="F352" t="s">
        <v>148</v>
      </c>
      <c r="G352" t="s">
        <v>97</v>
      </c>
      <c r="H352" s="21">
        <v>866</v>
      </c>
      <c r="I352" s="22">
        <v>45924</v>
      </c>
      <c r="J352" s="22">
        <v>45926</v>
      </c>
      <c r="K352" t="s">
        <v>90</v>
      </c>
      <c r="L352" t="s">
        <v>125</v>
      </c>
    </row>
    <row r="353" spans="1:12" ht="15" customHeight="1" x14ac:dyDescent="0.35">
      <c r="A353" t="s">
        <v>582</v>
      </c>
      <c r="B353" t="s">
        <v>161</v>
      </c>
      <c r="C353" t="s">
        <v>162</v>
      </c>
      <c r="D353" t="s">
        <v>79</v>
      </c>
      <c r="E353" t="s">
        <v>80</v>
      </c>
      <c r="F353" t="s">
        <v>148</v>
      </c>
      <c r="G353" t="s">
        <v>97</v>
      </c>
      <c r="H353" s="21">
        <v>816</v>
      </c>
      <c r="I353" s="22">
        <v>45932</v>
      </c>
      <c r="J353" s="22">
        <v>45941</v>
      </c>
      <c r="K353" t="s">
        <v>90</v>
      </c>
      <c r="L353" t="s">
        <v>130</v>
      </c>
    </row>
    <row r="354" spans="1:12" ht="15" customHeight="1" x14ac:dyDescent="0.35">
      <c r="A354" t="s">
        <v>583</v>
      </c>
      <c r="B354" t="s">
        <v>140</v>
      </c>
      <c r="C354" t="s">
        <v>141</v>
      </c>
      <c r="D354" t="s">
        <v>88</v>
      </c>
      <c r="E354" t="s">
        <v>80</v>
      </c>
      <c r="F354" t="s">
        <v>124</v>
      </c>
      <c r="G354" t="s">
        <v>97</v>
      </c>
      <c r="H354" s="21">
        <v>1771</v>
      </c>
      <c r="I354" s="22">
        <v>45766</v>
      </c>
      <c r="J354" s="22">
        <v>45771</v>
      </c>
      <c r="K354" t="s">
        <v>90</v>
      </c>
      <c r="L354" t="s">
        <v>101</v>
      </c>
    </row>
    <row r="355" spans="1:12" ht="15" customHeight="1" x14ac:dyDescent="0.35">
      <c r="A355" t="s">
        <v>584</v>
      </c>
      <c r="B355" t="s">
        <v>323</v>
      </c>
      <c r="C355" t="s">
        <v>324</v>
      </c>
      <c r="D355" t="s">
        <v>190</v>
      </c>
      <c r="E355" t="s">
        <v>80</v>
      </c>
      <c r="F355" t="s">
        <v>148</v>
      </c>
      <c r="G355" t="s">
        <v>97</v>
      </c>
      <c r="H355" s="21">
        <v>989</v>
      </c>
      <c r="I355" s="22">
        <v>46005</v>
      </c>
      <c r="J355" s="22">
        <v>46014</v>
      </c>
      <c r="K355" t="s">
        <v>90</v>
      </c>
      <c r="L355" t="s">
        <v>130</v>
      </c>
    </row>
    <row r="356" spans="1:12" ht="15" customHeight="1" x14ac:dyDescent="0.35">
      <c r="A356" t="s">
        <v>585</v>
      </c>
      <c r="B356" t="s">
        <v>273</v>
      </c>
      <c r="C356" t="s">
        <v>274</v>
      </c>
      <c r="D356" t="s">
        <v>88</v>
      </c>
      <c r="E356" t="s">
        <v>80</v>
      </c>
      <c r="F356" t="s">
        <v>148</v>
      </c>
      <c r="G356" t="s">
        <v>97</v>
      </c>
      <c r="H356" s="21">
        <v>1907</v>
      </c>
      <c r="I356" s="22">
        <v>46007</v>
      </c>
      <c r="J356" s="22">
        <v>46016</v>
      </c>
      <c r="K356" t="s">
        <v>90</v>
      </c>
      <c r="L356" t="s">
        <v>101</v>
      </c>
    </row>
    <row r="357" spans="1:12" ht="15" customHeight="1" x14ac:dyDescent="0.35">
      <c r="A357" t="s">
        <v>586</v>
      </c>
      <c r="B357" t="s">
        <v>92</v>
      </c>
      <c r="C357" t="s">
        <v>93</v>
      </c>
      <c r="D357" t="s">
        <v>94</v>
      </c>
      <c r="E357" t="s">
        <v>89</v>
      </c>
      <c r="F357" t="s">
        <v>148</v>
      </c>
      <c r="G357" t="s">
        <v>97</v>
      </c>
      <c r="H357" s="21">
        <v>11843</v>
      </c>
      <c r="I357" s="22">
        <v>45881</v>
      </c>
      <c r="J357" s="22">
        <v>45890</v>
      </c>
      <c r="K357" t="s">
        <v>90</v>
      </c>
      <c r="L357" t="s">
        <v>98</v>
      </c>
    </row>
    <row r="358" spans="1:12" ht="15" customHeight="1" x14ac:dyDescent="0.35">
      <c r="A358" t="s">
        <v>587</v>
      </c>
      <c r="B358" t="s">
        <v>257</v>
      </c>
      <c r="C358" t="s">
        <v>258</v>
      </c>
      <c r="D358" t="s">
        <v>88</v>
      </c>
      <c r="E358" t="s">
        <v>106</v>
      </c>
      <c r="F358" t="s">
        <v>124</v>
      </c>
      <c r="G358" t="s">
        <v>97</v>
      </c>
      <c r="H358" s="21">
        <v>4338</v>
      </c>
      <c r="I358" s="22">
        <v>45860</v>
      </c>
      <c r="J358" s="22">
        <v>45862</v>
      </c>
      <c r="K358" t="s">
        <v>90</v>
      </c>
      <c r="L358" t="s">
        <v>113</v>
      </c>
    </row>
    <row r="359" spans="1:12" ht="15" customHeight="1" x14ac:dyDescent="0.35">
      <c r="A359" t="s">
        <v>588</v>
      </c>
      <c r="B359" t="s">
        <v>158</v>
      </c>
      <c r="C359" t="s">
        <v>159</v>
      </c>
      <c r="D359" t="s">
        <v>94</v>
      </c>
      <c r="E359" t="s">
        <v>80</v>
      </c>
      <c r="F359" t="s">
        <v>148</v>
      </c>
      <c r="G359" t="s">
        <v>97</v>
      </c>
      <c r="H359" s="21">
        <v>1130</v>
      </c>
      <c r="I359" s="22">
        <v>45909</v>
      </c>
      <c r="J359" s="22">
        <v>45923</v>
      </c>
      <c r="K359" t="s">
        <v>90</v>
      </c>
      <c r="L359" t="s">
        <v>98</v>
      </c>
    </row>
    <row r="360" spans="1:12" ht="15" customHeight="1" x14ac:dyDescent="0.35">
      <c r="A360" t="s">
        <v>589</v>
      </c>
      <c r="B360" t="s">
        <v>135</v>
      </c>
      <c r="C360" t="s">
        <v>136</v>
      </c>
      <c r="D360" t="s">
        <v>94</v>
      </c>
      <c r="E360" t="s">
        <v>95</v>
      </c>
      <c r="F360" t="s">
        <v>81</v>
      </c>
      <c r="G360" t="s">
        <v>82</v>
      </c>
      <c r="H360" s="21">
        <v>178</v>
      </c>
      <c r="I360" s="22">
        <v>46020</v>
      </c>
      <c r="J360" s="22">
        <v>46034</v>
      </c>
      <c r="K360" t="s">
        <v>90</v>
      </c>
      <c r="L360" t="s">
        <v>101</v>
      </c>
    </row>
    <row r="361" spans="1:12" ht="15" customHeight="1" x14ac:dyDescent="0.35">
      <c r="A361" t="s">
        <v>590</v>
      </c>
      <c r="B361" t="s">
        <v>316</v>
      </c>
      <c r="C361" t="s">
        <v>317</v>
      </c>
      <c r="D361" t="s">
        <v>88</v>
      </c>
      <c r="E361" t="s">
        <v>80</v>
      </c>
      <c r="F361" t="s">
        <v>100</v>
      </c>
      <c r="G361" t="s">
        <v>97</v>
      </c>
      <c r="H361" s="21">
        <v>1904</v>
      </c>
      <c r="I361" s="22">
        <v>45779</v>
      </c>
      <c r="J361" s="22">
        <v>45788</v>
      </c>
      <c r="K361" t="s">
        <v>83</v>
      </c>
      <c r="L361" t="s">
        <v>130</v>
      </c>
    </row>
    <row r="362" spans="1:12" ht="15" customHeight="1" x14ac:dyDescent="0.35">
      <c r="A362" t="s">
        <v>591</v>
      </c>
      <c r="B362" t="s">
        <v>209</v>
      </c>
      <c r="C362" t="s">
        <v>210</v>
      </c>
      <c r="D362" t="s">
        <v>94</v>
      </c>
      <c r="E362" t="s">
        <v>123</v>
      </c>
      <c r="F362" t="s">
        <v>129</v>
      </c>
      <c r="G362" t="s">
        <v>82</v>
      </c>
      <c r="H362" s="21">
        <v>11351</v>
      </c>
      <c r="I362" s="22">
        <v>45989</v>
      </c>
      <c r="J362" s="22">
        <v>46003</v>
      </c>
      <c r="K362" t="s">
        <v>90</v>
      </c>
      <c r="L362" t="s">
        <v>125</v>
      </c>
    </row>
    <row r="363" spans="1:12" ht="15" customHeight="1" x14ac:dyDescent="0.35">
      <c r="A363" t="s">
        <v>592</v>
      </c>
      <c r="B363" t="s">
        <v>158</v>
      </c>
      <c r="C363" t="s">
        <v>159</v>
      </c>
      <c r="D363" t="s">
        <v>94</v>
      </c>
      <c r="E363" t="s">
        <v>80</v>
      </c>
      <c r="F363" t="s">
        <v>119</v>
      </c>
      <c r="G363" t="s">
        <v>82</v>
      </c>
      <c r="H363" s="21">
        <v>1580</v>
      </c>
      <c r="I363" s="22">
        <v>45998</v>
      </c>
      <c r="J363" s="22">
        <v>46007</v>
      </c>
      <c r="K363" t="s">
        <v>90</v>
      </c>
      <c r="L363" t="s">
        <v>125</v>
      </c>
    </row>
    <row r="364" spans="1:12" ht="15" customHeight="1" x14ac:dyDescent="0.35">
      <c r="A364" t="s">
        <v>593</v>
      </c>
      <c r="B364" t="s">
        <v>109</v>
      </c>
      <c r="C364" t="s">
        <v>110</v>
      </c>
      <c r="D364" t="s">
        <v>79</v>
      </c>
      <c r="E364" t="s">
        <v>80</v>
      </c>
      <c r="F364" t="s">
        <v>148</v>
      </c>
      <c r="G364" t="s">
        <v>97</v>
      </c>
      <c r="H364" s="21">
        <v>1168</v>
      </c>
      <c r="I364" s="22">
        <v>45947</v>
      </c>
      <c r="J364" s="22">
        <v>45952</v>
      </c>
      <c r="K364" t="s">
        <v>90</v>
      </c>
      <c r="L364" t="s">
        <v>84</v>
      </c>
    </row>
    <row r="365" spans="1:12" ht="15" customHeight="1" x14ac:dyDescent="0.35">
      <c r="A365" t="s">
        <v>594</v>
      </c>
      <c r="B365" t="s">
        <v>289</v>
      </c>
      <c r="C365" t="s">
        <v>290</v>
      </c>
      <c r="D365" t="s">
        <v>88</v>
      </c>
      <c r="E365" t="s">
        <v>80</v>
      </c>
      <c r="F365" t="s">
        <v>119</v>
      </c>
      <c r="G365" t="s">
        <v>82</v>
      </c>
      <c r="H365" s="21">
        <v>498</v>
      </c>
      <c r="I365" s="22">
        <v>45832</v>
      </c>
      <c r="J365" s="22">
        <v>45837</v>
      </c>
      <c r="K365" t="s">
        <v>90</v>
      </c>
      <c r="L365" t="s">
        <v>138</v>
      </c>
    </row>
    <row r="366" spans="1:12" ht="15" customHeight="1" x14ac:dyDescent="0.35">
      <c r="A366" t="s">
        <v>595</v>
      </c>
      <c r="B366" t="s">
        <v>92</v>
      </c>
      <c r="C366" t="s">
        <v>93</v>
      </c>
      <c r="D366" t="s">
        <v>94</v>
      </c>
      <c r="E366" t="s">
        <v>80</v>
      </c>
      <c r="F366" t="s">
        <v>81</v>
      </c>
      <c r="G366" t="s">
        <v>82</v>
      </c>
      <c r="H366" s="21">
        <v>638</v>
      </c>
      <c r="I366" s="22">
        <v>45839</v>
      </c>
      <c r="J366" s="22">
        <v>45844</v>
      </c>
      <c r="K366" t="s">
        <v>90</v>
      </c>
      <c r="L366" t="s">
        <v>125</v>
      </c>
    </row>
    <row r="367" spans="1:12" ht="15" customHeight="1" x14ac:dyDescent="0.35">
      <c r="A367" t="s">
        <v>596</v>
      </c>
      <c r="B367" t="s">
        <v>150</v>
      </c>
      <c r="C367" t="s">
        <v>151</v>
      </c>
      <c r="D367" t="s">
        <v>79</v>
      </c>
      <c r="E367" t="s">
        <v>80</v>
      </c>
      <c r="F367" t="s">
        <v>81</v>
      </c>
      <c r="G367" t="s">
        <v>82</v>
      </c>
      <c r="H367" s="21">
        <v>1550</v>
      </c>
      <c r="I367" s="22">
        <v>45908</v>
      </c>
      <c r="J367" s="22">
        <v>45917</v>
      </c>
      <c r="K367" t="s">
        <v>90</v>
      </c>
      <c r="L367" t="s">
        <v>113</v>
      </c>
    </row>
    <row r="368" spans="1:12" ht="15" customHeight="1" x14ac:dyDescent="0.35">
      <c r="A368" t="s">
        <v>597</v>
      </c>
      <c r="B368" t="s">
        <v>285</v>
      </c>
      <c r="C368" t="s">
        <v>286</v>
      </c>
      <c r="D368" t="s">
        <v>79</v>
      </c>
      <c r="E368" t="s">
        <v>80</v>
      </c>
      <c r="F368" t="s">
        <v>112</v>
      </c>
      <c r="G368" t="s">
        <v>82</v>
      </c>
      <c r="H368" s="21">
        <v>1876</v>
      </c>
      <c r="I368" s="22">
        <v>45759</v>
      </c>
      <c r="J368" s="22">
        <v>45773</v>
      </c>
      <c r="K368" t="s">
        <v>90</v>
      </c>
      <c r="L368" t="s">
        <v>107</v>
      </c>
    </row>
    <row r="369" spans="1:14" ht="15" customHeight="1" x14ac:dyDescent="0.35">
      <c r="A369" t="s">
        <v>598</v>
      </c>
      <c r="B369" t="s">
        <v>212</v>
      </c>
      <c r="C369" t="s">
        <v>213</v>
      </c>
      <c r="D369" t="s">
        <v>94</v>
      </c>
      <c r="E369" t="s">
        <v>95</v>
      </c>
      <c r="F369" t="s">
        <v>129</v>
      </c>
      <c r="G369" t="s">
        <v>82</v>
      </c>
      <c r="H369" s="21">
        <v>1803</v>
      </c>
      <c r="I369" s="22">
        <v>45977</v>
      </c>
      <c r="J369" s="22">
        <v>45982</v>
      </c>
      <c r="K369" t="s">
        <v>90</v>
      </c>
      <c r="L369" t="s">
        <v>98</v>
      </c>
    </row>
    <row r="370" spans="1:14" ht="15" customHeight="1" x14ac:dyDescent="0.35">
      <c r="A370" t="s">
        <v>599</v>
      </c>
      <c r="B370" t="s">
        <v>135</v>
      </c>
      <c r="C370" t="s">
        <v>136</v>
      </c>
      <c r="D370" t="s">
        <v>94</v>
      </c>
      <c r="E370" t="s">
        <v>111</v>
      </c>
      <c r="F370" t="s">
        <v>129</v>
      </c>
      <c r="G370" t="s">
        <v>82</v>
      </c>
      <c r="H370" s="21">
        <v>21709</v>
      </c>
      <c r="I370" s="22">
        <v>45986</v>
      </c>
      <c r="J370" s="22">
        <v>45988</v>
      </c>
      <c r="K370" t="s">
        <v>90</v>
      </c>
      <c r="L370" t="s">
        <v>101</v>
      </c>
      <c r="M370">
        <v>6</v>
      </c>
      <c r="N370" t="s">
        <v>114</v>
      </c>
    </row>
    <row r="371" spans="1:14" ht="15" customHeight="1" x14ac:dyDescent="0.35">
      <c r="A371" t="s">
        <v>600</v>
      </c>
      <c r="B371" t="s">
        <v>263</v>
      </c>
      <c r="C371" t="s">
        <v>264</v>
      </c>
      <c r="D371" t="s">
        <v>94</v>
      </c>
      <c r="E371" t="s">
        <v>106</v>
      </c>
      <c r="F371" t="s">
        <v>81</v>
      </c>
      <c r="G371" t="s">
        <v>82</v>
      </c>
      <c r="H371" s="21">
        <v>3431</v>
      </c>
      <c r="I371" s="22">
        <v>45790</v>
      </c>
      <c r="J371" s="22">
        <v>45799</v>
      </c>
      <c r="K371" t="s">
        <v>90</v>
      </c>
      <c r="L371" t="s">
        <v>130</v>
      </c>
    </row>
    <row r="372" spans="1:14" ht="15" customHeight="1" x14ac:dyDescent="0.35">
      <c r="A372" t="s">
        <v>601</v>
      </c>
      <c r="B372" t="s">
        <v>273</v>
      </c>
      <c r="C372" t="s">
        <v>274</v>
      </c>
      <c r="D372" t="s">
        <v>88</v>
      </c>
      <c r="E372" t="s">
        <v>80</v>
      </c>
      <c r="F372" t="s">
        <v>124</v>
      </c>
      <c r="G372" t="s">
        <v>97</v>
      </c>
      <c r="H372" s="21">
        <v>1264</v>
      </c>
      <c r="I372" s="22">
        <v>45942</v>
      </c>
      <c r="J372" s="22">
        <v>45951</v>
      </c>
      <c r="K372" t="s">
        <v>90</v>
      </c>
      <c r="L372" t="s">
        <v>84</v>
      </c>
    </row>
    <row r="373" spans="1:14" ht="15" customHeight="1" x14ac:dyDescent="0.35">
      <c r="A373" t="s">
        <v>602</v>
      </c>
      <c r="B373" t="s">
        <v>316</v>
      </c>
      <c r="C373" t="s">
        <v>317</v>
      </c>
      <c r="D373" t="s">
        <v>88</v>
      </c>
      <c r="E373" t="s">
        <v>95</v>
      </c>
      <c r="F373" t="s">
        <v>129</v>
      </c>
      <c r="G373" t="s">
        <v>82</v>
      </c>
      <c r="H373" s="21">
        <v>1454</v>
      </c>
      <c r="I373" s="22">
        <v>45758</v>
      </c>
      <c r="J373" s="22">
        <v>45763</v>
      </c>
      <c r="K373" t="s">
        <v>83</v>
      </c>
      <c r="L373" t="s">
        <v>125</v>
      </c>
    </row>
    <row r="374" spans="1:14" ht="15" customHeight="1" x14ac:dyDescent="0.35">
      <c r="A374" t="s">
        <v>603</v>
      </c>
      <c r="B374" t="s">
        <v>200</v>
      </c>
      <c r="C374" t="s">
        <v>201</v>
      </c>
      <c r="D374" t="s">
        <v>94</v>
      </c>
      <c r="E374" t="s">
        <v>80</v>
      </c>
      <c r="F374" t="s">
        <v>119</v>
      </c>
      <c r="G374" t="s">
        <v>82</v>
      </c>
      <c r="H374" s="21">
        <v>1109</v>
      </c>
      <c r="I374" s="22">
        <v>45749</v>
      </c>
      <c r="J374" s="22">
        <v>45769</v>
      </c>
      <c r="K374" t="s">
        <v>90</v>
      </c>
      <c r="L374" t="s">
        <v>84</v>
      </c>
    </row>
    <row r="375" spans="1:14" ht="15" customHeight="1" x14ac:dyDescent="0.35">
      <c r="A375" t="s">
        <v>604</v>
      </c>
      <c r="B375" t="s">
        <v>185</v>
      </c>
      <c r="C375" t="s">
        <v>186</v>
      </c>
      <c r="D375" t="s">
        <v>94</v>
      </c>
      <c r="E375" t="s">
        <v>89</v>
      </c>
      <c r="F375" t="s">
        <v>112</v>
      </c>
      <c r="G375" t="s">
        <v>82</v>
      </c>
      <c r="H375" s="21">
        <v>14614</v>
      </c>
      <c r="I375" s="22">
        <v>46077</v>
      </c>
      <c r="J375" s="22">
        <v>46086</v>
      </c>
      <c r="K375" t="s">
        <v>90</v>
      </c>
      <c r="L375" t="s">
        <v>101</v>
      </c>
    </row>
    <row r="376" spans="1:14" ht="15" customHeight="1" x14ac:dyDescent="0.35">
      <c r="A376" t="s">
        <v>605</v>
      </c>
      <c r="B376" t="s">
        <v>92</v>
      </c>
      <c r="C376" t="s">
        <v>93</v>
      </c>
      <c r="D376" t="s">
        <v>94</v>
      </c>
      <c r="E376" t="s">
        <v>95</v>
      </c>
      <c r="F376" t="s">
        <v>96</v>
      </c>
      <c r="G376" t="s">
        <v>97</v>
      </c>
      <c r="H376" s="21">
        <v>784</v>
      </c>
      <c r="I376" s="22">
        <v>45869</v>
      </c>
      <c r="J376" s="22">
        <v>45878</v>
      </c>
      <c r="K376" t="s">
        <v>90</v>
      </c>
      <c r="L376" t="s">
        <v>130</v>
      </c>
    </row>
    <row r="377" spans="1:14" ht="15" customHeight="1" x14ac:dyDescent="0.35">
      <c r="A377" t="s">
        <v>606</v>
      </c>
      <c r="B377" t="s">
        <v>333</v>
      </c>
      <c r="C377" t="s">
        <v>334</v>
      </c>
      <c r="D377" t="s">
        <v>105</v>
      </c>
      <c r="E377" t="s">
        <v>172</v>
      </c>
      <c r="F377" t="s">
        <v>119</v>
      </c>
      <c r="G377" t="s">
        <v>82</v>
      </c>
      <c r="H377" s="21">
        <v>3125</v>
      </c>
      <c r="I377" s="22">
        <v>45858</v>
      </c>
      <c r="J377" s="22">
        <v>45867</v>
      </c>
      <c r="K377" t="s">
        <v>90</v>
      </c>
      <c r="L377" t="s">
        <v>84</v>
      </c>
    </row>
    <row r="378" spans="1:14" ht="15" customHeight="1" x14ac:dyDescent="0.35">
      <c r="A378" t="s">
        <v>607</v>
      </c>
      <c r="B378" t="s">
        <v>212</v>
      </c>
      <c r="C378" t="s">
        <v>213</v>
      </c>
      <c r="D378" t="s">
        <v>94</v>
      </c>
      <c r="E378" t="s">
        <v>95</v>
      </c>
      <c r="F378" t="s">
        <v>129</v>
      </c>
      <c r="G378" t="s">
        <v>82</v>
      </c>
      <c r="H378" s="21">
        <v>1818</v>
      </c>
      <c r="I378" s="22">
        <v>46024</v>
      </c>
      <c r="J378" s="22">
        <v>46038</v>
      </c>
      <c r="K378" t="s">
        <v>90</v>
      </c>
      <c r="L378" t="s">
        <v>113</v>
      </c>
    </row>
    <row r="379" spans="1:14" ht="15" customHeight="1" x14ac:dyDescent="0.35">
      <c r="A379" t="s">
        <v>608</v>
      </c>
      <c r="B379" t="s">
        <v>185</v>
      </c>
      <c r="C379" t="s">
        <v>186</v>
      </c>
      <c r="D379" t="s">
        <v>94</v>
      </c>
      <c r="E379" t="s">
        <v>118</v>
      </c>
      <c r="F379" t="s">
        <v>119</v>
      </c>
      <c r="G379" t="s">
        <v>82</v>
      </c>
      <c r="H379" s="21">
        <v>1304</v>
      </c>
      <c r="I379" s="22">
        <v>45895</v>
      </c>
      <c r="J379" s="22">
        <v>45904</v>
      </c>
      <c r="K379" t="s">
        <v>83</v>
      </c>
      <c r="L379" t="s">
        <v>107</v>
      </c>
    </row>
    <row r="380" spans="1:14" ht="15" customHeight="1" x14ac:dyDescent="0.35">
      <c r="A380" t="s">
        <v>609</v>
      </c>
      <c r="B380" t="s">
        <v>77</v>
      </c>
      <c r="C380" t="s">
        <v>78</v>
      </c>
      <c r="D380" t="s">
        <v>79</v>
      </c>
      <c r="E380" t="s">
        <v>95</v>
      </c>
      <c r="F380" t="s">
        <v>129</v>
      </c>
      <c r="G380" t="s">
        <v>82</v>
      </c>
      <c r="H380" s="21">
        <v>1799</v>
      </c>
      <c r="I380" s="22">
        <v>45861</v>
      </c>
      <c r="J380" s="22">
        <v>45863</v>
      </c>
      <c r="K380" t="s">
        <v>90</v>
      </c>
      <c r="L380" t="s">
        <v>138</v>
      </c>
    </row>
    <row r="381" spans="1:14" ht="15" customHeight="1" x14ac:dyDescent="0.35">
      <c r="A381" t="s">
        <v>610</v>
      </c>
      <c r="B381" t="s">
        <v>188</v>
      </c>
      <c r="C381" t="s">
        <v>189</v>
      </c>
      <c r="D381" t="s">
        <v>190</v>
      </c>
      <c r="E381" t="s">
        <v>95</v>
      </c>
      <c r="F381" t="s">
        <v>96</v>
      </c>
      <c r="G381" t="s">
        <v>97</v>
      </c>
      <c r="H381" s="21">
        <v>1480</v>
      </c>
      <c r="I381" s="22">
        <v>46043</v>
      </c>
      <c r="J381" s="22">
        <v>46057</v>
      </c>
      <c r="K381" t="s">
        <v>83</v>
      </c>
      <c r="L381" t="s">
        <v>107</v>
      </c>
    </row>
    <row r="382" spans="1:14" ht="15" customHeight="1" x14ac:dyDescent="0.35">
      <c r="A382" t="s">
        <v>611</v>
      </c>
      <c r="B382" t="s">
        <v>323</v>
      </c>
      <c r="C382" t="s">
        <v>324</v>
      </c>
      <c r="D382" t="s">
        <v>190</v>
      </c>
      <c r="E382" t="s">
        <v>95</v>
      </c>
      <c r="F382" t="s">
        <v>119</v>
      </c>
      <c r="G382" t="s">
        <v>82</v>
      </c>
      <c r="H382" s="21">
        <v>1135</v>
      </c>
      <c r="I382" s="22">
        <v>45942</v>
      </c>
      <c r="J382" s="22">
        <v>45947</v>
      </c>
      <c r="K382" t="s">
        <v>90</v>
      </c>
      <c r="L382" t="s">
        <v>138</v>
      </c>
    </row>
    <row r="383" spans="1:14" ht="15" customHeight="1" x14ac:dyDescent="0.35">
      <c r="A383" t="s">
        <v>612</v>
      </c>
      <c r="B383" t="s">
        <v>279</v>
      </c>
      <c r="C383" t="s">
        <v>280</v>
      </c>
      <c r="D383" t="s">
        <v>190</v>
      </c>
      <c r="E383" t="s">
        <v>89</v>
      </c>
      <c r="F383" t="s">
        <v>124</v>
      </c>
      <c r="G383" t="s">
        <v>97</v>
      </c>
      <c r="H383" s="21">
        <v>13082</v>
      </c>
      <c r="I383" s="22">
        <v>45898</v>
      </c>
      <c r="J383" s="22">
        <v>45912</v>
      </c>
      <c r="K383" t="s">
        <v>83</v>
      </c>
      <c r="L383" t="s">
        <v>130</v>
      </c>
    </row>
    <row r="384" spans="1:14" ht="15" customHeight="1" x14ac:dyDescent="0.35">
      <c r="A384" t="s">
        <v>613</v>
      </c>
      <c r="B384" t="s">
        <v>297</v>
      </c>
      <c r="C384" t="s">
        <v>298</v>
      </c>
      <c r="D384" t="s">
        <v>88</v>
      </c>
      <c r="E384" t="s">
        <v>95</v>
      </c>
      <c r="F384" t="s">
        <v>119</v>
      </c>
      <c r="G384" t="s">
        <v>82</v>
      </c>
      <c r="H384" s="21">
        <v>1651</v>
      </c>
      <c r="I384" s="22">
        <v>45890</v>
      </c>
      <c r="J384" s="22">
        <v>45892</v>
      </c>
      <c r="K384" t="s">
        <v>90</v>
      </c>
      <c r="L384" t="s">
        <v>98</v>
      </c>
    </row>
    <row r="385" spans="1:14" ht="15" customHeight="1" x14ac:dyDescent="0.35">
      <c r="A385" t="s">
        <v>614</v>
      </c>
      <c r="B385" t="s">
        <v>246</v>
      </c>
      <c r="C385" t="s">
        <v>247</v>
      </c>
      <c r="D385" t="s">
        <v>94</v>
      </c>
      <c r="E385" t="s">
        <v>89</v>
      </c>
      <c r="F385" t="s">
        <v>81</v>
      </c>
      <c r="G385" t="s">
        <v>82</v>
      </c>
      <c r="H385" s="21">
        <v>13675</v>
      </c>
      <c r="I385" s="22">
        <v>45939</v>
      </c>
      <c r="J385" s="22">
        <v>45974</v>
      </c>
      <c r="K385" t="s">
        <v>90</v>
      </c>
      <c r="L385" t="s">
        <v>98</v>
      </c>
    </row>
    <row r="386" spans="1:14" ht="15" customHeight="1" x14ac:dyDescent="0.35">
      <c r="A386" t="s">
        <v>615</v>
      </c>
      <c r="B386" t="s">
        <v>135</v>
      </c>
      <c r="C386" t="s">
        <v>136</v>
      </c>
      <c r="D386" t="s">
        <v>94</v>
      </c>
      <c r="E386" t="s">
        <v>95</v>
      </c>
      <c r="F386" t="s">
        <v>100</v>
      </c>
      <c r="G386" t="s">
        <v>97</v>
      </c>
      <c r="H386" s="21">
        <v>1901</v>
      </c>
      <c r="I386" s="22">
        <v>45771</v>
      </c>
      <c r="J386" s="22">
        <v>45773</v>
      </c>
      <c r="K386" t="s">
        <v>90</v>
      </c>
      <c r="L386" t="s">
        <v>84</v>
      </c>
    </row>
    <row r="387" spans="1:14" ht="15" customHeight="1" x14ac:dyDescent="0.35">
      <c r="A387" t="s">
        <v>616</v>
      </c>
      <c r="B387" t="s">
        <v>170</v>
      </c>
      <c r="C387" t="s">
        <v>171</v>
      </c>
      <c r="D387" t="s">
        <v>88</v>
      </c>
      <c r="E387" t="s">
        <v>95</v>
      </c>
      <c r="F387" t="s">
        <v>96</v>
      </c>
      <c r="G387" t="s">
        <v>97</v>
      </c>
      <c r="H387" s="21">
        <v>1156</v>
      </c>
      <c r="I387" s="22">
        <v>45918</v>
      </c>
      <c r="J387" s="22">
        <v>45923</v>
      </c>
      <c r="K387" t="s">
        <v>90</v>
      </c>
      <c r="L387" t="s">
        <v>98</v>
      </c>
    </row>
    <row r="388" spans="1:14" ht="15" customHeight="1" x14ac:dyDescent="0.35">
      <c r="A388" t="s">
        <v>617</v>
      </c>
      <c r="B388" t="s">
        <v>297</v>
      </c>
      <c r="C388" t="s">
        <v>298</v>
      </c>
      <c r="D388" t="s">
        <v>88</v>
      </c>
      <c r="E388" t="s">
        <v>111</v>
      </c>
      <c r="F388" t="s">
        <v>96</v>
      </c>
      <c r="G388" t="s">
        <v>97</v>
      </c>
      <c r="H388" s="21">
        <v>21921</v>
      </c>
      <c r="I388" s="22">
        <v>46074</v>
      </c>
      <c r="J388" s="22">
        <v>46079</v>
      </c>
      <c r="K388" t="s">
        <v>90</v>
      </c>
      <c r="L388" t="s">
        <v>84</v>
      </c>
      <c r="M388">
        <v>19</v>
      </c>
      <c r="N388" t="s">
        <v>114</v>
      </c>
    </row>
    <row r="389" spans="1:14" ht="15" customHeight="1" x14ac:dyDescent="0.35">
      <c r="A389" t="s">
        <v>618</v>
      </c>
      <c r="B389" t="s">
        <v>135</v>
      </c>
      <c r="C389" t="s">
        <v>136</v>
      </c>
      <c r="D389" t="s">
        <v>94</v>
      </c>
      <c r="E389" t="s">
        <v>80</v>
      </c>
      <c r="F389" t="s">
        <v>81</v>
      </c>
      <c r="G389" t="s">
        <v>82</v>
      </c>
      <c r="H389" s="21">
        <v>954</v>
      </c>
      <c r="I389" s="22">
        <v>45932</v>
      </c>
      <c r="J389" s="22">
        <v>45941</v>
      </c>
      <c r="K389" t="s">
        <v>90</v>
      </c>
      <c r="L389" t="s">
        <v>130</v>
      </c>
    </row>
    <row r="390" spans="1:14" ht="15" customHeight="1" x14ac:dyDescent="0.35">
      <c r="A390" t="s">
        <v>619</v>
      </c>
      <c r="B390" t="s">
        <v>306</v>
      </c>
      <c r="C390" t="s">
        <v>307</v>
      </c>
      <c r="D390" t="s">
        <v>88</v>
      </c>
      <c r="E390" t="s">
        <v>80</v>
      </c>
      <c r="F390" t="s">
        <v>119</v>
      </c>
      <c r="G390" t="s">
        <v>82</v>
      </c>
      <c r="H390" s="21">
        <v>851</v>
      </c>
      <c r="I390" s="22">
        <v>46018</v>
      </c>
      <c r="J390" s="22">
        <v>46038</v>
      </c>
      <c r="K390" t="s">
        <v>90</v>
      </c>
      <c r="L390" t="s">
        <v>84</v>
      </c>
    </row>
    <row r="391" spans="1:14" ht="15" customHeight="1" x14ac:dyDescent="0.35">
      <c r="A391" t="s">
        <v>620</v>
      </c>
      <c r="B391" t="s">
        <v>146</v>
      </c>
      <c r="C391" t="s">
        <v>147</v>
      </c>
      <c r="D391" t="s">
        <v>94</v>
      </c>
      <c r="E391" t="s">
        <v>95</v>
      </c>
      <c r="F391" t="s">
        <v>129</v>
      </c>
      <c r="G391" t="s">
        <v>82</v>
      </c>
      <c r="H391" s="21">
        <v>760</v>
      </c>
      <c r="I391" s="22">
        <v>46037</v>
      </c>
      <c r="J391" s="22">
        <v>46042</v>
      </c>
      <c r="K391" t="s">
        <v>90</v>
      </c>
      <c r="L391" t="s">
        <v>130</v>
      </c>
    </row>
    <row r="392" spans="1:14" ht="15" customHeight="1" x14ac:dyDescent="0.35">
      <c r="A392" t="s">
        <v>621</v>
      </c>
      <c r="B392" t="s">
        <v>116</v>
      </c>
      <c r="C392" t="s">
        <v>117</v>
      </c>
      <c r="D392" t="s">
        <v>88</v>
      </c>
      <c r="E392" t="s">
        <v>95</v>
      </c>
      <c r="F392" t="s">
        <v>124</v>
      </c>
      <c r="G392" t="s">
        <v>97</v>
      </c>
      <c r="H392" s="21">
        <v>1387</v>
      </c>
      <c r="I392" s="22">
        <v>45986</v>
      </c>
      <c r="J392" s="22">
        <v>46006</v>
      </c>
      <c r="K392" t="s">
        <v>83</v>
      </c>
      <c r="L392" t="s">
        <v>107</v>
      </c>
    </row>
    <row r="393" spans="1:14" ht="15" customHeight="1" x14ac:dyDescent="0.35">
      <c r="A393" t="s">
        <v>622</v>
      </c>
      <c r="B393" t="s">
        <v>273</v>
      </c>
      <c r="C393" t="s">
        <v>274</v>
      </c>
      <c r="D393" t="s">
        <v>88</v>
      </c>
      <c r="E393" t="s">
        <v>80</v>
      </c>
      <c r="F393" t="s">
        <v>124</v>
      </c>
      <c r="G393" t="s">
        <v>97</v>
      </c>
      <c r="H393" s="21">
        <v>662</v>
      </c>
      <c r="I393" s="22">
        <v>45808</v>
      </c>
      <c r="J393" s="22">
        <v>45810</v>
      </c>
      <c r="K393" t="s">
        <v>90</v>
      </c>
      <c r="L393" t="s">
        <v>98</v>
      </c>
    </row>
    <row r="394" spans="1:14" ht="15" customHeight="1" x14ac:dyDescent="0.35">
      <c r="A394" t="s">
        <v>623</v>
      </c>
      <c r="B394" t="s">
        <v>135</v>
      </c>
      <c r="C394" t="s">
        <v>136</v>
      </c>
      <c r="D394" t="s">
        <v>94</v>
      </c>
      <c r="E394" t="s">
        <v>172</v>
      </c>
      <c r="F394" t="s">
        <v>81</v>
      </c>
      <c r="G394" t="s">
        <v>82</v>
      </c>
      <c r="H394" s="21">
        <v>2731</v>
      </c>
      <c r="I394" s="22">
        <v>45996</v>
      </c>
      <c r="J394" s="22">
        <v>45998</v>
      </c>
      <c r="K394" t="s">
        <v>90</v>
      </c>
      <c r="L394" t="s">
        <v>138</v>
      </c>
    </row>
    <row r="395" spans="1:14" ht="15" customHeight="1" x14ac:dyDescent="0.35">
      <c r="A395" t="s">
        <v>624</v>
      </c>
      <c r="B395" t="s">
        <v>203</v>
      </c>
      <c r="C395" t="s">
        <v>204</v>
      </c>
      <c r="D395" t="s">
        <v>88</v>
      </c>
      <c r="E395" t="s">
        <v>89</v>
      </c>
      <c r="F395" t="s">
        <v>112</v>
      </c>
      <c r="G395" t="s">
        <v>82</v>
      </c>
      <c r="H395" s="21">
        <v>15675</v>
      </c>
      <c r="I395" s="22">
        <v>45934</v>
      </c>
      <c r="J395" s="22">
        <v>45943</v>
      </c>
      <c r="K395" t="s">
        <v>83</v>
      </c>
      <c r="L395" t="s">
        <v>113</v>
      </c>
    </row>
    <row r="396" spans="1:14" ht="15" customHeight="1" x14ac:dyDescent="0.35">
      <c r="A396" t="s">
        <v>625</v>
      </c>
      <c r="B396" t="s">
        <v>116</v>
      </c>
      <c r="C396" t="s">
        <v>117</v>
      </c>
      <c r="D396" t="s">
        <v>88</v>
      </c>
      <c r="E396" t="s">
        <v>106</v>
      </c>
      <c r="F396" t="s">
        <v>119</v>
      </c>
      <c r="G396" t="s">
        <v>82</v>
      </c>
      <c r="H396" s="21">
        <v>4929</v>
      </c>
      <c r="I396" s="22">
        <v>45850</v>
      </c>
      <c r="J396" s="22">
        <v>45855</v>
      </c>
      <c r="K396" t="s">
        <v>90</v>
      </c>
      <c r="L396" t="s">
        <v>84</v>
      </c>
    </row>
    <row r="397" spans="1:14" ht="15" customHeight="1" x14ac:dyDescent="0.35">
      <c r="A397" t="s">
        <v>626</v>
      </c>
      <c r="B397" t="s">
        <v>220</v>
      </c>
      <c r="C397" t="s">
        <v>221</v>
      </c>
      <c r="D397" t="s">
        <v>79</v>
      </c>
      <c r="E397" t="s">
        <v>123</v>
      </c>
      <c r="F397" t="s">
        <v>124</v>
      </c>
      <c r="G397" t="s">
        <v>97</v>
      </c>
      <c r="H397" s="21">
        <v>6860</v>
      </c>
      <c r="I397" s="22">
        <v>46010</v>
      </c>
      <c r="J397" s="22">
        <v>46015</v>
      </c>
      <c r="K397" t="s">
        <v>90</v>
      </c>
      <c r="L397" t="s">
        <v>138</v>
      </c>
    </row>
    <row r="398" spans="1:14" ht="15" customHeight="1" x14ac:dyDescent="0.35">
      <c r="A398" t="s">
        <v>627</v>
      </c>
      <c r="B398" t="s">
        <v>268</v>
      </c>
      <c r="C398" t="s">
        <v>269</v>
      </c>
      <c r="D398" t="s">
        <v>88</v>
      </c>
      <c r="E398" t="s">
        <v>89</v>
      </c>
      <c r="F398" t="s">
        <v>119</v>
      </c>
      <c r="G398" t="s">
        <v>82</v>
      </c>
      <c r="H398" s="21">
        <v>9475</v>
      </c>
      <c r="I398" s="22">
        <v>45812</v>
      </c>
      <c r="J398" s="22">
        <v>45826</v>
      </c>
      <c r="K398" t="s">
        <v>90</v>
      </c>
      <c r="L398" t="s">
        <v>101</v>
      </c>
    </row>
    <row r="399" spans="1:14" ht="15" customHeight="1" x14ac:dyDescent="0.35">
      <c r="A399" t="s">
        <v>628</v>
      </c>
      <c r="B399" t="s">
        <v>370</v>
      </c>
      <c r="C399" t="s">
        <v>371</v>
      </c>
      <c r="D399" t="s">
        <v>88</v>
      </c>
      <c r="E399" t="s">
        <v>172</v>
      </c>
      <c r="F399" t="s">
        <v>129</v>
      </c>
      <c r="G399" t="s">
        <v>82</v>
      </c>
      <c r="H399" s="21">
        <v>2235</v>
      </c>
      <c r="I399" s="22">
        <v>45906</v>
      </c>
      <c r="J399" s="22">
        <v>45911</v>
      </c>
      <c r="K399" t="s">
        <v>90</v>
      </c>
      <c r="L399" t="s">
        <v>107</v>
      </c>
    </row>
    <row r="400" spans="1:14" ht="15" customHeight="1" x14ac:dyDescent="0.35">
      <c r="A400" t="s">
        <v>629</v>
      </c>
      <c r="B400" t="s">
        <v>323</v>
      </c>
      <c r="C400" t="s">
        <v>324</v>
      </c>
      <c r="D400" t="s">
        <v>190</v>
      </c>
      <c r="E400" t="s">
        <v>80</v>
      </c>
      <c r="F400" t="s">
        <v>124</v>
      </c>
      <c r="G400" t="s">
        <v>97</v>
      </c>
      <c r="H400" s="21">
        <v>2016</v>
      </c>
      <c r="I400" s="22">
        <v>46005</v>
      </c>
      <c r="J400" s="22">
        <v>46010</v>
      </c>
      <c r="K400" t="s">
        <v>83</v>
      </c>
      <c r="L400" t="s">
        <v>130</v>
      </c>
    </row>
    <row r="401" spans="1:12" ht="15" customHeight="1" x14ac:dyDescent="0.35">
      <c r="A401" t="s">
        <v>630</v>
      </c>
      <c r="B401" t="s">
        <v>143</v>
      </c>
      <c r="C401" t="s">
        <v>144</v>
      </c>
      <c r="D401" t="s">
        <v>94</v>
      </c>
      <c r="E401" t="s">
        <v>80</v>
      </c>
      <c r="F401" t="s">
        <v>96</v>
      </c>
      <c r="G401" t="s">
        <v>97</v>
      </c>
      <c r="H401" s="21">
        <v>1339</v>
      </c>
      <c r="I401" s="22">
        <v>45751</v>
      </c>
      <c r="J401" s="22">
        <v>45753</v>
      </c>
      <c r="K401" t="s">
        <v>90</v>
      </c>
      <c r="L401" t="s">
        <v>101</v>
      </c>
    </row>
  </sheetData>
  <autoFilter ref="A1:N401" xr:uid="{00000000-0009-0000-0000-000001000000}"/>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6"/>
  <sheetViews>
    <sheetView zoomScale="87" zoomScaleNormal="87" workbookViewId="0">
      <pane ySplit="1" topLeftCell="A3" activePane="bottomLeft" state="frozen"/>
      <selection pane="bottomLeft"/>
    </sheetView>
  </sheetViews>
  <sheetFormatPr defaultColWidth="8.6328125" defaultRowHeight="12.5" x14ac:dyDescent="0.25"/>
  <cols>
    <col min="1" max="1" width="10" customWidth="1"/>
    <col min="2" max="2" width="16" customWidth="1"/>
    <col min="3" max="3" width="70" customWidth="1"/>
  </cols>
  <sheetData>
    <row r="1" spans="1:3" ht="15" customHeight="1" x14ac:dyDescent="0.25">
      <c r="A1" s="18" t="s">
        <v>631</v>
      </c>
      <c r="B1" s="18" t="s">
        <v>632</v>
      </c>
      <c r="C1" s="18" t="s">
        <v>633</v>
      </c>
    </row>
    <row r="2" spans="1:3" ht="27.75" customHeight="1" x14ac:dyDescent="0.25">
      <c r="A2" t="s">
        <v>634</v>
      </c>
      <c r="B2" t="s">
        <v>635</v>
      </c>
      <c r="C2" s="23" t="s">
        <v>636</v>
      </c>
    </row>
    <row r="3" spans="1:3" ht="27.75" customHeight="1" x14ac:dyDescent="0.25">
      <c r="A3" t="s">
        <v>637</v>
      </c>
      <c r="B3" t="s">
        <v>638</v>
      </c>
      <c r="C3" s="23" t="s">
        <v>639</v>
      </c>
    </row>
    <row r="4" spans="1:3" ht="15" customHeight="1" x14ac:dyDescent="0.25">
      <c r="A4" t="s">
        <v>640</v>
      </c>
      <c r="B4" t="s">
        <v>641</v>
      </c>
      <c r="C4" s="23" t="s">
        <v>642</v>
      </c>
    </row>
    <row r="5" spans="1:3" ht="27.75" customHeight="1" x14ac:dyDescent="0.25">
      <c r="A5" t="s">
        <v>643</v>
      </c>
      <c r="B5" t="s">
        <v>644</v>
      </c>
      <c r="C5" s="23" t="s">
        <v>645</v>
      </c>
    </row>
    <row r="6" spans="1:3" ht="27.75" customHeight="1" x14ac:dyDescent="0.25">
      <c r="A6" t="s">
        <v>646</v>
      </c>
      <c r="B6" t="s">
        <v>647</v>
      </c>
      <c r="C6" s="23" t="s">
        <v>648</v>
      </c>
    </row>
    <row r="7" spans="1:3" ht="27.75" customHeight="1" x14ac:dyDescent="0.25">
      <c r="A7" t="s">
        <v>649</v>
      </c>
      <c r="B7" t="s">
        <v>650</v>
      </c>
      <c r="C7" s="23" t="s">
        <v>651</v>
      </c>
    </row>
    <row r="8" spans="1:3" ht="15" customHeight="1" x14ac:dyDescent="0.25">
      <c r="A8" t="s">
        <v>652</v>
      </c>
      <c r="B8" t="s">
        <v>653</v>
      </c>
      <c r="C8" s="23" t="s">
        <v>654</v>
      </c>
    </row>
    <row r="9" spans="1:3" ht="15" customHeight="1" x14ac:dyDescent="0.25">
      <c r="A9" t="s">
        <v>655</v>
      </c>
      <c r="B9" t="s">
        <v>106</v>
      </c>
      <c r="C9" s="23" t="s">
        <v>656</v>
      </c>
    </row>
    <row r="10" spans="1:3" ht="15" customHeight="1" x14ac:dyDescent="0.25">
      <c r="A10" t="s">
        <v>657</v>
      </c>
      <c r="B10" t="s">
        <v>658</v>
      </c>
      <c r="C10" s="23" t="s">
        <v>659</v>
      </c>
    </row>
    <row r="11" spans="1:3" ht="27.75" customHeight="1" x14ac:dyDescent="0.25">
      <c r="A11" t="s">
        <v>660</v>
      </c>
      <c r="B11" t="s">
        <v>661</v>
      </c>
      <c r="C11" s="23" t="s">
        <v>662</v>
      </c>
    </row>
    <row r="12" spans="1:3" ht="27.75" customHeight="1" x14ac:dyDescent="0.25">
      <c r="A12" t="s">
        <v>663</v>
      </c>
      <c r="B12" t="s">
        <v>664</v>
      </c>
      <c r="C12" s="23" t="s">
        <v>665</v>
      </c>
    </row>
    <row r="13" spans="1:3" ht="27.75" customHeight="1" x14ac:dyDescent="0.25">
      <c r="A13" t="s">
        <v>666</v>
      </c>
      <c r="B13" t="s">
        <v>667</v>
      </c>
      <c r="C13" s="23" t="s">
        <v>668</v>
      </c>
    </row>
    <row r="14" spans="1:3" ht="27.75" customHeight="1" x14ac:dyDescent="0.25">
      <c r="A14" t="s">
        <v>669</v>
      </c>
      <c r="B14" t="s">
        <v>670</v>
      </c>
      <c r="C14" s="23" t="s">
        <v>671</v>
      </c>
    </row>
    <row r="15" spans="1:3" ht="27.75" customHeight="1" x14ac:dyDescent="0.25">
      <c r="A15" t="s">
        <v>672</v>
      </c>
      <c r="B15" t="s">
        <v>673</v>
      </c>
      <c r="C15" s="23" t="s">
        <v>674</v>
      </c>
    </row>
    <row r="16" spans="1:3" ht="15" customHeight="1" x14ac:dyDescent="0.25">
      <c r="A16" t="s">
        <v>675</v>
      </c>
      <c r="B16" t="s">
        <v>676</v>
      </c>
      <c r="C16" s="23" t="s">
        <v>677</v>
      </c>
    </row>
  </sheetData>
  <autoFilter ref="A1:C16" xr:uid="{00000000-0009-0000-0000-000002000000}"/>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8"/>
  <sheetViews>
    <sheetView zoomScale="55" zoomScaleNormal="55" workbookViewId="0">
      <pane ySplit="1" topLeftCell="A2" activePane="bottomLeft" state="frozen"/>
      <selection pane="bottomLeft"/>
    </sheetView>
  </sheetViews>
  <sheetFormatPr defaultColWidth="8.6328125" defaultRowHeight="12.5" x14ac:dyDescent="0.25"/>
  <cols>
    <col min="1" max="1" width="26" customWidth="1"/>
    <col min="2" max="2" width="34" customWidth="1"/>
    <col min="3" max="3" width="16" customWidth="1"/>
    <col min="4" max="4" width="60" customWidth="1"/>
    <col min="5" max="6" width="16" customWidth="1"/>
  </cols>
  <sheetData>
    <row r="1" spans="1:6" ht="23.25" customHeight="1" x14ac:dyDescent="0.25">
      <c r="A1" s="18" t="s">
        <v>678</v>
      </c>
      <c r="B1" s="18" t="s">
        <v>679</v>
      </c>
      <c r="C1" s="18" t="s">
        <v>680</v>
      </c>
      <c r="D1" s="18" t="s">
        <v>681</v>
      </c>
      <c r="E1" s="18" t="s">
        <v>682</v>
      </c>
      <c r="F1" s="18" t="s">
        <v>683</v>
      </c>
    </row>
    <row r="2" spans="1:6" ht="15" customHeight="1" x14ac:dyDescent="0.25">
      <c r="A2" t="s">
        <v>684</v>
      </c>
      <c r="B2" t="s">
        <v>62</v>
      </c>
      <c r="C2" t="s">
        <v>685</v>
      </c>
      <c r="D2" t="s">
        <v>76</v>
      </c>
      <c r="E2">
        <v>400</v>
      </c>
      <c r="F2">
        <v>400</v>
      </c>
    </row>
    <row r="3" spans="1:6" ht="15" customHeight="1" x14ac:dyDescent="0.25">
      <c r="A3" t="s">
        <v>684</v>
      </c>
      <c r="B3" t="s">
        <v>63</v>
      </c>
      <c r="C3" t="s">
        <v>685</v>
      </c>
      <c r="D3" t="s">
        <v>77</v>
      </c>
      <c r="E3">
        <v>400</v>
      </c>
      <c r="F3">
        <v>60</v>
      </c>
    </row>
    <row r="4" spans="1:6" ht="15" customHeight="1" x14ac:dyDescent="0.25">
      <c r="A4" t="s">
        <v>684</v>
      </c>
      <c r="B4" t="s">
        <v>64</v>
      </c>
      <c r="C4" t="s">
        <v>685</v>
      </c>
      <c r="D4" t="s">
        <v>78</v>
      </c>
      <c r="E4">
        <v>400</v>
      </c>
      <c r="F4">
        <v>60</v>
      </c>
    </row>
    <row r="5" spans="1:6" ht="15" customHeight="1" x14ac:dyDescent="0.25">
      <c r="A5" t="s">
        <v>684</v>
      </c>
      <c r="B5" t="s">
        <v>65</v>
      </c>
      <c r="C5" t="s">
        <v>685</v>
      </c>
      <c r="D5" t="s">
        <v>79</v>
      </c>
      <c r="E5">
        <v>400</v>
      </c>
      <c r="F5">
        <v>5</v>
      </c>
    </row>
    <row r="6" spans="1:6" ht="15" customHeight="1" x14ac:dyDescent="0.25">
      <c r="A6" t="s">
        <v>684</v>
      </c>
      <c r="B6" t="s">
        <v>66</v>
      </c>
      <c r="C6" t="s">
        <v>685</v>
      </c>
      <c r="D6" t="s">
        <v>80</v>
      </c>
      <c r="E6">
        <v>400</v>
      </c>
      <c r="F6">
        <v>8</v>
      </c>
    </row>
    <row r="7" spans="1:6" ht="15" customHeight="1" x14ac:dyDescent="0.25">
      <c r="A7" t="s">
        <v>684</v>
      </c>
      <c r="B7" t="s">
        <v>67</v>
      </c>
      <c r="C7" t="s">
        <v>685</v>
      </c>
      <c r="D7" t="s">
        <v>81</v>
      </c>
      <c r="E7">
        <v>400</v>
      </c>
      <c r="F7">
        <v>8</v>
      </c>
    </row>
    <row r="8" spans="1:6" ht="15" customHeight="1" x14ac:dyDescent="0.25">
      <c r="A8" t="s">
        <v>684</v>
      </c>
      <c r="B8" t="s">
        <v>68</v>
      </c>
      <c r="C8" t="s">
        <v>685</v>
      </c>
      <c r="D8" t="s">
        <v>82</v>
      </c>
      <c r="E8">
        <v>400</v>
      </c>
      <c r="F8">
        <v>2</v>
      </c>
    </row>
    <row r="9" spans="1:6" ht="15" customHeight="1" x14ac:dyDescent="0.25">
      <c r="A9" t="s">
        <v>684</v>
      </c>
      <c r="B9" t="s">
        <v>69</v>
      </c>
      <c r="C9" t="s">
        <v>686</v>
      </c>
      <c r="D9" t="s">
        <v>687</v>
      </c>
      <c r="E9">
        <v>400</v>
      </c>
      <c r="F9">
        <v>388</v>
      </c>
    </row>
    <row r="10" spans="1:6" ht="15" customHeight="1" x14ac:dyDescent="0.25">
      <c r="A10" t="s">
        <v>684</v>
      </c>
      <c r="B10" t="s">
        <v>70</v>
      </c>
      <c r="C10" t="s">
        <v>688</v>
      </c>
      <c r="D10" t="s">
        <v>689</v>
      </c>
      <c r="E10">
        <v>400</v>
      </c>
      <c r="F10">
        <v>241</v>
      </c>
    </row>
    <row r="11" spans="1:6" ht="15" customHeight="1" x14ac:dyDescent="0.25">
      <c r="A11" t="s">
        <v>684</v>
      </c>
      <c r="B11" t="s">
        <v>71</v>
      </c>
      <c r="C11" t="s">
        <v>688</v>
      </c>
      <c r="D11" t="s">
        <v>690</v>
      </c>
      <c r="E11">
        <v>400</v>
      </c>
      <c r="F11">
        <v>234</v>
      </c>
    </row>
    <row r="12" spans="1:6" ht="15" customHeight="1" x14ac:dyDescent="0.25">
      <c r="A12" t="s">
        <v>684</v>
      </c>
      <c r="B12" t="s">
        <v>72</v>
      </c>
      <c r="C12" t="s">
        <v>685</v>
      </c>
      <c r="D12" t="s">
        <v>83</v>
      </c>
      <c r="E12">
        <v>400</v>
      </c>
      <c r="F12">
        <v>2</v>
      </c>
    </row>
    <row r="13" spans="1:6" ht="15" customHeight="1" x14ac:dyDescent="0.25">
      <c r="A13" t="s">
        <v>684</v>
      </c>
      <c r="B13" t="s">
        <v>73</v>
      </c>
      <c r="C13" t="s">
        <v>685</v>
      </c>
      <c r="D13" t="s">
        <v>84</v>
      </c>
      <c r="E13">
        <v>400</v>
      </c>
      <c r="F13">
        <v>8</v>
      </c>
    </row>
    <row r="14" spans="1:6" ht="15" customHeight="1" x14ac:dyDescent="0.25">
      <c r="A14" t="s">
        <v>684</v>
      </c>
      <c r="B14" t="s">
        <v>74</v>
      </c>
      <c r="C14" t="s">
        <v>686</v>
      </c>
      <c r="D14" t="s">
        <v>691</v>
      </c>
      <c r="E14">
        <v>58</v>
      </c>
      <c r="F14">
        <v>18</v>
      </c>
    </row>
    <row r="15" spans="1:6" ht="15" customHeight="1" x14ac:dyDescent="0.25">
      <c r="A15" t="s">
        <v>684</v>
      </c>
      <c r="B15" t="s">
        <v>75</v>
      </c>
      <c r="C15" t="s">
        <v>685</v>
      </c>
      <c r="D15" t="s">
        <v>114</v>
      </c>
      <c r="E15">
        <v>58</v>
      </c>
      <c r="F15">
        <v>2</v>
      </c>
    </row>
    <row r="16" spans="1:6" ht="15" customHeight="1" x14ac:dyDescent="0.25">
      <c r="A16" t="s">
        <v>692</v>
      </c>
      <c r="B16" t="s">
        <v>631</v>
      </c>
      <c r="C16" t="s">
        <v>685</v>
      </c>
      <c r="D16" t="s">
        <v>634</v>
      </c>
      <c r="E16">
        <v>15</v>
      </c>
      <c r="F16">
        <v>15</v>
      </c>
    </row>
    <row r="17" spans="1:6" ht="15" customHeight="1" x14ac:dyDescent="0.25">
      <c r="A17" t="s">
        <v>692</v>
      </c>
      <c r="B17" t="s">
        <v>632</v>
      </c>
      <c r="C17" t="s">
        <v>685</v>
      </c>
      <c r="D17" t="s">
        <v>635</v>
      </c>
      <c r="E17">
        <v>15</v>
      </c>
      <c r="F17">
        <v>15</v>
      </c>
    </row>
    <row r="18" spans="1:6" ht="15" customHeight="1" x14ac:dyDescent="0.25">
      <c r="A18" t="s">
        <v>692</v>
      </c>
      <c r="B18" t="s">
        <v>633</v>
      </c>
      <c r="C18" t="s">
        <v>685</v>
      </c>
      <c r="D18" t="s">
        <v>693</v>
      </c>
      <c r="E18">
        <v>15</v>
      </c>
      <c r="F18">
        <v>15</v>
      </c>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29"/>
  <sheetViews>
    <sheetView tabSelected="1" topLeftCell="E1" zoomScale="43" zoomScaleNormal="63" workbookViewId="0">
      <pane ySplit="3" topLeftCell="A10" activePane="bottomLeft" state="frozen"/>
      <selection activeCell="E1" sqref="E1"/>
      <selection pane="bottomLeft" activeCell="I12" sqref="I12"/>
    </sheetView>
  </sheetViews>
  <sheetFormatPr defaultColWidth="8.6328125" defaultRowHeight="12.5" x14ac:dyDescent="0.25"/>
  <cols>
    <col min="1" max="1" width="5" customWidth="1"/>
    <col min="2" max="2" width="12" customWidth="1"/>
    <col min="3" max="3" width="10" customWidth="1"/>
    <col min="4" max="5" width="20" customWidth="1"/>
    <col min="6" max="6" width="200" customWidth="1"/>
    <col min="7" max="8" width="70" customWidth="1"/>
    <col min="9" max="9" width="12" customWidth="1"/>
    <col min="10" max="10" width="22" customWidth="1"/>
  </cols>
  <sheetData>
    <row r="1" spans="1:10" ht="15" customHeight="1" x14ac:dyDescent="0.3">
      <c r="A1" s="20" t="s">
        <v>694</v>
      </c>
    </row>
    <row r="2" spans="1:10" ht="15" customHeight="1" x14ac:dyDescent="0.3">
      <c r="A2" s="24" t="s">
        <v>695</v>
      </c>
    </row>
    <row r="3" spans="1:10" ht="23.25" customHeight="1" x14ac:dyDescent="0.25">
      <c r="A3" s="18" t="s">
        <v>696</v>
      </c>
      <c r="B3" s="18" t="s">
        <v>697</v>
      </c>
      <c r="C3" s="18" t="s">
        <v>698</v>
      </c>
      <c r="D3" s="18" t="s">
        <v>699</v>
      </c>
      <c r="E3" s="18" t="s">
        <v>700</v>
      </c>
      <c r="F3" s="18" t="s">
        <v>701</v>
      </c>
      <c r="G3" s="18" t="s">
        <v>702</v>
      </c>
      <c r="H3" s="18" t="s">
        <v>703</v>
      </c>
      <c r="I3" s="18" t="s">
        <v>704</v>
      </c>
      <c r="J3" s="18" t="s">
        <v>705</v>
      </c>
    </row>
    <row r="4" spans="1:10" ht="69" customHeight="1" x14ac:dyDescent="0.25">
      <c r="A4" s="25">
        <v>1</v>
      </c>
      <c r="B4" s="26">
        <v>46296</v>
      </c>
      <c r="C4" s="27" t="s">
        <v>706</v>
      </c>
      <c r="D4" s="27" t="s">
        <v>707</v>
      </c>
      <c r="E4" s="27"/>
      <c r="F4" s="27" t="s">
        <v>708</v>
      </c>
      <c r="G4" s="27" t="s">
        <v>709</v>
      </c>
      <c r="H4" s="27" t="s">
        <v>710</v>
      </c>
      <c r="I4" s="27" t="s">
        <v>711</v>
      </c>
      <c r="J4" s="28" t="s">
        <v>712</v>
      </c>
    </row>
    <row r="5" spans="1:10" ht="69" customHeight="1" x14ac:dyDescent="0.25">
      <c r="A5" s="25">
        <v>2</v>
      </c>
      <c r="B5" s="26">
        <v>46296</v>
      </c>
      <c r="C5" s="27" t="s">
        <v>706</v>
      </c>
      <c r="D5" s="27" t="s">
        <v>707</v>
      </c>
      <c r="E5" s="27"/>
      <c r="F5" s="27" t="s">
        <v>713</v>
      </c>
      <c r="G5" s="27" t="s">
        <v>714</v>
      </c>
      <c r="H5" s="27" t="s">
        <v>715</v>
      </c>
      <c r="I5" s="27" t="s">
        <v>711</v>
      </c>
      <c r="J5" s="28" t="s">
        <v>716</v>
      </c>
    </row>
    <row r="6" spans="1:10" ht="393.75" customHeight="1" x14ac:dyDescent="0.25">
      <c r="A6" s="25">
        <v>3</v>
      </c>
      <c r="B6" s="26">
        <v>46296</v>
      </c>
      <c r="C6" s="27" t="s">
        <v>706</v>
      </c>
      <c r="D6" s="27" t="s">
        <v>707</v>
      </c>
      <c r="E6" s="27"/>
      <c r="F6" s="27" t="s">
        <v>717</v>
      </c>
      <c r="G6" s="27" t="s">
        <v>718</v>
      </c>
      <c r="H6" s="27" t="s">
        <v>719</v>
      </c>
      <c r="I6" s="27" t="s">
        <v>1212</v>
      </c>
      <c r="J6" s="28" t="s">
        <v>720</v>
      </c>
    </row>
    <row r="7" spans="1:10" ht="393.75" customHeight="1" x14ac:dyDescent="0.25">
      <c r="A7" s="25">
        <v>4</v>
      </c>
      <c r="B7" s="26">
        <v>46296</v>
      </c>
      <c r="C7" s="27" t="s">
        <v>706</v>
      </c>
      <c r="D7" s="27" t="s">
        <v>707</v>
      </c>
      <c r="E7" s="27"/>
      <c r="F7" s="27" t="s">
        <v>721</v>
      </c>
      <c r="G7" s="27" t="s">
        <v>722</v>
      </c>
      <c r="H7" s="27" t="s">
        <v>723</v>
      </c>
      <c r="I7" s="27" t="s">
        <v>1212</v>
      </c>
      <c r="J7" s="28" t="s">
        <v>724</v>
      </c>
    </row>
    <row r="8" spans="1:10" ht="55.5" customHeight="1" x14ac:dyDescent="0.25">
      <c r="A8" s="25">
        <v>5</v>
      </c>
      <c r="B8" s="26">
        <v>46296</v>
      </c>
      <c r="C8" s="27" t="s">
        <v>706</v>
      </c>
      <c r="D8" s="27" t="s">
        <v>707</v>
      </c>
      <c r="E8" s="27"/>
      <c r="F8" s="27" t="s">
        <v>725</v>
      </c>
      <c r="G8" s="27" t="s">
        <v>726</v>
      </c>
      <c r="H8" s="27" t="s">
        <v>727</v>
      </c>
      <c r="I8" s="27" t="s">
        <v>1212</v>
      </c>
      <c r="J8" s="28" t="s">
        <v>728</v>
      </c>
    </row>
    <row r="9" spans="1:10" ht="42.75" customHeight="1" x14ac:dyDescent="0.25">
      <c r="A9" s="25">
        <v>6</v>
      </c>
      <c r="B9" s="26">
        <v>46296</v>
      </c>
      <c r="C9" s="27" t="s">
        <v>706</v>
      </c>
      <c r="D9" s="27" t="s">
        <v>707</v>
      </c>
      <c r="E9" s="27"/>
      <c r="F9" s="27" t="s">
        <v>729</v>
      </c>
      <c r="G9" s="27" t="s">
        <v>730</v>
      </c>
      <c r="H9" s="27" t="s">
        <v>731</v>
      </c>
      <c r="I9" s="27" t="s">
        <v>711</v>
      </c>
      <c r="J9" s="28" t="s">
        <v>732</v>
      </c>
    </row>
    <row r="10" spans="1:10" ht="55.5" customHeight="1" x14ac:dyDescent="0.25">
      <c r="A10" s="25">
        <v>7</v>
      </c>
      <c r="B10" s="26">
        <v>46297</v>
      </c>
      <c r="C10" s="27" t="s">
        <v>706</v>
      </c>
      <c r="D10" s="27" t="s">
        <v>707</v>
      </c>
      <c r="E10" s="27"/>
      <c r="F10" s="27" t="s">
        <v>733</v>
      </c>
      <c r="G10" s="27" t="s">
        <v>734</v>
      </c>
      <c r="H10" s="27" t="s">
        <v>735</v>
      </c>
      <c r="I10" s="27" t="s">
        <v>711</v>
      </c>
      <c r="J10" s="28" t="s">
        <v>736</v>
      </c>
    </row>
    <row r="11" spans="1:10" ht="42.75" customHeight="1" x14ac:dyDescent="0.25">
      <c r="A11" s="25">
        <v>8</v>
      </c>
      <c r="B11" s="26">
        <v>46297</v>
      </c>
      <c r="C11" s="27" t="s">
        <v>706</v>
      </c>
      <c r="D11" s="27" t="s">
        <v>707</v>
      </c>
      <c r="E11" s="27"/>
      <c r="F11" s="27" t="s">
        <v>737</v>
      </c>
      <c r="G11" s="27" t="s">
        <v>738</v>
      </c>
      <c r="H11" s="27" t="s">
        <v>739</v>
      </c>
      <c r="I11" s="27" t="s">
        <v>711</v>
      </c>
      <c r="J11" s="28" t="s">
        <v>740</v>
      </c>
    </row>
    <row r="12" spans="1:10" ht="42.75" customHeight="1" x14ac:dyDescent="0.25">
      <c r="A12" s="25">
        <v>9</v>
      </c>
      <c r="B12" s="26">
        <v>46297</v>
      </c>
      <c r="C12" s="27" t="s">
        <v>706</v>
      </c>
      <c r="D12" s="27" t="s">
        <v>707</v>
      </c>
      <c r="E12" s="27"/>
      <c r="F12" s="27" t="s">
        <v>741</v>
      </c>
      <c r="G12" s="27" t="s">
        <v>742</v>
      </c>
      <c r="H12" s="27" t="s">
        <v>743</v>
      </c>
      <c r="I12" s="27" t="s">
        <v>1213</v>
      </c>
      <c r="J12" s="28" t="s">
        <v>744</v>
      </c>
    </row>
    <row r="13" spans="1:10" ht="108" customHeight="1" x14ac:dyDescent="0.25">
      <c r="A13" s="25">
        <v>10</v>
      </c>
      <c r="B13" s="26">
        <v>46297</v>
      </c>
      <c r="C13" s="27" t="s">
        <v>706</v>
      </c>
      <c r="D13" s="27" t="s">
        <v>707</v>
      </c>
      <c r="E13" s="27"/>
      <c r="F13" s="27" t="s">
        <v>745</v>
      </c>
      <c r="G13" s="27" t="s">
        <v>746</v>
      </c>
      <c r="H13" s="27" t="s">
        <v>747</v>
      </c>
      <c r="I13" s="27" t="s">
        <v>711</v>
      </c>
      <c r="J13" s="28" t="s">
        <v>748</v>
      </c>
    </row>
    <row r="14" spans="1:10" ht="42.75" customHeight="1" x14ac:dyDescent="0.25">
      <c r="A14" s="25">
        <v>11</v>
      </c>
      <c r="B14" s="26">
        <v>46297</v>
      </c>
      <c r="C14" s="27" t="s">
        <v>706</v>
      </c>
      <c r="D14" s="27" t="s">
        <v>707</v>
      </c>
      <c r="E14" s="27"/>
      <c r="F14" s="27" t="s">
        <v>749</v>
      </c>
      <c r="G14" s="27" t="s">
        <v>750</v>
      </c>
      <c r="H14" s="27" t="inlineStr">
        <is>
          <t>Audit verdicts, reason codes and reasons for all 30 claims were completed by me manually, checking each claim against the policy text and the claim fields. AI was not used to decide the verdicts; it was used afterwards only to challenge the audit design and assumptions (see Session 12).</t>
        </is>
      </c>
      <c r="I14" s="27" t="s">
        <v>711</v>
      </c>
      <c r="J14" s="28" t="s">
        <v>752</v>
      </c>
    </row>
    <row r="15" spans="1:10" ht="55.5" customHeight="1" x14ac:dyDescent="0.25">
      <c r="A15" s="25">
        <v>12</v>
      </c>
      <c r="B15" s="26">
        <v>46297</v>
      </c>
      <c r="C15" s="27" t="s">
        <v>706</v>
      </c>
      <c r="D15" s="27" t="s">
        <v>707</v>
      </c>
      <c r="E15" s="27"/>
      <c r="F15" s="27" t="s">
        <v>753</v>
      </c>
      <c r="G15" s="27" t="s">
        <v>754</v>
      </c>
      <c r="H15" s="27" t="s">
        <v>755</v>
      </c>
      <c r="I15" s="27" t="s">
        <v>1212</v>
      </c>
      <c r="J15" s="28" t="s">
        <v>756</v>
      </c>
    </row>
    <row r="16" spans="1:10" ht="69" customHeight="1" x14ac:dyDescent="0.25">
      <c r="A16" s="25">
        <v>13</v>
      </c>
      <c r="B16" s="26">
        <v>46297</v>
      </c>
      <c r="C16" s="27" t="s">
        <v>706</v>
      </c>
      <c r="D16" s="27" t="s">
        <v>707</v>
      </c>
      <c r="E16" s="27"/>
      <c r="F16" s="27" t="s">
        <v>757</v>
      </c>
      <c r="G16" s="27" t="s">
        <v>758</v>
      </c>
      <c r="H16" s="27" t="s">
        <v>759</v>
      </c>
      <c r="I16" s="27" t="s">
        <v>711</v>
      </c>
      <c r="J16" s="28" t="s">
        <v>760</v>
      </c>
    </row>
    <row r="17" spans="1:10" ht="55.5" customHeight="1" x14ac:dyDescent="0.25">
      <c r="A17" s="25">
        <v>14</v>
      </c>
      <c r="B17" s="26">
        <v>46297</v>
      </c>
      <c r="C17" s="27" t="s">
        <v>706</v>
      </c>
      <c r="D17" s="27" t="s">
        <v>707</v>
      </c>
      <c r="E17" s="27"/>
      <c r="F17" s="27" t="s">
        <v>761</v>
      </c>
      <c r="G17" s="27" t="s">
        <v>762</v>
      </c>
      <c r="H17" s="27" t="s">
        <v>763</v>
      </c>
      <c r="I17" s="27" t="s">
        <v>711</v>
      </c>
      <c r="J17" s="28" t="s">
        <v>764</v>
      </c>
    </row>
    <row r="18" spans="1:10" ht="81.75" customHeight="1" x14ac:dyDescent="0.25">
      <c r="A18" s="25">
        <v>15</v>
      </c>
      <c r="B18" s="26">
        <v>46298</v>
      </c>
      <c r="C18" s="27" t="s">
        <v>706</v>
      </c>
      <c r="D18" s="27" t="s">
        <v>707</v>
      </c>
      <c r="E18" s="27"/>
      <c r="F18" s="27" t="s">
        <v>765</v>
      </c>
      <c r="G18" s="27" t="s">
        <v>766</v>
      </c>
      <c r="H18" s="27" t="s">
        <v>767</v>
      </c>
      <c r="I18" s="27" t="s">
        <v>711</v>
      </c>
      <c r="J18" s="28" t="s">
        <v>768</v>
      </c>
    </row>
    <row r="19" spans="1:10" ht="120.75" customHeight="1" x14ac:dyDescent="0.25">
      <c r="A19" s="25">
        <v>16</v>
      </c>
      <c r="B19" s="26">
        <v>46298</v>
      </c>
      <c r="C19" s="27" t="s">
        <v>706</v>
      </c>
      <c r="D19" s="27" t="s">
        <v>707</v>
      </c>
      <c r="E19" s="27"/>
      <c r="F19" s="27" t="s">
        <v>769</v>
      </c>
      <c r="G19" s="27" t="s">
        <v>770</v>
      </c>
      <c r="H19" s="27" t="s">
        <v>771</v>
      </c>
      <c r="I19" s="27" t="s">
        <v>711</v>
      </c>
      <c r="J19" s="28" t="s">
        <v>772</v>
      </c>
    </row>
    <row r="20" spans="1:10" ht="16.5" customHeight="1" x14ac:dyDescent="0.25">
      <c r="A20" s="25">
        <v>17</v>
      </c>
      <c r="B20" s="26"/>
      <c r="C20" s="27"/>
      <c r="D20" s="27"/>
      <c r="E20" s="27"/>
      <c r="F20" s="27"/>
      <c r="G20" s="27"/>
      <c r="H20" s="27"/>
      <c r="I20" s="27"/>
      <c r="J20" s="27"/>
    </row>
    <row r="21" spans="1:10" ht="16.5" customHeight="1" x14ac:dyDescent="0.25">
      <c r="A21" s="25">
        <v>18</v>
      </c>
      <c r="B21" s="26"/>
      <c r="C21" s="27"/>
      <c r="D21" s="27"/>
      <c r="E21" s="27"/>
      <c r="F21" s="27"/>
      <c r="G21" s="27"/>
      <c r="H21" s="27"/>
      <c r="I21" s="27"/>
      <c r="J21" s="27"/>
    </row>
    <row r="22" spans="1:10" ht="16.5" customHeight="1" x14ac:dyDescent="0.25">
      <c r="A22" s="25">
        <v>19</v>
      </c>
      <c r="B22" s="26"/>
      <c r="C22" s="27"/>
      <c r="D22" s="27"/>
      <c r="E22" s="27"/>
      <c r="F22" s="27"/>
      <c r="G22" s="27"/>
      <c r="H22" s="27"/>
      <c r="I22" s="27"/>
      <c r="J22" s="27"/>
    </row>
    <row r="23" spans="1:10" ht="16.5" customHeight="1" x14ac:dyDescent="0.25">
      <c r="A23" s="25">
        <v>20</v>
      </c>
      <c r="B23" s="26"/>
      <c r="C23" s="27"/>
      <c r="D23" s="27"/>
      <c r="E23" s="27"/>
      <c r="F23" s="27"/>
      <c r="G23" s="27"/>
      <c r="H23" s="27"/>
      <c r="I23" s="27"/>
      <c r="J23" s="27"/>
    </row>
    <row r="24" spans="1:10" ht="16.5" customHeight="1" x14ac:dyDescent="0.25">
      <c r="A24" s="25">
        <v>21</v>
      </c>
      <c r="B24" s="26"/>
      <c r="C24" s="27"/>
      <c r="D24" s="27"/>
      <c r="E24" s="27"/>
      <c r="F24" s="27"/>
      <c r="G24" s="27"/>
      <c r="H24" s="27"/>
      <c r="I24" s="27"/>
      <c r="J24" s="27"/>
    </row>
    <row r="25" spans="1:10" ht="16.5" customHeight="1" x14ac:dyDescent="0.25">
      <c r="A25" s="25">
        <v>22</v>
      </c>
      <c r="B25" s="26"/>
      <c r="C25" s="27"/>
      <c r="D25" s="27"/>
      <c r="E25" s="27"/>
      <c r="F25" s="27"/>
      <c r="G25" s="27"/>
      <c r="H25" s="27"/>
      <c r="I25" s="27"/>
      <c r="J25" s="27"/>
    </row>
    <row r="26" spans="1:10" ht="16.5" customHeight="1" x14ac:dyDescent="0.25">
      <c r="A26" s="25">
        <v>23</v>
      </c>
      <c r="B26" s="26"/>
      <c r="C26" s="27"/>
      <c r="D26" s="27"/>
      <c r="E26" s="27"/>
      <c r="F26" s="27"/>
      <c r="G26" s="27"/>
      <c r="H26" s="27"/>
      <c r="I26" s="27"/>
      <c r="J26" s="27"/>
    </row>
    <row r="27" spans="1:10" ht="16.5" customHeight="1" x14ac:dyDescent="0.25">
      <c r="A27" s="25">
        <v>24</v>
      </c>
      <c r="B27" s="26"/>
      <c r="C27" s="27"/>
      <c r="D27" s="27"/>
      <c r="E27" s="27"/>
      <c r="F27" s="27"/>
      <c r="G27" s="27"/>
      <c r="H27" s="27"/>
      <c r="I27" s="27"/>
      <c r="J27" s="27"/>
    </row>
    <row r="28" spans="1:10" ht="16.5" customHeight="1" x14ac:dyDescent="0.25">
      <c r="A28" s="25">
        <v>25</v>
      </c>
      <c r="B28" s="26"/>
      <c r="C28" s="27"/>
      <c r="D28" s="27"/>
      <c r="E28" s="27"/>
      <c r="F28" s="27"/>
      <c r="G28" s="27"/>
      <c r="H28" s="27"/>
      <c r="I28" s="27"/>
      <c r="J28" s="27"/>
    </row>
    <row r="29" spans="1:10" ht="15" customHeight="1" x14ac:dyDescent="0.25"/>
  </sheetData>
  <dataValidations count="1">
    <dataValidation type="list" allowBlank="1" sqref="I4:I28" xr:uid="{00000000-0002-0000-0400-000000000000}">
      <formula1>"Kept,Rejected,Partly kept"</formula1>
      <formula2>0</formula2>
    </dataValidation>
  </dataValidations>
  <hyperlinks>
    <hyperlink ref="J4" r:id="rId1" xr:uid="{00000000-0004-0000-0400-000000000000}"/>
    <hyperlink ref="J5" r:id="rId2" xr:uid="{00000000-0004-0000-0400-000001000000}"/>
    <hyperlink ref="J6" r:id="rId3" xr:uid="{00000000-0004-0000-0400-000002000000}"/>
    <hyperlink ref="J7" r:id="rId4" xr:uid="{00000000-0004-0000-0400-000003000000}"/>
    <hyperlink ref="J8" r:id="rId5" xr:uid="{00000000-0004-0000-0400-000004000000}"/>
    <hyperlink ref="J9" r:id="rId6" xr:uid="{00000000-0004-0000-0400-000005000000}"/>
    <hyperlink ref="J10" r:id="rId7" xr:uid="{00000000-0004-0000-0400-000006000000}"/>
    <hyperlink ref="J11" r:id="rId8" xr:uid="{00000000-0004-0000-0400-000007000000}"/>
    <hyperlink ref="J12" r:id="rId9" xr:uid="{00000000-0004-0000-0400-000008000000}"/>
    <hyperlink ref="J13" r:id="rId10" xr:uid="{00000000-0004-0000-0400-000009000000}"/>
    <hyperlink ref="J14" r:id="rId11" xr:uid="{00000000-0004-0000-0400-00000A000000}"/>
    <hyperlink ref="J15" r:id="rId12" xr:uid="{00000000-0004-0000-0400-00000B000000}"/>
    <hyperlink ref="J16" r:id="rId13" xr:uid="{00000000-0004-0000-0400-00000C000000}"/>
    <hyperlink ref="J17" r:id="rId14" xr:uid="{00000000-0004-0000-0400-00000D000000}"/>
    <hyperlink ref="J18" r:id="rId15" xr:uid="{00000000-0004-0000-0400-00000E000000}"/>
    <hyperlink ref="J19" r:id="rId16" xr:uid="{00000000-0004-0000-0400-00000F000000}"/>
  </hyperlink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58"/>
  <sheetViews>
    <sheetView zoomScale="63" zoomScaleNormal="63" workbookViewId="0">
      <pane ySplit="3" topLeftCell="A23" activePane="bottomLeft" state="frozen"/>
      <selection pane="bottomLeft" activeCell="B7" sqref="B7"/>
    </sheetView>
  </sheetViews>
  <sheetFormatPr defaultColWidth="8.6328125" defaultRowHeight="12.5" x14ac:dyDescent="0.25"/>
  <cols>
    <col min="1" max="1" width="42" customWidth="1"/>
    <col min="2" max="3" width="20" customWidth="1"/>
    <col min="4" max="4" width="26" customWidth="1"/>
    <col min="5" max="5" width="70" customWidth="1"/>
  </cols>
  <sheetData>
    <row r="1" spans="1:5" ht="15.75" customHeight="1" x14ac:dyDescent="0.35">
      <c r="A1" s="29" t="s">
        <v>773</v>
      </c>
    </row>
    <row r="2" spans="1:5" ht="15" customHeight="1" x14ac:dyDescent="0.25">
      <c r="A2" s="30" t="s">
        <v>774</v>
      </c>
    </row>
    <row r="4" spans="1:5" ht="15" customHeight="1" x14ac:dyDescent="0.3">
      <c r="A4" s="31" t="s">
        <v>775</v>
      </c>
    </row>
    <row r="5" spans="1:5" ht="30" customHeight="1" x14ac:dyDescent="0.25">
      <c r="A5" s="32" t="s">
        <v>776</v>
      </c>
      <c r="B5" s="32" t="s">
        <v>777</v>
      </c>
      <c r="C5" s="32" t="s">
        <v>778</v>
      </c>
      <c r="D5" s="32" t="s">
        <v>779</v>
      </c>
      <c r="E5" s="32" t="s">
        <v>780</v>
      </c>
    </row>
    <row r="6" spans="1:5" ht="15" customHeight="1" x14ac:dyDescent="0.25">
      <c r="A6" s="33" t="s">
        <v>88</v>
      </c>
      <c r="B6" s="34">
        <v>7000</v>
      </c>
      <c r="C6" s="34">
        <v>4500</v>
      </c>
      <c r="D6" s="33" t="s">
        <v>83</v>
      </c>
      <c r="E6" s="35" t="s">
        <v>781</v>
      </c>
    </row>
    <row r="7" spans="1:5" ht="15" customHeight="1" x14ac:dyDescent="0.25">
      <c r="A7" s="33" t="s">
        <v>94</v>
      </c>
      <c r="B7" s="34">
        <v>7000</v>
      </c>
      <c r="C7" s="34">
        <v>4500</v>
      </c>
      <c r="D7" s="33" t="s">
        <v>83</v>
      </c>
      <c r="E7" s="35" t="s">
        <v>782</v>
      </c>
    </row>
    <row r="8" spans="1:5" ht="15" customHeight="1" x14ac:dyDescent="0.25">
      <c r="A8" s="33" t="s">
        <v>79</v>
      </c>
      <c r="B8" s="34">
        <v>10000</v>
      </c>
      <c r="C8" s="34">
        <v>6500</v>
      </c>
      <c r="D8" s="33" t="s">
        <v>83</v>
      </c>
      <c r="E8" s="35"/>
    </row>
    <row r="9" spans="1:5" ht="15" customHeight="1" x14ac:dyDescent="0.25">
      <c r="A9" s="33" t="s">
        <v>190</v>
      </c>
      <c r="B9" s="34">
        <v>14000</v>
      </c>
      <c r="C9" s="34">
        <v>9000</v>
      </c>
      <c r="D9" s="33" t="s">
        <v>90</v>
      </c>
      <c r="E9" s="35" t="s">
        <v>783</v>
      </c>
    </row>
    <row r="10" spans="1:5" ht="15" customHeight="1" x14ac:dyDescent="0.25">
      <c r="A10" s="33" t="s">
        <v>105</v>
      </c>
      <c r="B10" s="34">
        <v>14000</v>
      </c>
      <c r="C10" s="34">
        <v>9000</v>
      </c>
      <c r="D10" s="33" t="s">
        <v>90</v>
      </c>
      <c r="E10" s="35"/>
    </row>
    <row r="12" spans="1:5" ht="15" customHeight="1" x14ac:dyDescent="0.3">
      <c r="A12" s="31" t="s">
        <v>784</v>
      </c>
    </row>
    <row r="13" spans="1:5" ht="15" customHeight="1" x14ac:dyDescent="0.25">
      <c r="A13" s="32" t="s">
        <v>785</v>
      </c>
      <c r="B13" s="32" t="s">
        <v>786</v>
      </c>
      <c r="C13" s="32" t="s">
        <v>780</v>
      </c>
    </row>
    <row r="14" spans="1:5" ht="15" customHeight="1" x14ac:dyDescent="0.25">
      <c r="A14" s="35" t="str">
        <f>Lbl_Metro</f>
        <v>Metro</v>
      </c>
      <c r="B14" s="34">
        <v>1200</v>
      </c>
      <c r="C14" s="35" t="s">
        <v>787</v>
      </c>
    </row>
    <row r="15" spans="1:5" ht="15" customHeight="1" x14ac:dyDescent="0.25">
      <c r="A15" s="35" t="str">
        <f>Lbl_NonMetro</f>
        <v>Non-metro</v>
      </c>
      <c r="B15" s="34">
        <v>900</v>
      </c>
      <c r="C15" s="35" t="s">
        <v>788</v>
      </c>
    </row>
    <row r="17" spans="1:4" ht="15" customHeight="1" x14ac:dyDescent="0.3">
      <c r="A17" s="31" t="s">
        <v>789</v>
      </c>
    </row>
    <row r="18" spans="1:4" ht="15" customHeight="1" x14ac:dyDescent="0.25">
      <c r="A18" s="32" t="s">
        <v>790</v>
      </c>
      <c r="B18" s="32" t="s">
        <v>791</v>
      </c>
      <c r="C18" s="32" t="s">
        <v>792</v>
      </c>
      <c r="D18" s="32" t="s">
        <v>780</v>
      </c>
    </row>
    <row r="19" spans="1:4" ht="15" customHeight="1" x14ac:dyDescent="0.25">
      <c r="A19" s="35" t="s">
        <v>793</v>
      </c>
      <c r="B19" s="34">
        <v>7</v>
      </c>
      <c r="C19" s="35" t="s">
        <v>637</v>
      </c>
      <c r="D19" s="35" t="s">
        <v>794</v>
      </c>
    </row>
    <row r="20" spans="1:4" ht="15" customHeight="1" x14ac:dyDescent="0.25">
      <c r="A20" s="35" t="s">
        <v>795</v>
      </c>
      <c r="B20" s="34">
        <v>500</v>
      </c>
      <c r="C20" s="35" t="s">
        <v>657</v>
      </c>
      <c r="D20" s="35" t="s">
        <v>796</v>
      </c>
    </row>
    <row r="21" spans="1:4" ht="15" customHeight="1" x14ac:dyDescent="0.25">
      <c r="A21" s="35" t="s">
        <v>797</v>
      </c>
      <c r="B21" s="34">
        <v>15</v>
      </c>
      <c r="C21" s="35" t="s">
        <v>660</v>
      </c>
      <c r="D21" s="35" t="s">
        <v>798</v>
      </c>
    </row>
    <row r="22" spans="1:4" ht="15" customHeight="1" x14ac:dyDescent="0.25">
      <c r="A22" s="35" t="s">
        <v>799</v>
      </c>
      <c r="B22" s="34">
        <v>60</v>
      </c>
      <c r="C22" s="35" t="s">
        <v>660</v>
      </c>
      <c r="D22" s="35" t="s">
        <v>800</v>
      </c>
    </row>
    <row r="24" spans="1:4" ht="15" customHeight="1" x14ac:dyDescent="0.3">
      <c r="A24" s="31" t="s">
        <v>801</v>
      </c>
    </row>
    <row r="25" spans="1:4" ht="15" customHeight="1" x14ac:dyDescent="0.25">
      <c r="A25" s="32" t="s">
        <v>802</v>
      </c>
      <c r="B25" s="32" t="s">
        <v>791</v>
      </c>
    </row>
    <row r="26" spans="1:4" ht="15" customHeight="1" x14ac:dyDescent="0.25">
      <c r="A26" s="35" t="s">
        <v>803</v>
      </c>
      <c r="B26" s="33" t="s">
        <v>111</v>
      </c>
    </row>
    <row r="27" spans="1:4" ht="15" customHeight="1" x14ac:dyDescent="0.25">
      <c r="A27" s="35" t="s">
        <v>804</v>
      </c>
      <c r="B27" s="33" t="s">
        <v>89</v>
      </c>
    </row>
    <row r="28" spans="1:4" ht="15" customHeight="1" x14ac:dyDescent="0.25">
      <c r="A28" s="35" t="s">
        <v>805</v>
      </c>
      <c r="B28" s="33" t="s">
        <v>80</v>
      </c>
    </row>
    <row r="29" spans="1:4" ht="15" customHeight="1" x14ac:dyDescent="0.25">
      <c r="A29" s="35" t="s">
        <v>806</v>
      </c>
      <c r="B29" s="33" t="s">
        <v>106</v>
      </c>
    </row>
    <row r="30" spans="1:4" ht="15" customHeight="1" x14ac:dyDescent="0.25">
      <c r="A30" s="35" t="s">
        <v>807</v>
      </c>
      <c r="B30" s="33" t="s">
        <v>97</v>
      </c>
    </row>
    <row r="31" spans="1:4" ht="15" customHeight="1" x14ac:dyDescent="0.25">
      <c r="A31" s="35" t="s">
        <v>808</v>
      </c>
      <c r="B31" s="33" t="s">
        <v>82</v>
      </c>
    </row>
    <row r="32" spans="1:4" ht="15" customHeight="1" x14ac:dyDescent="0.25">
      <c r="A32" s="35" t="s">
        <v>809</v>
      </c>
      <c r="B32" s="33" t="s">
        <v>266</v>
      </c>
    </row>
    <row r="33" spans="1:3" ht="15" customHeight="1" x14ac:dyDescent="0.25">
      <c r="A33" s="35" t="s">
        <v>810</v>
      </c>
      <c r="B33" s="33" t="s">
        <v>83</v>
      </c>
    </row>
    <row r="34" spans="1:3" ht="15" customHeight="1" x14ac:dyDescent="0.25">
      <c r="A34" s="35" t="s">
        <v>811</v>
      </c>
      <c r="B34" s="33" t="s">
        <v>83</v>
      </c>
    </row>
    <row r="35" spans="1:3" ht="15" customHeight="1" x14ac:dyDescent="0.25">
      <c r="A35" s="35" t="s">
        <v>812</v>
      </c>
      <c r="B35" s="33" t="s">
        <v>812</v>
      </c>
    </row>
    <row r="36" spans="1:3" ht="15" customHeight="1" x14ac:dyDescent="0.25">
      <c r="A36" s="35" t="s">
        <v>813</v>
      </c>
      <c r="B36" s="33" t="s">
        <v>813</v>
      </c>
    </row>
    <row r="37" spans="1:3" ht="15" customHeight="1" x14ac:dyDescent="0.25">
      <c r="A37" s="35" t="s">
        <v>814</v>
      </c>
      <c r="B37" s="33" t="s">
        <v>815</v>
      </c>
    </row>
    <row r="38" spans="1:3" ht="15" customHeight="1" x14ac:dyDescent="0.25">
      <c r="A38" s="35" t="s">
        <v>816</v>
      </c>
      <c r="B38" s="33" t="s">
        <v>817</v>
      </c>
    </row>
    <row r="39" spans="1:3" ht="15" customHeight="1" x14ac:dyDescent="0.25">
      <c r="A39" s="35" t="s">
        <v>818</v>
      </c>
      <c r="B39" s="33" t="s">
        <v>819</v>
      </c>
    </row>
    <row r="40" spans="1:3" ht="15" customHeight="1" x14ac:dyDescent="0.25">
      <c r="A40" s="35" t="s">
        <v>820</v>
      </c>
      <c r="B40" s="33" t="s">
        <v>821</v>
      </c>
    </row>
    <row r="41" spans="1:3" ht="15" customHeight="1" x14ac:dyDescent="0.25">
      <c r="A41" s="35" t="s">
        <v>822</v>
      </c>
      <c r="B41" s="33" t="s">
        <v>823</v>
      </c>
    </row>
    <row r="43" spans="1:3" ht="15" customHeight="1" x14ac:dyDescent="0.3">
      <c r="A43" s="31" t="s">
        <v>824</v>
      </c>
    </row>
    <row r="44" spans="1:3" ht="15" customHeight="1" x14ac:dyDescent="0.25">
      <c r="A44" s="32" t="s">
        <v>825</v>
      </c>
      <c r="B44" s="32" t="s">
        <v>826</v>
      </c>
      <c r="C44" s="32" t="s">
        <v>780</v>
      </c>
    </row>
    <row r="45" spans="1:3" ht="15" customHeight="1" x14ac:dyDescent="0.25">
      <c r="A45" s="33" t="s">
        <v>634</v>
      </c>
      <c r="B45" s="35" t="str">
        <f>Lbl_Definite</f>
        <v>Definite</v>
      </c>
      <c r="C45" s="35" t="s">
        <v>827</v>
      </c>
    </row>
    <row r="46" spans="1:3" ht="15" customHeight="1" x14ac:dyDescent="0.25">
      <c r="A46" s="33" t="s">
        <v>637</v>
      </c>
      <c r="B46" s="35" t="str">
        <f>Lbl_Assumption</f>
        <v>Assumption-based</v>
      </c>
      <c r="C46" s="35" t="s">
        <v>828</v>
      </c>
    </row>
    <row r="47" spans="1:3" ht="15" customHeight="1" x14ac:dyDescent="0.25">
      <c r="A47" s="33" t="s">
        <v>643</v>
      </c>
      <c r="B47" s="35" t="str">
        <f>Lbl_Assumption</f>
        <v>Assumption-based</v>
      </c>
      <c r="C47" s="35" t="s">
        <v>829</v>
      </c>
    </row>
    <row r="48" spans="1:3" ht="15" customHeight="1" x14ac:dyDescent="0.25">
      <c r="A48" s="33" t="s">
        <v>646</v>
      </c>
      <c r="B48" s="35" t="str">
        <f>Lbl_Assumption</f>
        <v>Assumption-based</v>
      </c>
      <c r="C48" s="35" t="s">
        <v>829</v>
      </c>
    </row>
    <row r="49" spans="1:3" ht="15" customHeight="1" x14ac:dyDescent="0.25">
      <c r="A49" s="33" t="s">
        <v>649</v>
      </c>
      <c r="B49" s="35" t="str">
        <f>Lbl_Assumption</f>
        <v>Assumption-based</v>
      </c>
      <c r="C49" s="35" t="s">
        <v>830</v>
      </c>
    </row>
    <row r="50" spans="1:3" ht="15" customHeight="1" x14ac:dyDescent="0.25">
      <c r="A50" s="33" t="s">
        <v>655</v>
      </c>
      <c r="B50" s="35" t="str">
        <f>Lbl_Definite</f>
        <v>Definite</v>
      </c>
      <c r="C50" s="35"/>
    </row>
    <row r="51" spans="1:3" ht="15" customHeight="1" x14ac:dyDescent="0.25">
      <c r="A51" s="33" t="s">
        <v>657</v>
      </c>
      <c r="B51" s="35" t="str">
        <f>Lbl_Definite</f>
        <v>Definite</v>
      </c>
      <c r="C51" s="35"/>
    </row>
    <row r="52" spans="1:3" ht="15" customHeight="1" x14ac:dyDescent="0.25">
      <c r="A52" s="33" t="s">
        <v>660</v>
      </c>
      <c r="B52" s="35" t="str">
        <f>Lbl_Definite</f>
        <v>Definite</v>
      </c>
      <c r="C52" s="35" t="s">
        <v>831</v>
      </c>
    </row>
    <row r="54" spans="1:3" ht="15" customHeight="1" x14ac:dyDescent="0.3">
      <c r="A54" s="31" t="s">
        <v>832</v>
      </c>
    </row>
    <row r="55" spans="1:3" ht="15" customHeight="1" x14ac:dyDescent="0.25">
      <c r="A55" s="32" t="s">
        <v>802</v>
      </c>
      <c r="B55" s="32" t="s">
        <v>791</v>
      </c>
    </row>
    <row r="56" spans="1:3" ht="15" customHeight="1" x14ac:dyDescent="0.25">
      <c r="A56" s="36" t="s">
        <v>833</v>
      </c>
      <c r="B56" s="37" t="s">
        <v>834</v>
      </c>
    </row>
    <row r="57" spans="1:3" ht="15" customHeight="1" x14ac:dyDescent="0.25">
      <c r="A57" s="36" t="s">
        <v>835</v>
      </c>
      <c r="B57" s="37" t="s">
        <v>836</v>
      </c>
    </row>
    <row r="58" spans="1:3" ht="15" customHeight="1" x14ac:dyDescent="0.25">
      <c r="A58" s="36" t="s">
        <v>837</v>
      </c>
      <c r="B58" s="37" t="s">
        <v>838</v>
      </c>
    </row>
  </sheetData>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filterMode="1"/>
  <dimension ref="A1:W416"/>
  <sheetViews>
    <sheetView zoomScale="73" zoomScaleNormal="73" workbookViewId="0">
      <pane xSplit="1" ySplit="5" topLeftCell="B6" activePane="bottomRight" state="frozen"/>
      <selection pane="topRight" activeCell="B1" sqref="B1"/>
      <selection pane="bottomLeft" activeCell="A6" sqref="A6"/>
      <selection pane="bottomRight" activeCell="B6" sqref="B6"/>
    </sheetView>
  </sheetViews>
  <sheetFormatPr defaultColWidth="8.6328125" defaultRowHeight="12.5" x14ac:dyDescent="0.25"/>
  <cols>
    <col min="1" max="1" width="11" customWidth="1"/>
    <col min="2" max="2" width="7" customWidth="1"/>
    <col min="3" max="3" width="20" customWidth="1"/>
    <col min="4" max="5" width="11" customWidth="1"/>
    <col min="6" max="6" width="10" customWidth="1"/>
    <col min="7" max="7" width="14" customWidth="1"/>
    <col min="8" max="8" width="11" customWidth="1"/>
    <col min="9" max="9" width="9" customWidth="1"/>
    <col min="10" max="17" width="10" customWidth="1"/>
    <col min="18" max="18" width="11" customWidth="1"/>
    <col min="19" max="19" width="26" customWidth="1"/>
    <col min="20" max="20" width="11" customWidth="1"/>
    <col min="21" max="21" width="16" customWidth="1"/>
    <col min="22" max="22" width="14" customWidth="1"/>
    <col min="23" max="23" width="16" customWidth="1"/>
  </cols>
  <sheetData>
    <row r="1" spans="1:23" ht="15.75" customHeight="1" x14ac:dyDescent="0.35">
      <c r="A1" s="29" t="s">
        <v>839</v>
      </c>
    </row>
    <row r="2" spans="1:23" ht="15" customHeight="1" x14ac:dyDescent="0.25">
      <c r="A2" s="30" t="s">
        <v>840</v>
      </c>
    </row>
    <row r="4" spans="1:23" ht="25.5" customHeight="1" x14ac:dyDescent="0.3">
      <c r="I4" s="38" t="s">
        <v>841</v>
      </c>
      <c r="J4" s="39" t="str">
        <f t="shared" ref="J4:Q4" si="0">INDEX(Rule_Basis,MATCH(J5,Rule_IDs,0))</f>
        <v>Definite</v>
      </c>
      <c r="K4" s="39" t="str">
        <f t="shared" si="0"/>
        <v>Assumption-based</v>
      </c>
      <c r="L4" s="39" t="str">
        <f t="shared" si="0"/>
        <v>Assumption-based</v>
      </c>
      <c r="M4" s="39" t="str">
        <f t="shared" si="0"/>
        <v>Assumption-based</v>
      </c>
      <c r="N4" s="39" t="str">
        <f t="shared" si="0"/>
        <v>Assumption-based</v>
      </c>
      <c r="O4" s="39" t="str">
        <f t="shared" si="0"/>
        <v>Definite</v>
      </c>
      <c r="P4" s="39" t="str">
        <f t="shared" si="0"/>
        <v>Definite</v>
      </c>
      <c r="Q4" s="39" t="str">
        <f t="shared" si="0"/>
        <v>Definite</v>
      </c>
    </row>
    <row r="5" spans="1:23" ht="42" customHeight="1" x14ac:dyDescent="0.25">
      <c r="A5" s="32" t="s">
        <v>62</v>
      </c>
      <c r="B5" s="32" t="s">
        <v>65</v>
      </c>
      <c r="C5" s="32" t="s">
        <v>66</v>
      </c>
      <c r="D5" s="32" t="s">
        <v>68</v>
      </c>
      <c r="E5" s="32" t="s">
        <v>69</v>
      </c>
      <c r="F5" s="32" t="s">
        <v>72</v>
      </c>
      <c r="G5" s="32" t="s">
        <v>74</v>
      </c>
      <c r="H5" s="32" t="s">
        <v>75</v>
      </c>
      <c r="I5" s="32" t="s">
        <v>842</v>
      </c>
      <c r="J5" s="32" t="str">
        <f>Parameters!$A$45</f>
        <v>TP-01</v>
      </c>
      <c r="K5" s="32" t="str">
        <f>Parameters!$A$46</f>
        <v>TP-02</v>
      </c>
      <c r="L5" s="32" t="str">
        <f>Parameters!$A$47</f>
        <v>TP-04</v>
      </c>
      <c r="M5" s="32" t="str">
        <f>Parameters!$A$48</f>
        <v>TP-05</v>
      </c>
      <c r="N5" s="32" t="str">
        <f>Parameters!$A$49</f>
        <v>TP-06</v>
      </c>
      <c r="O5" s="32" t="str">
        <f>Parameters!$A$50</f>
        <v>TP-08</v>
      </c>
      <c r="P5" s="32" t="str">
        <f>Parameters!$A$51</f>
        <v>TP-09</v>
      </c>
      <c r="Q5" s="32" t="str">
        <f>Parameters!$A$52</f>
        <v>TP-10</v>
      </c>
      <c r="R5" s="32" t="s">
        <v>843</v>
      </c>
      <c r="S5" s="32" t="s">
        <v>844</v>
      </c>
      <c r="T5" s="32" t="s">
        <v>845</v>
      </c>
      <c r="U5" s="32" t="s">
        <v>826</v>
      </c>
      <c r="V5" s="32" t="s">
        <v>846</v>
      </c>
      <c r="W5" s="32" t="s">
        <v>847</v>
      </c>
    </row>
    <row r="6" spans="1:23" ht="15" hidden="1" customHeight="1" x14ac:dyDescent="0.25">
      <c r="A6" s="36" t="str">
        <f>Claims!A2</f>
        <v>EXP00001</v>
      </c>
      <c r="B6" s="36" t="str">
        <f>Claims!D2</f>
        <v>M3</v>
      </c>
      <c r="C6" s="36" t="str">
        <f>Claims!E2</f>
        <v>Meals/DA</v>
      </c>
      <c r="D6" s="36" t="str">
        <f>Claims!G2</f>
        <v>Non-metro</v>
      </c>
      <c r="E6" s="40">
        <f>Claims!H2</f>
        <v>1358</v>
      </c>
      <c r="F6" s="36" t="str">
        <f>Claims!K2</f>
        <v>No</v>
      </c>
      <c r="G6" s="36" t="str">
        <f>IF(Claims!M2="","",Claims!M2)</f>
        <v/>
      </c>
      <c r="H6" s="36" t="str">
        <f>IF(Claims!N2="","",Claims!N2)</f>
        <v/>
      </c>
      <c r="I6" s="41">
        <f>Claims!J2-Claims!I2</f>
        <v>2</v>
      </c>
      <c r="J6" s="42" t="str">
        <f t="shared" ref="J6:J69" si="1">IF(C6=Lbl_Flight,IF(AND(H6=Lbl_Business,INDEX(Biz_Permitted,MATCH(B6,Caps_Grade,0))=Lbl_BizNo),Lbl_Viol,Lbl_Comp),Lbl_NA)</f>
        <v>n/a</v>
      </c>
      <c r="K6" s="42" t="str">
        <f t="shared" ref="K6:K69" si="2">IF(C6=Lbl_Flight,IF(G6&lt;Min_Days_Booked,Lbl_Viol,Lbl_Comp),Lbl_NA)</f>
        <v>n/a</v>
      </c>
      <c r="L6" s="42" t="str">
        <f t="shared" ref="L6:L69" si="3">IF(AND(C6=Lbl_Hotel,D6=Lbl_Metro),IF(E6&gt;INDEX(Caps_Metro,MATCH(B6,Caps_Grade,0)),Lbl_Viol,Lbl_Comp),Lbl_NA)</f>
        <v>n/a</v>
      </c>
      <c r="M6" s="42" t="str">
        <f t="shared" ref="M6:M69" si="4">IF(AND(C6=Lbl_Hotel,D6=Lbl_NonMetro),IF(E6&gt;INDEX(Caps_NonMetro,MATCH(B6,Caps_Grade,0)),Lbl_Viol,Lbl_Comp),Lbl_NA)</f>
        <v>n/a</v>
      </c>
      <c r="N6" s="42" t="str">
        <f t="shared" ref="N6:N69" si="5">IF(C6=Lbl_Meals,IF(E6&gt;IF(D6=Lbl_Metro,Limit_Metro,Limit_NonMetro),Lbl_Viol,Lbl_Comp),Lbl_NA)</f>
        <v>Violation</v>
      </c>
      <c r="O6" s="42" t="str">
        <f t="shared" ref="O6:O69" si="6">IF(C6=Lbl_Alcohol,Lbl_Viol,Lbl_NA)</f>
        <v>n/a</v>
      </c>
      <c r="P6" s="42" t="str">
        <f t="shared" ref="P6:P69" si="7">IF(AND(F6=Lbl_NoReceipt,E6&gt;Receipt_Threshold),Lbl_Viol,Lbl_Comp)</f>
        <v>Violation</v>
      </c>
      <c r="Q6" s="42" t="str">
        <f t="shared" ref="Q6:Q69" si="8">IF(I6&gt;Late_Days,Lbl_Viol,Lbl_Comp)</f>
        <v>Compliant</v>
      </c>
      <c r="R6" s="42" t="str">
        <f t="shared" ref="R6:R69" si="9">IF(COUNTIF(J6:Q6,Lbl_Viol)&gt;0,Lbl_Viol,Lbl_Comp)</f>
        <v>Violation</v>
      </c>
      <c r="S6" s="36" t="str">
        <f t="shared" ref="S6:S69" si="10">_xlfn.TEXTJOIN(", ",TRUE(),IF(J6=Lbl_Viol,J$5,""),IF(K6=Lbl_Viol,K$5,""),IF(L6=Lbl_Viol,L$5,""),IF(M6=Lbl_Viol,M$5,""),IF(N6=Lbl_Viol,N$5,""),IF(O6=Lbl_Viol,O$5,""),IF(P6=Lbl_Viol,P$5,""),IF(Q6=Lbl_Viol,Q$5,""))</f>
        <v>TP-06, TP-09</v>
      </c>
      <c r="T6" s="42" t="str">
        <f t="shared" ref="T6:T69" si="11">IF(Q6=Lbl_Viol,IF(I6&gt;Expired_Days,Lbl_Expired,Lbl_Late),"")</f>
        <v/>
      </c>
      <c r="U6" s="42" t="str">
        <f t="shared" ref="U6:U69" si="12">IF(R6=Lbl_Comp,"",IF(SUMPRODUCT((J6:Q6=Lbl_Viol)*(J$4:Q$4=Lbl_Definite))&gt;0,Lbl_Definite,Lbl_Assumption))</f>
        <v>Definite</v>
      </c>
      <c r="V6" s="42">
        <f t="shared" ref="V6:V69" si="13">IF(L6=Lbl_Viol,ROUNDUP(E6/INDEX(Caps_Metro,MATCH(B6,Caps_Grade,0)),0),IF(M6=Lbl_Viol,ROUNDUP(E6/INDEX(Caps_NonMetro,MATCH(B6,Caps_Grade,0)),0),IF(N6=Lbl_Viol,ROUNDUP(E6/IF(D6=Lbl_Metro,Limit_Metro,Limit_NonMetro),0),"")))</f>
        <v>2</v>
      </c>
      <c r="W6" s="42" t="str">
        <f t="shared" ref="W6:W69" si="14">IF(OR(L6=Lbl_Viol,M6=Lbl_Viol),Lbl_NeedNights,IF(N6=Lbl_Viol,Lbl_NeedDays,IF(K6=Lbl_Viol,Lbl_NeedApproval,"")))</f>
        <v>Needs days</v>
      </c>
    </row>
    <row r="7" spans="1:23" ht="15" hidden="1" customHeight="1" x14ac:dyDescent="0.25">
      <c r="A7" s="36" t="str">
        <f>Claims!A3</f>
        <v>EXP00002</v>
      </c>
      <c r="B7" s="36" t="str">
        <f>Claims!D3</f>
        <v>M1</v>
      </c>
      <c r="C7" s="36" t="str">
        <f>Claims!E3</f>
        <v>Hotel</v>
      </c>
      <c r="D7" s="36" t="str">
        <f>Claims!G3</f>
        <v>Non-metro</v>
      </c>
      <c r="E7" s="40">
        <f>Claims!H3</f>
        <v>8815</v>
      </c>
      <c r="F7" s="36" t="str">
        <f>Claims!K3</f>
        <v>Yes</v>
      </c>
      <c r="G7" s="36" t="str">
        <f>IF(Claims!M3="","",Claims!M3)</f>
        <v/>
      </c>
      <c r="H7" s="36" t="str">
        <f>IF(Claims!N3="","",Claims!N3)</f>
        <v/>
      </c>
      <c r="I7" s="41">
        <f>Claims!J3-Claims!I3</f>
        <v>5</v>
      </c>
      <c r="J7" s="42" t="str">
        <f t="shared" si="1"/>
        <v>n/a</v>
      </c>
      <c r="K7" s="42" t="str">
        <f t="shared" si="2"/>
        <v>n/a</v>
      </c>
      <c r="L7" s="42" t="str">
        <f t="shared" si="3"/>
        <v>n/a</v>
      </c>
      <c r="M7" s="42" t="str">
        <f t="shared" si="4"/>
        <v>Violation</v>
      </c>
      <c r="N7" s="42" t="str">
        <f t="shared" si="5"/>
        <v>n/a</v>
      </c>
      <c r="O7" s="42" t="str">
        <f t="shared" si="6"/>
        <v>n/a</v>
      </c>
      <c r="P7" s="42" t="str">
        <f t="shared" si="7"/>
        <v>Compliant</v>
      </c>
      <c r="Q7" s="42" t="str">
        <f t="shared" si="8"/>
        <v>Compliant</v>
      </c>
      <c r="R7" s="42" t="str">
        <f t="shared" si="9"/>
        <v>Violation</v>
      </c>
      <c r="S7" s="36" t="str">
        <f t="shared" si="10"/>
        <v>TP-05</v>
      </c>
      <c r="T7" s="42" t="str">
        <f t="shared" si="11"/>
        <v/>
      </c>
      <c r="U7" s="42" t="str">
        <f t="shared" si="12"/>
        <v>Assumption-based</v>
      </c>
      <c r="V7" s="42">
        <f t="shared" si="13"/>
        <v>2</v>
      </c>
      <c r="W7" s="42" t="str">
        <f t="shared" si="14"/>
        <v>Needs nights</v>
      </c>
    </row>
    <row r="8" spans="1:23" ht="15" hidden="1" customHeight="1" x14ac:dyDescent="0.25">
      <c r="A8" s="36" t="str">
        <f>Claims!A4</f>
        <v>EXP00003</v>
      </c>
      <c r="B8" s="36" t="str">
        <f>Claims!D4</f>
        <v>M2</v>
      </c>
      <c r="C8" s="36" t="str">
        <f>Claims!E4</f>
        <v>Local Cab</v>
      </c>
      <c r="D8" s="36" t="str">
        <f>Claims!G4</f>
        <v>Metro</v>
      </c>
      <c r="E8" s="40">
        <f>Claims!H4</f>
        <v>1354</v>
      </c>
      <c r="F8" s="36" t="str">
        <f>Claims!K4</f>
        <v>No</v>
      </c>
      <c r="G8" s="36" t="str">
        <f>IF(Claims!M4="","",Claims!M4)</f>
        <v/>
      </c>
      <c r="H8" s="36" t="str">
        <f>IF(Claims!N4="","",Claims!N4)</f>
        <v/>
      </c>
      <c r="I8" s="41">
        <f>Claims!J4-Claims!I4</f>
        <v>70</v>
      </c>
      <c r="J8" s="42" t="str">
        <f t="shared" si="1"/>
        <v>n/a</v>
      </c>
      <c r="K8" s="42" t="str">
        <f t="shared" si="2"/>
        <v>n/a</v>
      </c>
      <c r="L8" s="42" t="str">
        <f t="shared" si="3"/>
        <v>n/a</v>
      </c>
      <c r="M8" s="42" t="str">
        <f t="shared" si="4"/>
        <v>n/a</v>
      </c>
      <c r="N8" s="42" t="str">
        <f t="shared" si="5"/>
        <v>n/a</v>
      </c>
      <c r="O8" s="42" t="str">
        <f t="shared" si="6"/>
        <v>n/a</v>
      </c>
      <c r="P8" s="42" t="str">
        <f t="shared" si="7"/>
        <v>Violation</v>
      </c>
      <c r="Q8" s="42" t="str">
        <f t="shared" si="8"/>
        <v>Violation</v>
      </c>
      <c r="R8" s="42" t="str">
        <f t="shared" si="9"/>
        <v>Violation</v>
      </c>
      <c r="S8" s="36" t="str">
        <f t="shared" si="10"/>
        <v>TP-09, TP-10</v>
      </c>
      <c r="T8" s="42" t="str">
        <f t="shared" si="11"/>
        <v>Expired</v>
      </c>
      <c r="U8" s="42" t="str">
        <f t="shared" si="12"/>
        <v>Definite</v>
      </c>
      <c r="V8" s="42" t="str">
        <f t="shared" si="13"/>
        <v/>
      </c>
      <c r="W8" s="42" t="str">
        <f t="shared" si="14"/>
        <v/>
      </c>
    </row>
    <row r="9" spans="1:23" ht="15" hidden="1" customHeight="1" x14ac:dyDescent="0.25">
      <c r="A9" s="36" t="str">
        <f>Claims!A5</f>
        <v>EXP00004</v>
      </c>
      <c r="B9" s="36" t="str">
        <f>Claims!D5</f>
        <v>M1</v>
      </c>
      <c r="C9" s="36" t="str">
        <f>Claims!E5</f>
        <v>Hotel</v>
      </c>
      <c r="D9" s="36" t="str">
        <f>Claims!G5</f>
        <v>Metro</v>
      </c>
      <c r="E9" s="40">
        <f>Claims!H5</f>
        <v>8155</v>
      </c>
      <c r="F9" s="36" t="str">
        <f>Claims!K5</f>
        <v>Yes</v>
      </c>
      <c r="G9" s="36" t="str">
        <f>IF(Claims!M5="","",Claims!M5)</f>
        <v/>
      </c>
      <c r="H9" s="36" t="str">
        <f>IF(Claims!N5="","",Claims!N5)</f>
        <v/>
      </c>
      <c r="I9" s="41">
        <f>Claims!J5-Claims!I5</f>
        <v>9</v>
      </c>
      <c r="J9" s="42" t="str">
        <f t="shared" si="1"/>
        <v>n/a</v>
      </c>
      <c r="K9" s="42" t="str">
        <f t="shared" si="2"/>
        <v>n/a</v>
      </c>
      <c r="L9" s="42" t="str">
        <f t="shared" si="3"/>
        <v>Violation</v>
      </c>
      <c r="M9" s="42" t="str">
        <f t="shared" si="4"/>
        <v>n/a</v>
      </c>
      <c r="N9" s="42" t="str">
        <f t="shared" si="5"/>
        <v>n/a</v>
      </c>
      <c r="O9" s="42" t="str">
        <f t="shared" si="6"/>
        <v>n/a</v>
      </c>
      <c r="P9" s="42" t="str">
        <f t="shared" si="7"/>
        <v>Compliant</v>
      </c>
      <c r="Q9" s="42" t="str">
        <f t="shared" si="8"/>
        <v>Compliant</v>
      </c>
      <c r="R9" s="42" t="str">
        <f t="shared" si="9"/>
        <v>Violation</v>
      </c>
      <c r="S9" s="36" t="str">
        <f t="shared" si="10"/>
        <v>TP-04</v>
      </c>
      <c r="T9" s="42" t="str">
        <f t="shared" si="11"/>
        <v/>
      </c>
      <c r="U9" s="42" t="str">
        <f t="shared" si="12"/>
        <v>Assumption-based</v>
      </c>
      <c r="V9" s="42">
        <f t="shared" si="13"/>
        <v>2</v>
      </c>
      <c r="W9" s="42" t="str">
        <f t="shared" si="14"/>
        <v>Needs nights</v>
      </c>
    </row>
    <row r="10" spans="1:23" ht="15" hidden="1" customHeight="1" x14ac:dyDescent="0.25">
      <c r="A10" s="36" t="str">
        <f>Claims!A6</f>
        <v>EXP00005</v>
      </c>
      <c r="B10" s="36" t="str">
        <f>Claims!D6</f>
        <v>M5</v>
      </c>
      <c r="C10" s="36" t="str">
        <f>Claims!E6</f>
        <v>Alcohol</v>
      </c>
      <c r="D10" s="36" t="str">
        <f>Claims!G6</f>
        <v>Metro</v>
      </c>
      <c r="E10" s="40">
        <f>Claims!H6</f>
        <v>2069</v>
      </c>
      <c r="F10" s="36" t="str">
        <f>Claims!K6</f>
        <v>Yes</v>
      </c>
      <c r="G10" s="36" t="str">
        <f>IF(Claims!M6="","",Claims!M6)</f>
        <v/>
      </c>
      <c r="H10" s="36" t="str">
        <f>IF(Claims!N6="","",Claims!N6)</f>
        <v/>
      </c>
      <c r="I10" s="41">
        <f>Claims!J6-Claims!I6</f>
        <v>14</v>
      </c>
      <c r="J10" s="42" t="str">
        <f t="shared" si="1"/>
        <v>n/a</v>
      </c>
      <c r="K10" s="42" t="str">
        <f t="shared" si="2"/>
        <v>n/a</v>
      </c>
      <c r="L10" s="42" t="str">
        <f t="shared" si="3"/>
        <v>n/a</v>
      </c>
      <c r="M10" s="42" t="str">
        <f t="shared" si="4"/>
        <v>n/a</v>
      </c>
      <c r="N10" s="42" t="str">
        <f t="shared" si="5"/>
        <v>n/a</v>
      </c>
      <c r="O10" s="42" t="str">
        <f t="shared" si="6"/>
        <v>Violation</v>
      </c>
      <c r="P10" s="42" t="str">
        <f t="shared" si="7"/>
        <v>Compliant</v>
      </c>
      <c r="Q10" s="42" t="str">
        <f t="shared" si="8"/>
        <v>Compliant</v>
      </c>
      <c r="R10" s="42" t="str">
        <f t="shared" si="9"/>
        <v>Violation</v>
      </c>
      <c r="S10" s="36" t="str">
        <f t="shared" si="10"/>
        <v>TP-08</v>
      </c>
      <c r="T10" s="42" t="str">
        <f t="shared" si="11"/>
        <v/>
      </c>
      <c r="U10" s="42" t="str">
        <f t="shared" si="12"/>
        <v>Definite</v>
      </c>
      <c r="V10" s="42" t="str">
        <f t="shared" si="13"/>
        <v/>
      </c>
      <c r="W10" s="42" t="str">
        <f t="shared" si="14"/>
        <v/>
      </c>
    </row>
    <row r="11" spans="1:23" ht="15" hidden="1" customHeight="1" x14ac:dyDescent="0.25">
      <c r="A11" s="36" t="str">
        <f>Claims!A7</f>
        <v>EXP00006</v>
      </c>
      <c r="B11" s="36" t="str">
        <f>Claims!D7</f>
        <v>M3</v>
      </c>
      <c r="C11" s="36" t="str">
        <f>Claims!E7</f>
        <v>Flight</v>
      </c>
      <c r="D11" s="36" t="str">
        <f>Claims!G7</f>
        <v>Non-metro</v>
      </c>
      <c r="E11" s="40">
        <f>Claims!H7</f>
        <v>6289</v>
      </c>
      <c r="F11" s="36" t="str">
        <f>Claims!K7</f>
        <v>Yes</v>
      </c>
      <c r="G11" s="36">
        <f>IF(Claims!M7="","",Claims!M7)</f>
        <v>3</v>
      </c>
      <c r="H11" s="36" t="str">
        <f>IF(Claims!N7="","",Claims!N7)</f>
        <v>Economy</v>
      </c>
      <c r="I11" s="41">
        <f>Claims!J7-Claims!I7</f>
        <v>9</v>
      </c>
      <c r="J11" s="42" t="str">
        <f t="shared" si="1"/>
        <v>Compliant</v>
      </c>
      <c r="K11" s="42" t="str">
        <f t="shared" si="2"/>
        <v>Violation</v>
      </c>
      <c r="L11" s="42" t="str">
        <f t="shared" si="3"/>
        <v>n/a</v>
      </c>
      <c r="M11" s="42" t="str">
        <f t="shared" si="4"/>
        <v>n/a</v>
      </c>
      <c r="N11" s="42" t="str">
        <f t="shared" si="5"/>
        <v>n/a</v>
      </c>
      <c r="O11" s="42" t="str">
        <f t="shared" si="6"/>
        <v>n/a</v>
      </c>
      <c r="P11" s="42" t="str">
        <f t="shared" si="7"/>
        <v>Compliant</v>
      </c>
      <c r="Q11" s="42" t="str">
        <f t="shared" si="8"/>
        <v>Compliant</v>
      </c>
      <c r="R11" s="42" t="str">
        <f t="shared" si="9"/>
        <v>Violation</v>
      </c>
      <c r="S11" s="36" t="str">
        <f t="shared" si="10"/>
        <v>TP-02</v>
      </c>
      <c r="T11" s="42" t="str">
        <f t="shared" si="11"/>
        <v/>
      </c>
      <c r="U11" s="42" t="str">
        <f t="shared" si="12"/>
        <v>Assumption-based</v>
      </c>
      <c r="V11" s="42" t="str">
        <f t="shared" si="13"/>
        <v/>
      </c>
      <c r="W11" s="42" t="str">
        <f t="shared" si="14"/>
        <v>Needs approval</v>
      </c>
    </row>
    <row r="12" spans="1:23" ht="15" hidden="1" customHeight="1" x14ac:dyDescent="0.25">
      <c r="A12" s="36" t="str">
        <f>Claims!A8</f>
        <v>EXP00007</v>
      </c>
      <c r="B12" s="36" t="str">
        <f>Claims!D8</f>
        <v>M1</v>
      </c>
      <c r="C12" s="36" t="str">
        <f>Claims!E8</f>
        <v>Stationery</v>
      </c>
      <c r="D12" s="36" t="str">
        <f>Claims!G8</f>
        <v>Non-metro</v>
      </c>
      <c r="E12" s="40">
        <f>Claims!H8</f>
        <v>966</v>
      </c>
      <c r="F12" s="36" t="str">
        <f>Claims!K8</f>
        <v>Yes</v>
      </c>
      <c r="G12" s="36" t="str">
        <f>IF(Claims!M8="","",Claims!M8)</f>
        <v/>
      </c>
      <c r="H12" s="36" t="str">
        <f>IF(Claims!N8="","",Claims!N8)</f>
        <v/>
      </c>
      <c r="I12" s="41">
        <f>Claims!J8-Claims!I8</f>
        <v>2</v>
      </c>
      <c r="J12" s="42" t="str">
        <f t="shared" si="1"/>
        <v>n/a</v>
      </c>
      <c r="K12" s="42" t="str">
        <f t="shared" si="2"/>
        <v>n/a</v>
      </c>
      <c r="L12" s="42" t="str">
        <f t="shared" si="3"/>
        <v>n/a</v>
      </c>
      <c r="M12" s="42" t="str">
        <f t="shared" si="4"/>
        <v>n/a</v>
      </c>
      <c r="N12" s="42" t="str">
        <f t="shared" si="5"/>
        <v>n/a</v>
      </c>
      <c r="O12" s="42" t="str">
        <f t="shared" si="6"/>
        <v>n/a</v>
      </c>
      <c r="P12" s="42" t="str">
        <f t="shared" si="7"/>
        <v>Compliant</v>
      </c>
      <c r="Q12" s="42" t="str">
        <f t="shared" si="8"/>
        <v>Compliant</v>
      </c>
      <c r="R12" s="42" t="str">
        <f t="shared" si="9"/>
        <v>Compliant</v>
      </c>
      <c r="S12" s="36" t="str">
        <f t="shared" si="10"/>
        <v/>
      </c>
      <c r="T12" s="42" t="str">
        <f t="shared" si="11"/>
        <v/>
      </c>
      <c r="U12" s="42" t="str">
        <f t="shared" si="12"/>
        <v/>
      </c>
      <c r="V12" s="42" t="str">
        <f t="shared" si="13"/>
        <v/>
      </c>
      <c r="W12" s="42" t="str">
        <f t="shared" si="14"/>
        <v/>
      </c>
    </row>
    <row r="13" spans="1:23" ht="15" hidden="1" customHeight="1" x14ac:dyDescent="0.25">
      <c r="A13" s="36" t="str">
        <f>Claims!A9</f>
        <v>EXP00008</v>
      </c>
      <c r="B13" s="36" t="str">
        <f>Claims!D9</f>
        <v>M2</v>
      </c>
      <c r="C13" s="36" t="str">
        <f>Claims!E9</f>
        <v>Client Entertainment</v>
      </c>
      <c r="D13" s="36" t="str">
        <f>Claims!G9</f>
        <v>Metro</v>
      </c>
      <c r="E13" s="40">
        <f>Claims!H9</f>
        <v>8867</v>
      </c>
      <c r="F13" s="36" t="str">
        <f>Claims!K9</f>
        <v>Yes</v>
      </c>
      <c r="G13" s="36" t="str">
        <f>IF(Claims!M9="","",Claims!M9)</f>
        <v/>
      </c>
      <c r="H13" s="36" t="str">
        <f>IF(Claims!N9="","",Claims!N9)</f>
        <v/>
      </c>
      <c r="I13" s="41">
        <f>Claims!J9-Claims!I9</f>
        <v>20</v>
      </c>
      <c r="J13" s="42" t="str">
        <f t="shared" si="1"/>
        <v>n/a</v>
      </c>
      <c r="K13" s="42" t="str">
        <f t="shared" si="2"/>
        <v>n/a</v>
      </c>
      <c r="L13" s="42" t="str">
        <f t="shared" si="3"/>
        <v>n/a</v>
      </c>
      <c r="M13" s="42" t="str">
        <f t="shared" si="4"/>
        <v>n/a</v>
      </c>
      <c r="N13" s="42" t="str">
        <f t="shared" si="5"/>
        <v>n/a</v>
      </c>
      <c r="O13" s="42" t="str">
        <f t="shared" si="6"/>
        <v>n/a</v>
      </c>
      <c r="P13" s="42" t="str">
        <f t="shared" si="7"/>
        <v>Compliant</v>
      </c>
      <c r="Q13" s="42" t="str">
        <f t="shared" si="8"/>
        <v>Violation</v>
      </c>
      <c r="R13" s="42" t="str">
        <f t="shared" si="9"/>
        <v>Violation</v>
      </c>
      <c r="S13" s="36" t="str">
        <f t="shared" si="10"/>
        <v>TP-10</v>
      </c>
      <c r="T13" s="42" t="str">
        <f t="shared" si="11"/>
        <v>Late</v>
      </c>
      <c r="U13" s="42" t="str">
        <f t="shared" si="12"/>
        <v>Definite</v>
      </c>
      <c r="V13" s="42" t="str">
        <f t="shared" si="13"/>
        <v/>
      </c>
      <c r="W13" s="42" t="str">
        <f t="shared" si="14"/>
        <v/>
      </c>
    </row>
    <row r="14" spans="1:23" ht="15" hidden="1" customHeight="1" x14ac:dyDescent="0.25">
      <c r="A14" s="36" t="str">
        <f>Claims!A10</f>
        <v>EXP00009</v>
      </c>
      <c r="B14" s="36" t="str">
        <f>Claims!D10</f>
        <v>M1</v>
      </c>
      <c r="C14" s="36" t="str">
        <f>Claims!E10</f>
        <v>Hotel</v>
      </c>
      <c r="D14" s="36" t="str">
        <f>Claims!G10</f>
        <v>Non-metro</v>
      </c>
      <c r="E14" s="40">
        <f>Claims!H10</f>
        <v>11611</v>
      </c>
      <c r="F14" s="36" t="str">
        <f>Claims!K10</f>
        <v>Yes</v>
      </c>
      <c r="G14" s="36" t="str">
        <f>IF(Claims!M10="","",Claims!M10)</f>
        <v/>
      </c>
      <c r="H14" s="36" t="str">
        <f>IF(Claims!N10="","",Claims!N10)</f>
        <v/>
      </c>
      <c r="I14" s="41">
        <f>Claims!J10-Claims!I10</f>
        <v>5</v>
      </c>
      <c r="J14" s="42" t="str">
        <f t="shared" si="1"/>
        <v>n/a</v>
      </c>
      <c r="K14" s="42" t="str">
        <f t="shared" si="2"/>
        <v>n/a</v>
      </c>
      <c r="L14" s="42" t="str">
        <f t="shared" si="3"/>
        <v>n/a</v>
      </c>
      <c r="M14" s="42" t="str">
        <f t="shared" si="4"/>
        <v>Violation</v>
      </c>
      <c r="N14" s="42" t="str">
        <f t="shared" si="5"/>
        <v>n/a</v>
      </c>
      <c r="O14" s="42" t="str">
        <f t="shared" si="6"/>
        <v>n/a</v>
      </c>
      <c r="P14" s="42" t="str">
        <f t="shared" si="7"/>
        <v>Compliant</v>
      </c>
      <c r="Q14" s="42" t="str">
        <f t="shared" si="8"/>
        <v>Compliant</v>
      </c>
      <c r="R14" s="42" t="str">
        <f t="shared" si="9"/>
        <v>Violation</v>
      </c>
      <c r="S14" s="36" t="str">
        <f t="shared" si="10"/>
        <v>TP-05</v>
      </c>
      <c r="T14" s="42" t="str">
        <f t="shared" si="11"/>
        <v/>
      </c>
      <c r="U14" s="42" t="str">
        <f t="shared" si="12"/>
        <v>Assumption-based</v>
      </c>
      <c r="V14" s="42">
        <f t="shared" si="13"/>
        <v>3</v>
      </c>
      <c r="W14" s="42" t="str">
        <f t="shared" si="14"/>
        <v>Needs nights</v>
      </c>
    </row>
    <row r="15" spans="1:23" ht="15" hidden="1" customHeight="1" x14ac:dyDescent="0.25">
      <c r="A15" s="36" t="str">
        <f>Claims!A11</f>
        <v>EXP00010</v>
      </c>
      <c r="B15" s="36" t="str">
        <f>Claims!D11</f>
        <v>M1</v>
      </c>
      <c r="C15" s="36" t="str">
        <f>Claims!E11</f>
        <v>Client Entertainment</v>
      </c>
      <c r="D15" s="36" t="str">
        <f>Claims!G11</f>
        <v>Non-metro</v>
      </c>
      <c r="E15" s="40">
        <f>Claims!H11</f>
        <v>7668</v>
      </c>
      <c r="F15" s="36" t="str">
        <f>Claims!K11</f>
        <v>No</v>
      </c>
      <c r="G15" s="36" t="str">
        <f>IF(Claims!M11="","",Claims!M11)</f>
        <v/>
      </c>
      <c r="H15" s="36" t="str">
        <f>IF(Claims!N11="","",Claims!N11)</f>
        <v/>
      </c>
      <c r="I15" s="41">
        <f>Claims!J11-Claims!I11</f>
        <v>5</v>
      </c>
      <c r="J15" s="42" t="str">
        <f t="shared" si="1"/>
        <v>n/a</v>
      </c>
      <c r="K15" s="42" t="str">
        <f t="shared" si="2"/>
        <v>n/a</v>
      </c>
      <c r="L15" s="42" t="str">
        <f t="shared" si="3"/>
        <v>n/a</v>
      </c>
      <c r="M15" s="42" t="str">
        <f t="shared" si="4"/>
        <v>n/a</v>
      </c>
      <c r="N15" s="42" t="str">
        <f t="shared" si="5"/>
        <v>n/a</v>
      </c>
      <c r="O15" s="42" t="str">
        <f t="shared" si="6"/>
        <v>n/a</v>
      </c>
      <c r="P15" s="42" t="str">
        <f t="shared" si="7"/>
        <v>Violation</v>
      </c>
      <c r="Q15" s="42" t="str">
        <f t="shared" si="8"/>
        <v>Compliant</v>
      </c>
      <c r="R15" s="42" t="str">
        <f t="shared" si="9"/>
        <v>Violation</v>
      </c>
      <c r="S15" s="36" t="str">
        <f t="shared" si="10"/>
        <v>TP-09</v>
      </c>
      <c r="T15" s="42" t="str">
        <f t="shared" si="11"/>
        <v/>
      </c>
      <c r="U15" s="42" t="str">
        <f t="shared" si="12"/>
        <v>Definite</v>
      </c>
      <c r="V15" s="42" t="str">
        <f t="shared" si="13"/>
        <v/>
      </c>
      <c r="W15" s="42" t="str">
        <f t="shared" si="14"/>
        <v/>
      </c>
    </row>
    <row r="16" spans="1:23" ht="15" hidden="1" customHeight="1" x14ac:dyDescent="0.25">
      <c r="A16" s="36" t="str">
        <f>Claims!A12</f>
        <v>EXP00011</v>
      </c>
      <c r="B16" s="36" t="str">
        <f>Claims!D12</f>
        <v>M2</v>
      </c>
      <c r="C16" s="36" t="str">
        <f>Claims!E12</f>
        <v>Local Cab</v>
      </c>
      <c r="D16" s="36" t="str">
        <f>Claims!G12</f>
        <v>Non-metro</v>
      </c>
      <c r="E16" s="40">
        <f>Claims!H12</f>
        <v>1061</v>
      </c>
      <c r="F16" s="36" t="str">
        <f>Claims!K12</f>
        <v>Yes</v>
      </c>
      <c r="G16" s="36" t="str">
        <f>IF(Claims!M12="","",Claims!M12)</f>
        <v/>
      </c>
      <c r="H16" s="36" t="str">
        <f>IF(Claims!N12="","",Claims!N12)</f>
        <v/>
      </c>
      <c r="I16" s="41">
        <f>Claims!J12-Claims!I12</f>
        <v>5</v>
      </c>
      <c r="J16" s="42" t="str">
        <f t="shared" si="1"/>
        <v>n/a</v>
      </c>
      <c r="K16" s="42" t="str">
        <f t="shared" si="2"/>
        <v>n/a</v>
      </c>
      <c r="L16" s="42" t="str">
        <f t="shared" si="3"/>
        <v>n/a</v>
      </c>
      <c r="M16" s="42" t="str">
        <f t="shared" si="4"/>
        <v>n/a</v>
      </c>
      <c r="N16" s="42" t="str">
        <f t="shared" si="5"/>
        <v>n/a</v>
      </c>
      <c r="O16" s="42" t="str">
        <f t="shared" si="6"/>
        <v>n/a</v>
      </c>
      <c r="P16" s="42" t="str">
        <f t="shared" si="7"/>
        <v>Compliant</v>
      </c>
      <c r="Q16" s="42" t="str">
        <f t="shared" si="8"/>
        <v>Compliant</v>
      </c>
      <c r="R16" s="42" t="str">
        <f t="shared" si="9"/>
        <v>Compliant</v>
      </c>
      <c r="S16" s="36" t="str">
        <f t="shared" si="10"/>
        <v/>
      </c>
      <c r="T16" s="42" t="str">
        <f t="shared" si="11"/>
        <v/>
      </c>
      <c r="U16" s="42" t="str">
        <f t="shared" si="12"/>
        <v/>
      </c>
      <c r="V16" s="42" t="str">
        <f t="shared" si="13"/>
        <v/>
      </c>
      <c r="W16" s="42" t="str">
        <f t="shared" si="14"/>
        <v/>
      </c>
    </row>
    <row r="17" spans="1:23" ht="15" hidden="1" customHeight="1" x14ac:dyDescent="0.25">
      <c r="A17" s="36" t="str">
        <f>Claims!A13</f>
        <v>EXP00012</v>
      </c>
      <c r="B17" s="36" t="str">
        <f>Claims!D13</f>
        <v>M1</v>
      </c>
      <c r="C17" s="36" t="str">
        <f>Claims!E13</f>
        <v>Meals/DA</v>
      </c>
      <c r="D17" s="36" t="str">
        <f>Claims!G13</f>
        <v>Metro</v>
      </c>
      <c r="E17" s="40">
        <f>Claims!H13</f>
        <v>1189</v>
      </c>
      <c r="F17" s="36" t="str">
        <f>Claims!K13</f>
        <v>Yes</v>
      </c>
      <c r="G17" s="36" t="str">
        <f>IF(Claims!M13="","",Claims!M13)</f>
        <v/>
      </c>
      <c r="H17" s="36" t="str">
        <f>IF(Claims!N13="","",Claims!N13)</f>
        <v/>
      </c>
      <c r="I17" s="41">
        <f>Claims!J13-Claims!I13</f>
        <v>35</v>
      </c>
      <c r="J17" s="42" t="str">
        <f t="shared" si="1"/>
        <v>n/a</v>
      </c>
      <c r="K17" s="42" t="str">
        <f t="shared" si="2"/>
        <v>n/a</v>
      </c>
      <c r="L17" s="42" t="str">
        <f t="shared" si="3"/>
        <v>n/a</v>
      </c>
      <c r="M17" s="42" t="str">
        <f t="shared" si="4"/>
        <v>n/a</v>
      </c>
      <c r="N17" s="42" t="str">
        <f t="shared" si="5"/>
        <v>Compliant</v>
      </c>
      <c r="O17" s="42" t="str">
        <f t="shared" si="6"/>
        <v>n/a</v>
      </c>
      <c r="P17" s="42" t="str">
        <f t="shared" si="7"/>
        <v>Compliant</v>
      </c>
      <c r="Q17" s="42" t="str">
        <f t="shared" si="8"/>
        <v>Violation</v>
      </c>
      <c r="R17" s="42" t="str">
        <f t="shared" si="9"/>
        <v>Violation</v>
      </c>
      <c r="S17" s="36" t="str">
        <f t="shared" si="10"/>
        <v>TP-10</v>
      </c>
      <c r="T17" s="42" t="str">
        <f t="shared" si="11"/>
        <v>Late</v>
      </c>
      <c r="U17" s="42" t="str">
        <f t="shared" si="12"/>
        <v>Definite</v>
      </c>
      <c r="V17" s="42" t="str">
        <f t="shared" si="13"/>
        <v/>
      </c>
      <c r="W17" s="42" t="str">
        <f t="shared" si="14"/>
        <v/>
      </c>
    </row>
    <row r="18" spans="1:23" ht="15" hidden="1" customHeight="1" x14ac:dyDescent="0.25">
      <c r="A18" s="36" t="str">
        <f>Claims!A14</f>
        <v>EXP00013</v>
      </c>
      <c r="B18" s="36" t="str">
        <f>Claims!D14</f>
        <v>M1</v>
      </c>
      <c r="C18" s="36" t="str">
        <f>Claims!E14</f>
        <v>Local Cab</v>
      </c>
      <c r="D18" s="36" t="str">
        <f>Claims!G14</f>
        <v>Non-metro</v>
      </c>
      <c r="E18" s="40">
        <f>Claims!H14</f>
        <v>157</v>
      </c>
      <c r="F18" s="36" t="str">
        <f>Claims!K14</f>
        <v>Yes</v>
      </c>
      <c r="G18" s="36" t="str">
        <f>IF(Claims!M14="","",Claims!M14)</f>
        <v/>
      </c>
      <c r="H18" s="36" t="str">
        <f>IF(Claims!N14="","",Claims!N14)</f>
        <v/>
      </c>
      <c r="I18" s="41">
        <f>Claims!J14-Claims!I14</f>
        <v>35</v>
      </c>
      <c r="J18" s="42" t="str">
        <f t="shared" si="1"/>
        <v>n/a</v>
      </c>
      <c r="K18" s="42" t="str">
        <f t="shared" si="2"/>
        <v>n/a</v>
      </c>
      <c r="L18" s="42" t="str">
        <f t="shared" si="3"/>
        <v>n/a</v>
      </c>
      <c r="M18" s="42" t="str">
        <f t="shared" si="4"/>
        <v>n/a</v>
      </c>
      <c r="N18" s="42" t="str">
        <f t="shared" si="5"/>
        <v>n/a</v>
      </c>
      <c r="O18" s="42" t="str">
        <f t="shared" si="6"/>
        <v>n/a</v>
      </c>
      <c r="P18" s="42" t="str">
        <f t="shared" si="7"/>
        <v>Compliant</v>
      </c>
      <c r="Q18" s="42" t="str">
        <f t="shared" si="8"/>
        <v>Violation</v>
      </c>
      <c r="R18" s="42" t="str">
        <f t="shared" si="9"/>
        <v>Violation</v>
      </c>
      <c r="S18" s="36" t="str">
        <f t="shared" si="10"/>
        <v>TP-10</v>
      </c>
      <c r="T18" s="42" t="str">
        <f t="shared" si="11"/>
        <v>Late</v>
      </c>
      <c r="U18" s="42" t="str">
        <f t="shared" si="12"/>
        <v>Definite</v>
      </c>
      <c r="V18" s="42" t="str">
        <f t="shared" si="13"/>
        <v/>
      </c>
      <c r="W18" s="42" t="str">
        <f t="shared" si="14"/>
        <v/>
      </c>
    </row>
    <row r="19" spans="1:23" ht="15" hidden="1" customHeight="1" x14ac:dyDescent="0.25">
      <c r="A19" s="36" t="str">
        <f>Claims!A15</f>
        <v>EXP00014</v>
      </c>
      <c r="B19" s="36" t="str">
        <f>Claims!D15</f>
        <v>M2</v>
      </c>
      <c r="C19" s="36" t="str">
        <f>Claims!E15</f>
        <v>Flight</v>
      </c>
      <c r="D19" s="36" t="str">
        <f>Claims!G15</f>
        <v>Metro</v>
      </c>
      <c r="E19" s="40">
        <f>Claims!H15</f>
        <v>17576</v>
      </c>
      <c r="F19" s="36" t="str">
        <f>Claims!K15</f>
        <v>Yes</v>
      </c>
      <c r="G19" s="36">
        <f>IF(Claims!M15="","",Claims!M15)</f>
        <v>0</v>
      </c>
      <c r="H19" s="36" t="str">
        <f>IF(Claims!N15="","",Claims!N15)</f>
        <v>Economy</v>
      </c>
      <c r="I19" s="41">
        <f>Claims!J15-Claims!I15</f>
        <v>5</v>
      </c>
      <c r="J19" s="42" t="str">
        <f t="shared" si="1"/>
        <v>Compliant</v>
      </c>
      <c r="K19" s="42" t="str">
        <f t="shared" si="2"/>
        <v>Violation</v>
      </c>
      <c r="L19" s="42" t="str">
        <f t="shared" si="3"/>
        <v>n/a</v>
      </c>
      <c r="M19" s="42" t="str">
        <f t="shared" si="4"/>
        <v>n/a</v>
      </c>
      <c r="N19" s="42" t="str">
        <f t="shared" si="5"/>
        <v>n/a</v>
      </c>
      <c r="O19" s="42" t="str">
        <f t="shared" si="6"/>
        <v>n/a</v>
      </c>
      <c r="P19" s="42" t="str">
        <f t="shared" si="7"/>
        <v>Compliant</v>
      </c>
      <c r="Q19" s="42" t="str">
        <f t="shared" si="8"/>
        <v>Compliant</v>
      </c>
      <c r="R19" s="42" t="str">
        <f t="shared" si="9"/>
        <v>Violation</v>
      </c>
      <c r="S19" s="36" t="str">
        <f t="shared" si="10"/>
        <v>TP-02</v>
      </c>
      <c r="T19" s="42" t="str">
        <f t="shared" si="11"/>
        <v/>
      </c>
      <c r="U19" s="42" t="str">
        <f t="shared" si="12"/>
        <v>Assumption-based</v>
      </c>
      <c r="V19" s="42" t="str">
        <f t="shared" si="13"/>
        <v/>
      </c>
      <c r="W19" s="42" t="str">
        <f t="shared" si="14"/>
        <v>Needs approval</v>
      </c>
    </row>
    <row r="20" spans="1:23" ht="15" hidden="1" customHeight="1" x14ac:dyDescent="0.25">
      <c r="A20" s="36" t="str">
        <f>Claims!A16</f>
        <v>EXP00015</v>
      </c>
      <c r="B20" s="36" t="str">
        <f>Claims!D16</f>
        <v>M2</v>
      </c>
      <c r="C20" s="36" t="str">
        <f>Claims!E16</f>
        <v>Local Cab</v>
      </c>
      <c r="D20" s="36" t="str">
        <f>Claims!G16</f>
        <v>Metro</v>
      </c>
      <c r="E20" s="40">
        <f>Claims!H16</f>
        <v>735</v>
      </c>
      <c r="F20" s="36" t="str">
        <f>Claims!K16</f>
        <v>Yes</v>
      </c>
      <c r="G20" s="36" t="str">
        <f>IF(Claims!M16="","",Claims!M16)</f>
        <v/>
      </c>
      <c r="H20" s="36" t="str">
        <f>IF(Claims!N16="","",Claims!N16)</f>
        <v/>
      </c>
      <c r="I20" s="41">
        <f>Claims!J16-Claims!I16</f>
        <v>5</v>
      </c>
      <c r="J20" s="42" t="str">
        <f t="shared" si="1"/>
        <v>n/a</v>
      </c>
      <c r="K20" s="42" t="str">
        <f t="shared" si="2"/>
        <v>n/a</v>
      </c>
      <c r="L20" s="42" t="str">
        <f t="shared" si="3"/>
        <v>n/a</v>
      </c>
      <c r="M20" s="42" t="str">
        <f t="shared" si="4"/>
        <v>n/a</v>
      </c>
      <c r="N20" s="42" t="str">
        <f t="shared" si="5"/>
        <v>n/a</v>
      </c>
      <c r="O20" s="42" t="str">
        <f t="shared" si="6"/>
        <v>n/a</v>
      </c>
      <c r="P20" s="42" t="str">
        <f t="shared" si="7"/>
        <v>Compliant</v>
      </c>
      <c r="Q20" s="42" t="str">
        <f t="shared" si="8"/>
        <v>Compliant</v>
      </c>
      <c r="R20" s="42" t="str">
        <f t="shared" si="9"/>
        <v>Compliant</v>
      </c>
      <c r="S20" s="36" t="str">
        <f t="shared" si="10"/>
        <v/>
      </c>
      <c r="T20" s="42" t="str">
        <f t="shared" si="11"/>
        <v/>
      </c>
      <c r="U20" s="42" t="str">
        <f t="shared" si="12"/>
        <v/>
      </c>
      <c r="V20" s="42" t="str">
        <f t="shared" si="13"/>
        <v/>
      </c>
      <c r="W20" s="42" t="str">
        <f t="shared" si="14"/>
        <v/>
      </c>
    </row>
    <row r="21" spans="1:23" ht="15" hidden="1" customHeight="1" x14ac:dyDescent="0.25">
      <c r="A21" s="36" t="str">
        <f>Claims!A17</f>
        <v>EXP00016</v>
      </c>
      <c r="B21" s="36" t="str">
        <f>Claims!D17</f>
        <v>M3</v>
      </c>
      <c r="C21" s="36" t="str">
        <f>Claims!E17</f>
        <v>Local Cab</v>
      </c>
      <c r="D21" s="36" t="str">
        <f>Claims!G17</f>
        <v>Metro</v>
      </c>
      <c r="E21" s="40">
        <f>Claims!H17</f>
        <v>2109</v>
      </c>
      <c r="F21" s="36" t="str">
        <f>Claims!K17</f>
        <v>Yes</v>
      </c>
      <c r="G21" s="36" t="str">
        <f>IF(Claims!M17="","",Claims!M17)</f>
        <v/>
      </c>
      <c r="H21" s="36" t="str">
        <f>IF(Claims!N17="","",Claims!N17)</f>
        <v/>
      </c>
      <c r="I21" s="41">
        <f>Claims!J17-Claims!I17</f>
        <v>5</v>
      </c>
      <c r="J21" s="42" t="str">
        <f t="shared" si="1"/>
        <v>n/a</v>
      </c>
      <c r="K21" s="42" t="str">
        <f t="shared" si="2"/>
        <v>n/a</v>
      </c>
      <c r="L21" s="42" t="str">
        <f t="shared" si="3"/>
        <v>n/a</v>
      </c>
      <c r="M21" s="42" t="str">
        <f t="shared" si="4"/>
        <v>n/a</v>
      </c>
      <c r="N21" s="42" t="str">
        <f t="shared" si="5"/>
        <v>n/a</v>
      </c>
      <c r="O21" s="42" t="str">
        <f t="shared" si="6"/>
        <v>n/a</v>
      </c>
      <c r="P21" s="42" t="str">
        <f t="shared" si="7"/>
        <v>Compliant</v>
      </c>
      <c r="Q21" s="42" t="str">
        <f t="shared" si="8"/>
        <v>Compliant</v>
      </c>
      <c r="R21" s="42" t="str">
        <f t="shared" si="9"/>
        <v>Compliant</v>
      </c>
      <c r="S21" s="36" t="str">
        <f t="shared" si="10"/>
        <v/>
      </c>
      <c r="T21" s="42" t="str">
        <f t="shared" si="11"/>
        <v/>
      </c>
      <c r="U21" s="42" t="str">
        <f t="shared" si="12"/>
        <v/>
      </c>
      <c r="V21" s="42" t="str">
        <f t="shared" si="13"/>
        <v/>
      </c>
      <c r="W21" s="42" t="str">
        <f t="shared" si="14"/>
        <v/>
      </c>
    </row>
    <row r="22" spans="1:23" ht="15" hidden="1" customHeight="1" x14ac:dyDescent="0.25">
      <c r="A22" s="36" t="str">
        <f>Claims!A18</f>
        <v>EXP00017</v>
      </c>
      <c r="B22" s="36" t="str">
        <f>Claims!D18</f>
        <v>M3</v>
      </c>
      <c r="C22" s="36" t="str">
        <f>Claims!E18</f>
        <v>Flight</v>
      </c>
      <c r="D22" s="36" t="str">
        <f>Claims!G18</f>
        <v>Non-metro</v>
      </c>
      <c r="E22" s="40">
        <f>Claims!H18</f>
        <v>4019</v>
      </c>
      <c r="F22" s="36" t="str">
        <f>Claims!K18</f>
        <v>Yes</v>
      </c>
      <c r="G22" s="36">
        <f>IF(Claims!M18="","",Claims!M18)</f>
        <v>12</v>
      </c>
      <c r="H22" s="36" t="str">
        <f>IF(Claims!N18="","",Claims!N18)</f>
        <v>Economy</v>
      </c>
      <c r="I22" s="41">
        <f>Claims!J18-Claims!I18</f>
        <v>35</v>
      </c>
      <c r="J22" s="42" t="str">
        <f t="shared" si="1"/>
        <v>Compliant</v>
      </c>
      <c r="K22" s="42" t="str">
        <f t="shared" si="2"/>
        <v>Compliant</v>
      </c>
      <c r="L22" s="42" t="str">
        <f t="shared" si="3"/>
        <v>n/a</v>
      </c>
      <c r="M22" s="42" t="str">
        <f t="shared" si="4"/>
        <v>n/a</v>
      </c>
      <c r="N22" s="42" t="str">
        <f t="shared" si="5"/>
        <v>n/a</v>
      </c>
      <c r="O22" s="42" t="str">
        <f t="shared" si="6"/>
        <v>n/a</v>
      </c>
      <c r="P22" s="42" t="str">
        <f t="shared" si="7"/>
        <v>Compliant</v>
      </c>
      <c r="Q22" s="42" t="str">
        <f t="shared" si="8"/>
        <v>Violation</v>
      </c>
      <c r="R22" s="42" t="str">
        <f t="shared" si="9"/>
        <v>Violation</v>
      </c>
      <c r="S22" s="36" t="str">
        <f t="shared" si="10"/>
        <v>TP-10</v>
      </c>
      <c r="T22" s="42" t="str">
        <f t="shared" si="11"/>
        <v>Late</v>
      </c>
      <c r="U22" s="42" t="str">
        <f t="shared" si="12"/>
        <v>Definite</v>
      </c>
      <c r="V22" s="42" t="str">
        <f t="shared" si="13"/>
        <v/>
      </c>
      <c r="W22" s="42" t="str">
        <f t="shared" si="14"/>
        <v/>
      </c>
    </row>
    <row r="23" spans="1:23" ht="15" hidden="1" customHeight="1" x14ac:dyDescent="0.25">
      <c r="A23" s="36" t="str">
        <f>Claims!A19</f>
        <v>EXP00018</v>
      </c>
      <c r="B23" s="36" t="str">
        <f>Claims!D19</f>
        <v>M2</v>
      </c>
      <c r="C23" s="36" t="str">
        <f>Claims!E19</f>
        <v>Meals/DA</v>
      </c>
      <c r="D23" s="36" t="str">
        <f>Claims!G19</f>
        <v>Non-metro</v>
      </c>
      <c r="E23" s="40">
        <f>Claims!H19</f>
        <v>944</v>
      </c>
      <c r="F23" s="36" t="str">
        <f>Claims!K19</f>
        <v>Yes</v>
      </c>
      <c r="G23" s="36" t="str">
        <f>IF(Claims!M19="","",Claims!M19)</f>
        <v/>
      </c>
      <c r="H23" s="36" t="str">
        <f>IF(Claims!N19="","",Claims!N19)</f>
        <v/>
      </c>
      <c r="I23" s="41">
        <f>Claims!J19-Claims!I19</f>
        <v>14</v>
      </c>
      <c r="J23" s="42" t="str">
        <f t="shared" si="1"/>
        <v>n/a</v>
      </c>
      <c r="K23" s="42" t="str">
        <f t="shared" si="2"/>
        <v>n/a</v>
      </c>
      <c r="L23" s="42" t="str">
        <f t="shared" si="3"/>
        <v>n/a</v>
      </c>
      <c r="M23" s="42" t="str">
        <f t="shared" si="4"/>
        <v>n/a</v>
      </c>
      <c r="N23" s="42" t="str">
        <f t="shared" si="5"/>
        <v>Violation</v>
      </c>
      <c r="O23" s="42" t="str">
        <f t="shared" si="6"/>
        <v>n/a</v>
      </c>
      <c r="P23" s="42" t="str">
        <f t="shared" si="7"/>
        <v>Compliant</v>
      </c>
      <c r="Q23" s="42" t="str">
        <f t="shared" si="8"/>
        <v>Compliant</v>
      </c>
      <c r="R23" s="42" t="str">
        <f t="shared" si="9"/>
        <v>Violation</v>
      </c>
      <c r="S23" s="36" t="str">
        <f t="shared" si="10"/>
        <v>TP-06</v>
      </c>
      <c r="T23" s="42" t="str">
        <f t="shared" si="11"/>
        <v/>
      </c>
      <c r="U23" s="42" t="str">
        <f t="shared" si="12"/>
        <v>Assumption-based</v>
      </c>
      <c r="V23" s="42">
        <f t="shared" si="13"/>
        <v>2</v>
      </c>
      <c r="W23" s="42" t="str">
        <f t="shared" si="14"/>
        <v>Needs days</v>
      </c>
    </row>
    <row r="24" spans="1:23" ht="15" hidden="1" customHeight="1" x14ac:dyDescent="0.25">
      <c r="A24" s="36" t="str">
        <f>Claims!A20</f>
        <v>EXP00019</v>
      </c>
      <c r="B24" s="36" t="str">
        <f>Claims!D20</f>
        <v>M1</v>
      </c>
      <c r="C24" s="36" t="str">
        <f>Claims!E20</f>
        <v>Hotel</v>
      </c>
      <c r="D24" s="36" t="str">
        <f>Claims!G20</f>
        <v>Metro</v>
      </c>
      <c r="E24" s="40">
        <f>Claims!H20</f>
        <v>11637</v>
      </c>
      <c r="F24" s="36" t="str">
        <f>Claims!K20</f>
        <v>Yes</v>
      </c>
      <c r="G24" s="36" t="str">
        <f>IF(Claims!M20="","",Claims!M20)</f>
        <v/>
      </c>
      <c r="H24" s="36" t="str">
        <f>IF(Claims!N20="","",Claims!N20)</f>
        <v/>
      </c>
      <c r="I24" s="41">
        <f>Claims!J20-Claims!I20</f>
        <v>35</v>
      </c>
      <c r="J24" s="42" t="str">
        <f t="shared" si="1"/>
        <v>n/a</v>
      </c>
      <c r="K24" s="42" t="str">
        <f t="shared" si="2"/>
        <v>n/a</v>
      </c>
      <c r="L24" s="42" t="str">
        <f t="shared" si="3"/>
        <v>Violation</v>
      </c>
      <c r="M24" s="42" t="str">
        <f t="shared" si="4"/>
        <v>n/a</v>
      </c>
      <c r="N24" s="42" t="str">
        <f t="shared" si="5"/>
        <v>n/a</v>
      </c>
      <c r="O24" s="42" t="str">
        <f t="shared" si="6"/>
        <v>n/a</v>
      </c>
      <c r="P24" s="42" t="str">
        <f t="shared" si="7"/>
        <v>Compliant</v>
      </c>
      <c r="Q24" s="42" t="str">
        <f t="shared" si="8"/>
        <v>Violation</v>
      </c>
      <c r="R24" s="42" t="str">
        <f t="shared" si="9"/>
        <v>Violation</v>
      </c>
      <c r="S24" s="36" t="str">
        <f t="shared" si="10"/>
        <v>TP-04, TP-10</v>
      </c>
      <c r="T24" s="42" t="str">
        <f t="shared" si="11"/>
        <v>Late</v>
      </c>
      <c r="U24" s="42" t="str">
        <f t="shared" si="12"/>
        <v>Definite</v>
      </c>
      <c r="V24" s="42">
        <f t="shared" si="13"/>
        <v>2</v>
      </c>
      <c r="W24" s="42" t="str">
        <f t="shared" si="14"/>
        <v>Needs nights</v>
      </c>
    </row>
    <row r="25" spans="1:23" ht="15" hidden="1" customHeight="1" x14ac:dyDescent="0.25">
      <c r="A25" s="36" t="str">
        <f>Claims!A21</f>
        <v>EXP00020</v>
      </c>
      <c r="B25" s="36" t="str">
        <f>Claims!D21</f>
        <v>M2</v>
      </c>
      <c r="C25" s="36" t="str">
        <f>Claims!E21</f>
        <v>Stationery</v>
      </c>
      <c r="D25" s="36" t="str">
        <f>Claims!G21</f>
        <v>Metro</v>
      </c>
      <c r="E25" s="40">
        <f>Claims!H21</f>
        <v>1374</v>
      </c>
      <c r="F25" s="36" t="str">
        <f>Claims!K21</f>
        <v>Yes</v>
      </c>
      <c r="G25" s="36" t="str">
        <f>IF(Claims!M21="","",Claims!M21)</f>
        <v/>
      </c>
      <c r="H25" s="36" t="str">
        <f>IF(Claims!N21="","",Claims!N21)</f>
        <v/>
      </c>
      <c r="I25" s="41">
        <f>Claims!J21-Claims!I21</f>
        <v>9</v>
      </c>
      <c r="J25" s="42" t="str">
        <f t="shared" si="1"/>
        <v>n/a</v>
      </c>
      <c r="K25" s="42" t="str">
        <f t="shared" si="2"/>
        <v>n/a</v>
      </c>
      <c r="L25" s="42" t="str">
        <f t="shared" si="3"/>
        <v>n/a</v>
      </c>
      <c r="M25" s="42" t="str">
        <f t="shared" si="4"/>
        <v>n/a</v>
      </c>
      <c r="N25" s="42" t="str">
        <f t="shared" si="5"/>
        <v>n/a</v>
      </c>
      <c r="O25" s="42" t="str">
        <f t="shared" si="6"/>
        <v>n/a</v>
      </c>
      <c r="P25" s="42" t="str">
        <f t="shared" si="7"/>
        <v>Compliant</v>
      </c>
      <c r="Q25" s="42" t="str">
        <f t="shared" si="8"/>
        <v>Compliant</v>
      </c>
      <c r="R25" s="42" t="str">
        <f t="shared" si="9"/>
        <v>Compliant</v>
      </c>
      <c r="S25" s="36" t="str">
        <f t="shared" si="10"/>
        <v/>
      </c>
      <c r="T25" s="42" t="str">
        <f t="shared" si="11"/>
        <v/>
      </c>
      <c r="U25" s="42" t="str">
        <f t="shared" si="12"/>
        <v/>
      </c>
      <c r="V25" s="42" t="str">
        <f t="shared" si="13"/>
        <v/>
      </c>
      <c r="W25" s="42" t="str">
        <f t="shared" si="14"/>
        <v/>
      </c>
    </row>
    <row r="26" spans="1:23" ht="15" hidden="1" customHeight="1" x14ac:dyDescent="0.25">
      <c r="A26" s="36" t="str">
        <f>Claims!A22</f>
        <v>EXP00021</v>
      </c>
      <c r="B26" s="36" t="str">
        <f>Claims!D22</f>
        <v>M3</v>
      </c>
      <c r="C26" s="36" t="str">
        <f>Claims!E22</f>
        <v>Client Entertainment</v>
      </c>
      <c r="D26" s="36" t="str">
        <f>Claims!G22</f>
        <v>Non-metro</v>
      </c>
      <c r="E26" s="40">
        <f>Claims!H22</f>
        <v>5918</v>
      </c>
      <c r="F26" s="36" t="str">
        <f>Claims!K22</f>
        <v>Yes</v>
      </c>
      <c r="G26" s="36" t="str">
        <f>IF(Claims!M22="","",Claims!M22)</f>
        <v/>
      </c>
      <c r="H26" s="36" t="str">
        <f>IF(Claims!N22="","",Claims!N22)</f>
        <v/>
      </c>
      <c r="I26" s="41">
        <f>Claims!J22-Claims!I22</f>
        <v>5</v>
      </c>
      <c r="J26" s="42" t="str">
        <f t="shared" si="1"/>
        <v>n/a</v>
      </c>
      <c r="K26" s="42" t="str">
        <f t="shared" si="2"/>
        <v>n/a</v>
      </c>
      <c r="L26" s="42" t="str">
        <f t="shared" si="3"/>
        <v>n/a</v>
      </c>
      <c r="M26" s="42" t="str">
        <f t="shared" si="4"/>
        <v>n/a</v>
      </c>
      <c r="N26" s="42" t="str">
        <f t="shared" si="5"/>
        <v>n/a</v>
      </c>
      <c r="O26" s="42" t="str">
        <f t="shared" si="6"/>
        <v>n/a</v>
      </c>
      <c r="P26" s="42" t="str">
        <f t="shared" si="7"/>
        <v>Compliant</v>
      </c>
      <c r="Q26" s="42" t="str">
        <f t="shared" si="8"/>
        <v>Compliant</v>
      </c>
      <c r="R26" s="42" t="str">
        <f t="shared" si="9"/>
        <v>Compliant</v>
      </c>
      <c r="S26" s="36" t="str">
        <f t="shared" si="10"/>
        <v/>
      </c>
      <c r="T26" s="42" t="str">
        <f t="shared" si="11"/>
        <v/>
      </c>
      <c r="U26" s="42" t="str">
        <f t="shared" si="12"/>
        <v/>
      </c>
      <c r="V26" s="42" t="str">
        <f t="shared" si="13"/>
        <v/>
      </c>
      <c r="W26" s="42" t="str">
        <f t="shared" si="14"/>
        <v/>
      </c>
    </row>
    <row r="27" spans="1:23" ht="15" hidden="1" customHeight="1" x14ac:dyDescent="0.25">
      <c r="A27" s="36" t="str">
        <f>Claims!A23</f>
        <v>EXP00022</v>
      </c>
      <c r="B27" s="36" t="str">
        <f>Claims!D23</f>
        <v>M2</v>
      </c>
      <c r="C27" s="36" t="str">
        <f>Claims!E23</f>
        <v>Flight</v>
      </c>
      <c r="D27" s="36" t="str">
        <f>Claims!G23</f>
        <v>Metro</v>
      </c>
      <c r="E27" s="40">
        <f>Claims!H23</f>
        <v>12701</v>
      </c>
      <c r="F27" s="36" t="str">
        <f>Claims!K23</f>
        <v>No</v>
      </c>
      <c r="G27" s="36">
        <f>IF(Claims!M23="","",Claims!M23)</f>
        <v>19</v>
      </c>
      <c r="H27" s="36" t="str">
        <f>IF(Claims!N23="","",Claims!N23)</f>
        <v>Economy</v>
      </c>
      <c r="I27" s="41">
        <f>Claims!J23-Claims!I23</f>
        <v>9</v>
      </c>
      <c r="J27" s="42" t="str">
        <f t="shared" si="1"/>
        <v>Compliant</v>
      </c>
      <c r="K27" s="42" t="str">
        <f t="shared" si="2"/>
        <v>Compliant</v>
      </c>
      <c r="L27" s="42" t="str">
        <f t="shared" si="3"/>
        <v>n/a</v>
      </c>
      <c r="M27" s="42" t="str">
        <f t="shared" si="4"/>
        <v>n/a</v>
      </c>
      <c r="N27" s="42" t="str">
        <f t="shared" si="5"/>
        <v>n/a</v>
      </c>
      <c r="O27" s="42" t="str">
        <f t="shared" si="6"/>
        <v>n/a</v>
      </c>
      <c r="P27" s="42" t="str">
        <f t="shared" si="7"/>
        <v>Violation</v>
      </c>
      <c r="Q27" s="42" t="str">
        <f t="shared" si="8"/>
        <v>Compliant</v>
      </c>
      <c r="R27" s="42" t="str">
        <f t="shared" si="9"/>
        <v>Violation</v>
      </c>
      <c r="S27" s="36" t="str">
        <f t="shared" si="10"/>
        <v>TP-09</v>
      </c>
      <c r="T27" s="42" t="str">
        <f t="shared" si="11"/>
        <v/>
      </c>
      <c r="U27" s="42" t="str">
        <f t="shared" si="12"/>
        <v>Definite</v>
      </c>
      <c r="V27" s="42" t="str">
        <f t="shared" si="13"/>
        <v/>
      </c>
      <c r="W27" s="42" t="str">
        <f t="shared" si="14"/>
        <v/>
      </c>
    </row>
    <row r="28" spans="1:23" ht="15" hidden="1" customHeight="1" x14ac:dyDescent="0.25">
      <c r="A28" s="36" t="str">
        <f>Claims!A24</f>
        <v>EXP00023</v>
      </c>
      <c r="B28" s="36" t="str">
        <f>Claims!D24</f>
        <v>M5</v>
      </c>
      <c r="C28" s="36" t="str">
        <f>Claims!E24</f>
        <v>Alcohol</v>
      </c>
      <c r="D28" s="36" t="str">
        <f>Claims!G24</f>
        <v>Metro</v>
      </c>
      <c r="E28" s="40">
        <f>Claims!H24</f>
        <v>2935</v>
      </c>
      <c r="F28" s="36" t="str">
        <f>Claims!K24</f>
        <v>Yes</v>
      </c>
      <c r="G28" s="36" t="str">
        <f>IF(Claims!M24="","",Claims!M24)</f>
        <v/>
      </c>
      <c r="H28" s="36" t="str">
        <f>IF(Claims!N24="","",Claims!N24)</f>
        <v/>
      </c>
      <c r="I28" s="41">
        <f>Claims!J24-Claims!I24</f>
        <v>9</v>
      </c>
      <c r="J28" s="42" t="str">
        <f t="shared" si="1"/>
        <v>n/a</v>
      </c>
      <c r="K28" s="42" t="str">
        <f t="shared" si="2"/>
        <v>n/a</v>
      </c>
      <c r="L28" s="42" t="str">
        <f t="shared" si="3"/>
        <v>n/a</v>
      </c>
      <c r="M28" s="42" t="str">
        <f t="shared" si="4"/>
        <v>n/a</v>
      </c>
      <c r="N28" s="42" t="str">
        <f t="shared" si="5"/>
        <v>n/a</v>
      </c>
      <c r="O28" s="42" t="str">
        <f t="shared" si="6"/>
        <v>Violation</v>
      </c>
      <c r="P28" s="42" t="str">
        <f t="shared" si="7"/>
        <v>Compliant</v>
      </c>
      <c r="Q28" s="42" t="str">
        <f t="shared" si="8"/>
        <v>Compliant</v>
      </c>
      <c r="R28" s="42" t="str">
        <f t="shared" si="9"/>
        <v>Violation</v>
      </c>
      <c r="S28" s="36" t="str">
        <f t="shared" si="10"/>
        <v>TP-08</v>
      </c>
      <c r="T28" s="42" t="str">
        <f t="shared" si="11"/>
        <v/>
      </c>
      <c r="U28" s="42" t="str">
        <f t="shared" si="12"/>
        <v>Definite</v>
      </c>
      <c r="V28" s="42" t="str">
        <f t="shared" si="13"/>
        <v/>
      </c>
      <c r="W28" s="42" t="str">
        <f t="shared" si="14"/>
        <v/>
      </c>
    </row>
    <row r="29" spans="1:23" ht="15" hidden="1" customHeight="1" x14ac:dyDescent="0.25">
      <c r="A29" s="36" t="str">
        <f>Claims!A25</f>
        <v>EXP00024</v>
      </c>
      <c r="B29" s="36" t="str">
        <f>Claims!D25</f>
        <v>M1</v>
      </c>
      <c r="C29" s="36" t="str">
        <f>Claims!E25</f>
        <v>Train</v>
      </c>
      <c r="D29" s="36" t="str">
        <f>Claims!G25</f>
        <v>Non-metro</v>
      </c>
      <c r="E29" s="40">
        <f>Claims!H25</f>
        <v>2387</v>
      </c>
      <c r="F29" s="36" t="str">
        <f>Claims!K25</f>
        <v>Yes</v>
      </c>
      <c r="G29" s="36" t="str">
        <f>IF(Claims!M25="","",Claims!M25)</f>
        <v/>
      </c>
      <c r="H29" s="36" t="str">
        <f>IF(Claims!N25="","",Claims!N25)</f>
        <v/>
      </c>
      <c r="I29" s="41">
        <f>Claims!J25-Claims!I25</f>
        <v>2</v>
      </c>
      <c r="J29" s="42" t="str">
        <f t="shared" si="1"/>
        <v>n/a</v>
      </c>
      <c r="K29" s="42" t="str">
        <f t="shared" si="2"/>
        <v>n/a</v>
      </c>
      <c r="L29" s="42" t="str">
        <f t="shared" si="3"/>
        <v>n/a</v>
      </c>
      <c r="M29" s="42" t="str">
        <f t="shared" si="4"/>
        <v>n/a</v>
      </c>
      <c r="N29" s="42" t="str">
        <f t="shared" si="5"/>
        <v>n/a</v>
      </c>
      <c r="O29" s="42" t="str">
        <f t="shared" si="6"/>
        <v>n/a</v>
      </c>
      <c r="P29" s="42" t="str">
        <f t="shared" si="7"/>
        <v>Compliant</v>
      </c>
      <c r="Q29" s="42" t="str">
        <f t="shared" si="8"/>
        <v>Compliant</v>
      </c>
      <c r="R29" s="42" t="str">
        <f t="shared" si="9"/>
        <v>Compliant</v>
      </c>
      <c r="S29" s="36" t="str">
        <f t="shared" si="10"/>
        <v/>
      </c>
      <c r="T29" s="42" t="str">
        <f t="shared" si="11"/>
        <v/>
      </c>
      <c r="U29" s="42" t="str">
        <f t="shared" si="12"/>
        <v/>
      </c>
      <c r="V29" s="42" t="str">
        <f t="shared" si="13"/>
        <v/>
      </c>
      <c r="W29" s="42" t="str">
        <f t="shared" si="14"/>
        <v/>
      </c>
    </row>
    <row r="30" spans="1:23" ht="15" hidden="1" customHeight="1" x14ac:dyDescent="0.25">
      <c r="A30" s="36" t="str">
        <f>Claims!A26</f>
        <v>EXP00025</v>
      </c>
      <c r="B30" s="36" t="str">
        <f>Claims!D26</f>
        <v>M2</v>
      </c>
      <c r="C30" s="36" t="str">
        <f>Claims!E26</f>
        <v>Stationery</v>
      </c>
      <c r="D30" s="36" t="str">
        <f>Claims!G26</f>
        <v>Non-metro</v>
      </c>
      <c r="E30" s="40">
        <f>Claims!H26</f>
        <v>728</v>
      </c>
      <c r="F30" s="36" t="str">
        <f>Claims!K26</f>
        <v>Yes</v>
      </c>
      <c r="G30" s="36" t="str">
        <f>IF(Claims!M26="","",Claims!M26)</f>
        <v/>
      </c>
      <c r="H30" s="36" t="str">
        <f>IF(Claims!N26="","",Claims!N26)</f>
        <v/>
      </c>
      <c r="I30" s="41">
        <f>Claims!J26-Claims!I26</f>
        <v>5</v>
      </c>
      <c r="J30" s="42" t="str">
        <f t="shared" si="1"/>
        <v>n/a</v>
      </c>
      <c r="K30" s="42" t="str">
        <f t="shared" si="2"/>
        <v>n/a</v>
      </c>
      <c r="L30" s="42" t="str">
        <f t="shared" si="3"/>
        <v>n/a</v>
      </c>
      <c r="M30" s="42" t="str">
        <f t="shared" si="4"/>
        <v>n/a</v>
      </c>
      <c r="N30" s="42" t="str">
        <f t="shared" si="5"/>
        <v>n/a</v>
      </c>
      <c r="O30" s="42" t="str">
        <f t="shared" si="6"/>
        <v>n/a</v>
      </c>
      <c r="P30" s="42" t="str">
        <f t="shared" si="7"/>
        <v>Compliant</v>
      </c>
      <c r="Q30" s="42" t="str">
        <f t="shared" si="8"/>
        <v>Compliant</v>
      </c>
      <c r="R30" s="42" t="str">
        <f t="shared" si="9"/>
        <v>Compliant</v>
      </c>
      <c r="S30" s="36" t="str">
        <f t="shared" si="10"/>
        <v/>
      </c>
      <c r="T30" s="42" t="str">
        <f t="shared" si="11"/>
        <v/>
      </c>
      <c r="U30" s="42" t="str">
        <f t="shared" si="12"/>
        <v/>
      </c>
      <c r="V30" s="42" t="str">
        <f t="shared" si="13"/>
        <v/>
      </c>
      <c r="W30" s="42" t="str">
        <f t="shared" si="14"/>
        <v/>
      </c>
    </row>
    <row r="31" spans="1:23" ht="15" hidden="1" customHeight="1" x14ac:dyDescent="0.25">
      <c r="A31" s="36" t="str">
        <f>Claims!A27</f>
        <v>EXP00026</v>
      </c>
      <c r="B31" s="36" t="str">
        <f>Claims!D27</f>
        <v>M1</v>
      </c>
      <c r="C31" s="36" t="str">
        <f>Claims!E27</f>
        <v>Meals/DA</v>
      </c>
      <c r="D31" s="36" t="str">
        <f>Claims!G27</f>
        <v>Non-metro</v>
      </c>
      <c r="E31" s="40">
        <f>Claims!H27</f>
        <v>2160</v>
      </c>
      <c r="F31" s="36" t="str">
        <f>Claims!K27</f>
        <v>Yes</v>
      </c>
      <c r="G31" s="36" t="str">
        <f>IF(Claims!M27="","",Claims!M27)</f>
        <v/>
      </c>
      <c r="H31" s="36" t="str">
        <f>IF(Claims!N27="","",Claims!N27)</f>
        <v/>
      </c>
      <c r="I31" s="41">
        <f>Claims!J27-Claims!I27</f>
        <v>5</v>
      </c>
      <c r="J31" s="42" t="str">
        <f t="shared" si="1"/>
        <v>n/a</v>
      </c>
      <c r="K31" s="42" t="str">
        <f t="shared" si="2"/>
        <v>n/a</v>
      </c>
      <c r="L31" s="42" t="str">
        <f t="shared" si="3"/>
        <v>n/a</v>
      </c>
      <c r="M31" s="42" t="str">
        <f t="shared" si="4"/>
        <v>n/a</v>
      </c>
      <c r="N31" s="42" t="str">
        <f t="shared" si="5"/>
        <v>Violation</v>
      </c>
      <c r="O31" s="42" t="str">
        <f t="shared" si="6"/>
        <v>n/a</v>
      </c>
      <c r="P31" s="42" t="str">
        <f t="shared" si="7"/>
        <v>Compliant</v>
      </c>
      <c r="Q31" s="42" t="str">
        <f t="shared" si="8"/>
        <v>Compliant</v>
      </c>
      <c r="R31" s="42" t="str">
        <f t="shared" si="9"/>
        <v>Violation</v>
      </c>
      <c r="S31" s="36" t="str">
        <f t="shared" si="10"/>
        <v>TP-06</v>
      </c>
      <c r="T31" s="42" t="str">
        <f t="shared" si="11"/>
        <v/>
      </c>
      <c r="U31" s="42" t="str">
        <f t="shared" si="12"/>
        <v>Assumption-based</v>
      </c>
      <c r="V31" s="42">
        <f t="shared" si="13"/>
        <v>3</v>
      </c>
      <c r="W31" s="42" t="str">
        <f t="shared" si="14"/>
        <v>Needs days</v>
      </c>
    </row>
    <row r="32" spans="1:23" ht="15" hidden="1" customHeight="1" x14ac:dyDescent="0.25">
      <c r="A32" s="36" t="str">
        <f>Claims!A28</f>
        <v>EXP00027</v>
      </c>
      <c r="B32" s="36" t="str">
        <f>Claims!D28</f>
        <v>M3</v>
      </c>
      <c r="C32" s="36" t="str">
        <f>Claims!E28</f>
        <v>Train</v>
      </c>
      <c r="D32" s="36" t="str">
        <f>Claims!G28</f>
        <v>Metro</v>
      </c>
      <c r="E32" s="40">
        <f>Claims!H28</f>
        <v>2787</v>
      </c>
      <c r="F32" s="36" t="str">
        <f>Claims!K28</f>
        <v>Yes</v>
      </c>
      <c r="G32" s="36" t="str">
        <f>IF(Claims!M28="","",Claims!M28)</f>
        <v/>
      </c>
      <c r="H32" s="36" t="str">
        <f>IF(Claims!N28="","",Claims!N28)</f>
        <v/>
      </c>
      <c r="I32" s="41">
        <f>Claims!J28-Claims!I28</f>
        <v>20</v>
      </c>
      <c r="J32" s="42" t="str">
        <f t="shared" si="1"/>
        <v>n/a</v>
      </c>
      <c r="K32" s="42" t="str">
        <f t="shared" si="2"/>
        <v>n/a</v>
      </c>
      <c r="L32" s="42" t="str">
        <f t="shared" si="3"/>
        <v>n/a</v>
      </c>
      <c r="M32" s="42" t="str">
        <f t="shared" si="4"/>
        <v>n/a</v>
      </c>
      <c r="N32" s="42" t="str">
        <f t="shared" si="5"/>
        <v>n/a</v>
      </c>
      <c r="O32" s="42" t="str">
        <f t="shared" si="6"/>
        <v>n/a</v>
      </c>
      <c r="P32" s="42" t="str">
        <f t="shared" si="7"/>
        <v>Compliant</v>
      </c>
      <c r="Q32" s="42" t="str">
        <f t="shared" si="8"/>
        <v>Violation</v>
      </c>
      <c r="R32" s="42" t="str">
        <f t="shared" si="9"/>
        <v>Violation</v>
      </c>
      <c r="S32" s="36" t="str">
        <f t="shared" si="10"/>
        <v>TP-10</v>
      </c>
      <c r="T32" s="42" t="str">
        <f t="shared" si="11"/>
        <v>Late</v>
      </c>
      <c r="U32" s="42" t="str">
        <f t="shared" si="12"/>
        <v>Definite</v>
      </c>
      <c r="V32" s="42" t="str">
        <f t="shared" si="13"/>
        <v/>
      </c>
      <c r="W32" s="42" t="str">
        <f t="shared" si="14"/>
        <v/>
      </c>
    </row>
    <row r="33" spans="1:23" ht="15" hidden="1" customHeight="1" x14ac:dyDescent="0.25">
      <c r="A33" s="36" t="str">
        <f>Claims!A29</f>
        <v>EXP00028</v>
      </c>
      <c r="B33" s="36" t="str">
        <f>Claims!D29</f>
        <v>M1</v>
      </c>
      <c r="C33" s="36" t="str">
        <f>Claims!E29</f>
        <v>Local Cab</v>
      </c>
      <c r="D33" s="36" t="str">
        <f>Claims!G29</f>
        <v>Metro</v>
      </c>
      <c r="E33" s="40">
        <f>Claims!H29</f>
        <v>1233</v>
      </c>
      <c r="F33" s="36" t="str">
        <f>Claims!K29</f>
        <v>Yes</v>
      </c>
      <c r="G33" s="36" t="str">
        <f>IF(Claims!M29="","",Claims!M29)</f>
        <v/>
      </c>
      <c r="H33" s="36" t="str">
        <f>IF(Claims!N29="","",Claims!N29)</f>
        <v/>
      </c>
      <c r="I33" s="41">
        <f>Claims!J29-Claims!I29</f>
        <v>9</v>
      </c>
      <c r="J33" s="42" t="str">
        <f t="shared" si="1"/>
        <v>n/a</v>
      </c>
      <c r="K33" s="42" t="str">
        <f t="shared" si="2"/>
        <v>n/a</v>
      </c>
      <c r="L33" s="42" t="str">
        <f t="shared" si="3"/>
        <v>n/a</v>
      </c>
      <c r="M33" s="42" t="str">
        <f t="shared" si="4"/>
        <v>n/a</v>
      </c>
      <c r="N33" s="42" t="str">
        <f t="shared" si="5"/>
        <v>n/a</v>
      </c>
      <c r="O33" s="42" t="str">
        <f t="shared" si="6"/>
        <v>n/a</v>
      </c>
      <c r="P33" s="42" t="str">
        <f t="shared" si="7"/>
        <v>Compliant</v>
      </c>
      <c r="Q33" s="42" t="str">
        <f t="shared" si="8"/>
        <v>Compliant</v>
      </c>
      <c r="R33" s="42" t="str">
        <f t="shared" si="9"/>
        <v>Compliant</v>
      </c>
      <c r="S33" s="36" t="str">
        <f t="shared" si="10"/>
        <v/>
      </c>
      <c r="T33" s="42" t="str">
        <f t="shared" si="11"/>
        <v/>
      </c>
      <c r="U33" s="42" t="str">
        <f t="shared" si="12"/>
        <v/>
      </c>
      <c r="V33" s="42" t="str">
        <f t="shared" si="13"/>
        <v/>
      </c>
      <c r="W33" s="42" t="str">
        <f t="shared" si="14"/>
        <v/>
      </c>
    </row>
    <row r="34" spans="1:23" ht="15" hidden="1" customHeight="1" x14ac:dyDescent="0.25">
      <c r="A34" s="36" t="str">
        <f>Claims!A30</f>
        <v>EXP00029</v>
      </c>
      <c r="B34" s="36" t="str">
        <f>Claims!D30</f>
        <v>M2</v>
      </c>
      <c r="C34" s="36" t="str">
        <f>Claims!E30</f>
        <v>Alcohol</v>
      </c>
      <c r="D34" s="36" t="str">
        <f>Claims!G30</f>
        <v>Metro</v>
      </c>
      <c r="E34" s="40">
        <f>Claims!H30</f>
        <v>4803</v>
      </c>
      <c r="F34" s="36" t="str">
        <f>Claims!K30</f>
        <v>Yes</v>
      </c>
      <c r="G34" s="36" t="str">
        <f>IF(Claims!M30="","",Claims!M30)</f>
        <v/>
      </c>
      <c r="H34" s="36" t="str">
        <f>IF(Claims!N30="","",Claims!N30)</f>
        <v/>
      </c>
      <c r="I34" s="41">
        <f>Claims!J30-Claims!I30</f>
        <v>5</v>
      </c>
      <c r="J34" s="42" t="str">
        <f t="shared" si="1"/>
        <v>n/a</v>
      </c>
      <c r="K34" s="42" t="str">
        <f t="shared" si="2"/>
        <v>n/a</v>
      </c>
      <c r="L34" s="42" t="str">
        <f t="shared" si="3"/>
        <v>n/a</v>
      </c>
      <c r="M34" s="42" t="str">
        <f t="shared" si="4"/>
        <v>n/a</v>
      </c>
      <c r="N34" s="42" t="str">
        <f t="shared" si="5"/>
        <v>n/a</v>
      </c>
      <c r="O34" s="42" t="str">
        <f t="shared" si="6"/>
        <v>Violation</v>
      </c>
      <c r="P34" s="42" t="str">
        <f t="shared" si="7"/>
        <v>Compliant</v>
      </c>
      <c r="Q34" s="42" t="str">
        <f t="shared" si="8"/>
        <v>Compliant</v>
      </c>
      <c r="R34" s="42" t="str">
        <f t="shared" si="9"/>
        <v>Violation</v>
      </c>
      <c r="S34" s="36" t="str">
        <f t="shared" si="10"/>
        <v>TP-08</v>
      </c>
      <c r="T34" s="42" t="str">
        <f t="shared" si="11"/>
        <v/>
      </c>
      <c r="U34" s="42" t="str">
        <f t="shared" si="12"/>
        <v>Definite</v>
      </c>
      <c r="V34" s="42" t="str">
        <f t="shared" si="13"/>
        <v/>
      </c>
      <c r="W34" s="42" t="str">
        <f t="shared" si="14"/>
        <v/>
      </c>
    </row>
    <row r="35" spans="1:23" ht="15" hidden="1" customHeight="1" x14ac:dyDescent="0.25">
      <c r="A35" s="36" t="str">
        <f>Claims!A31</f>
        <v>EXP00030</v>
      </c>
      <c r="B35" s="36" t="str">
        <f>Claims!D31</f>
        <v>M1</v>
      </c>
      <c r="C35" s="36" t="str">
        <f>Claims!E31</f>
        <v>Local Cab</v>
      </c>
      <c r="D35" s="36" t="str">
        <f>Claims!G31</f>
        <v>Non-metro</v>
      </c>
      <c r="E35" s="40">
        <f>Claims!H31</f>
        <v>1564</v>
      </c>
      <c r="F35" s="36" t="str">
        <f>Claims!K31</f>
        <v>No</v>
      </c>
      <c r="G35" s="36" t="str">
        <f>IF(Claims!M31="","",Claims!M31)</f>
        <v/>
      </c>
      <c r="H35" s="36" t="str">
        <f>IF(Claims!N31="","",Claims!N31)</f>
        <v/>
      </c>
      <c r="I35" s="41">
        <f>Claims!J31-Claims!I31</f>
        <v>2</v>
      </c>
      <c r="J35" s="42" t="str">
        <f t="shared" si="1"/>
        <v>n/a</v>
      </c>
      <c r="K35" s="42" t="str">
        <f t="shared" si="2"/>
        <v>n/a</v>
      </c>
      <c r="L35" s="42" t="str">
        <f t="shared" si="3"/>
        <v>n/a</v>
      </c>
      <c r="M35" s="42" t="str">
        <f t="shared" si="4"/>
        <v>n/a</v>
      </c>
      <c r="N35" s="42" t="str">
        <f t="shared" si="5"/>
        <v>n/a</v>
      </c>
      <c r="O35" s="42" t="str">
        <f t="shared" si="6"/>
        <v>n/a</v>
      </c>
      <c r="P35" s="42" t="str">
        <f t="shared" si="7"/>
        <v>Violation</v>
      </c>
      <c r="Q35" s="42" t="str">
        <f t="shared" si="8"/>
        <v>Compliant</v>
      </c>
      <c r="R35" s="42" t="str">
        <f t="shared" si="9"/>
        <v>Violation</v>
      </c>
      <c r="S35" s="36" t="str">
        <f t="shared" si="10"/>
        <v>TP-09</v>
      </c>
      <c r="T35" s="42" t="str">
        <f t="shared" si="11"/>
        <v/>
      </c>
      <c r="U35" s="42" t="str">
        <f t="shared" si="12"/>
        <v>Definite</v>
      </c>
      <c r="V35" s="42" t="str">
        <f t="shared" si="13"/>
        <v/>
      </c>
      <c r="W35" s="42" t="str">
        <f t="shared" si="14"/>
        <v/>
      </c>
    </row>
    <row r="36" spans="1:23" ht="15" hidden="1" customHeight="1" x14ac:dyDescent="0.25">
      <c r="A36" s="36" t="str">
        <f>Claims!A32</f>
        <v>EXP00031</v>
      </c>
      <c r="B36" s="36" t="str">
        <f>Claims!D32</f>
        <v>M1</v>
      </c>
      <c r="C36" s="36" t="str">
        <f>Claims!E32</f>
        <v>Local Cab</v>
      </c>
      <c r="D36" s="36" t="str">
        <f>Claims!G32</f>
        <v>Metro</v>
      </c>
      <c r="E36" s="40">
        <f>Claims!H32</f>
        <v>1971</v>
      </c>
      <c r="F36" s="36" t="str">
        <f>Claims!K32</f>
        <v>Yes</v>
      </c>
      <c r="G36" s="36" t="str">
        <f>IF(Claims!M32="","",Claims!M32)</f>
        <v/>
      </c>
      <c r="H36" s="36" t="str">
        <f>IF(Claims!N32="","",Claims!N32)</f>
        <v/>
      </c>
      <c r="I36" s="41">
        <f>Claims!J32-Claims!I32</f>
        <v>5</v>
      </c>
      <c r="J36" s="42" t="str">
        <f t="shared" si="1"/>
        <v>n/a</v>
      </c>
      <c r="K36" s="42" t="str">
        <f t="shared" si="2"/>
        <v>n/a</v>
      </c>
      <c r="L36" s="42" t="str">
        <f t="shared" si="3"/>
        <v>n/a</v>
      </c>
      <c r="M36" s="42" t="str">
        <f t="shared" si="4"/>
        <v>n/a</v>
      </c>
      <c r="N36" s="42" t="str">
        <f t="shared" si="5"/>
        <v>n/a</v>
      </c>
      <c r="O36" s="42" t="str">
        <f t="shared" si="6"/>
        <v>n/a</v>
      </c>
      <c r="P36" s="42" t="str">
        <f t="shared" si="7"/>
        <v>Compliant</v>
      </c>
      <c r="Q36" s="42" t="str">
        <f t="shared" si="8"/>
        <v>Compliant</v>
      </c>
      <c r="R36" s="42" t="str">
        <f t="shared" si="9"/>
        <v>Compliant</v>
      </c>
      <c r="S36" s="36" t="str">
        <f t="shared" si="10"/>
        <v/>
      </c>
      <c r="T36" s="42" t="str">
        <f t="shared" si="11"/>
        <v/>
      </c>
      <c r="U36" s="42" t="str">
        <f t="shared" si="12"/>
        <v/>
      </c>
      <c r="V36" s="42" t="str">
        <f t="shared" si="13"/>
        <v/>
      </c>
      <c r="W36" s="42" t="str">
        <f t="shared" si="14"/>
        <v/>
      </c>
    </row>
    <row r="37" spans="1:23" ht="15" hidden="1" customHeight="1" x14ac:dyDescent="0.25">
      <c r="A37" s="36" t="str">
        <f>Claims!A33</f>
        <v>EXP00032</v>
      </c>
      <c r="B37" s="36" t="str">
        <f>Claims!D33</f>
        <v>M3</v>
      </c>
      <c r="C37" s="36" t="str">
        <f>Claims!E33</f>
        <v>Flight</v>
      </c>
      <c r="D37" s="36" t="str">
        <f>Claims!G33</f>
        <v>Metro</v>
      </c>
      <c r="E37" s="40">
        <f>Claims!H33</f>
        <v>8594</v>
      </c>
      <c r="F37" s="36" t="str">
        <f>Claims!K33</f>
        <v>Yes</v>
      </c>
      <c r="G37" s="36">
        <f>IF(Claims!M33="","",Claims!M33)</f>
        <v>11</v>
      </c>
      <c r="H37" s="36" t="str">
        <f>IF(Claims!N33="","",Claims!N33)</f>
        <v>Economy</v>
      </c>
      <c r="I37" s="41">
        <f>Claims!J33-Claims!I33</f>
        <v>5</v>
      </c>
      <c r="J37" s="42" t="str">
        <f t="shared" si="1"/>
        <v>Compliant</v>
      </c>
      <c r="K37" s="42" t="str">
        <f t="shared" si="2"/>
        <v>Compliant</v>
      </c>
      <c r="L37" s="42" t="str">
        <f t="shared" si="3"/>
        <v>n/a</v>
      </c>
      <c r="M37" s="42" t="str">
        <f t="shared" si="4"/>
        <v>n/a</v>
      </c>
      <c r="N37" s="42" t="str">
        <f t="shared" si="5"/>
        <v>n/a</v>
      </c>
      <c r="O37" s="42" t="str">
        <f t="shared" si="6"/>
        <v>n/a</v>
      </c>
      <c r="P37" s="42" t="str">
        <f t="shared" si="7"/>
        <v>Compliant</v>
      </c>
      <c r="Q37" s="42" t="str">
        <f t="shared" si="8"/>
        <v>Compliant</v>
      </c>
      <c r="R37" s="42" t="str">
        <f t="shared" si="9"/>
        <v>Compliant</v>
      </c>
      <c r="S37" s="36" t="str">
        <f t="shared" si="10"/>
        <v/>
      </c>
      <c r="T37" s="42" t="str">
        <f t="shared" si="11"/>
        <v/>
      </c>
      <c r="U37" s="42" t="str">
        <f t="shared" si="12"/>
        <v/>
      </c>
      <c r="V37" s="42" t="str">
        <f t="shared" si="13"/>
        <v/>
      </c>
      <c r="W37" s="42" t="str">
        <f t="shared" si="14"/>
        <v/>
      </c>
    </row>
    <row r="38" spans="1:23" ht="15" hidden="1" customHeight="1" x14ac:dyDescent="0.25">
      <c r="A38" s="36" t="str">
        <f>Claims!A34</f>
        <v>EXP00033</v>
      </c>
      <c r="B38" s="36" t="str">
        <f>Claims!D34</f>
        <v>M5</v>
      </c>
      <c r="C38" s="36" t="str">
        <f>Claims!E34</f>
        <v>Hotel</v>
      </c>
      <c r="D38" s="36" t="str">
        <f>Claims!G34</f>
        <v>Metro</v>
      </c>
      <c r="E38" s="40">
        <f>Claims!H34</f>
        <v>4231</v>
      </c>
      <c r="F38" s="36" t="str">
        <f>Claims!K34</f>
        <v>Yes</v>
      </c>
      <c r="G38" s="36" t="str">
        <f>IF(Claims!M34="","",Claims!M34)</f>
        <v/>
      </c>
      <c r="H38" s="36" t="str">
        <f>IF(Claims!N34="","",Claims!N34)</f>
        <v/>
      </c>
      <c r="I38" s="41">
        <f>Claims!J34-Claims!I34</f>
        <v>2</v>
      </c>
      <c r="J38" s="42" t="str">
        <f t="shared" si="1"/>
        <v>n/a</v>
      </c>
      <c r="K38" s="42" t="str">
        <f t="shared" si="2"/>
        <v>n/a</v>
      </c>
      <c r="L38" s="42" t="str">
        <f t="shared" si="3"/>
        <v>Compliant</v>
      </c>
      <c r="M38" s="42" t="str">
        <f t="shared" si="4"/>
        <v>n/a</v>
      </c>
      <c r="N38" s="42" t="str">
        <f t="shared" si="5"/>
        <v>n/a</v>
      </c>
      <c r="O38" s="42" t="str">
        <f t="shared" si="6"/>
        <v>n/a</v>
      </c>
      <c r="P38" s="42" t="str">
        <f t="shared" si="7"/>
        <v>Compliant</v>
      </c>
      <c r="Q38" s="42" t="str">
        <f t="shared" si="8"/>
        <v>Compliant</v>
      </c>
      <c r="R38" s="42" t="str">
        <f t="shared" si="9"/>
        <v>Compliant</v>
      </c>
      <c r="S38" s="36" t="str">
        <f t="shared" si="10"/>
        <v/>
      </c>
      <c r="T38" s="42" t="str">
        <f t="shared" si="11"/>
        <v/>
      </c>
      <c r="U38" s="42" t="str">
        <f t="shared" si="12"/>
        <v/>
      </c>
      <c r="V38" s="42" t="str">
        <f t="shared" si="13"/>
        <v/>
      </c>
      <c r="W38" s="42" t="str">
        <f t="shared" si="14"/>
        <v/>
      </c>
    </row>
    <row r="39" spans="1:23" ht="15" hidden="1" customHeight="1" x14ac:dyDescent="0.25">
      <c r="A39" s="36" t="str">
        <f>Claims!A35</f>
        <v>EXP00034</v>
      </c>
      <c r="B39" s="36" t="str">
        <f>Claims!D35</f>
        <v>M2</v>
      </c>
      <c r="C39" s="36" t="str">
        <f>Claims!E35</f>
        <v>Local Cab</v>
      </c>
      <c r="D39" s="36" t="str">
        <f>Claims!G35</f>
        <v>Non-metro</v>
      </c>
      <c r="E39" s="40">
        <f>Claims!H35</f>
        <v>157</v>
      </c>
      <c r="F39" s="36" t="str">
        <f>Claims!K35</f>
        <v>Yes</v>
      </c>
      <c r="G39" s="36" t="str">
        <f>IF(Claims!M35="","",Claims!M35)</f>
        <v/>
      </c>
      <c r="H39" s="36" t="str">
        <f>IF(Claims!N35="","",Claims!N35)</f>
        <v/>
      </c>
      <c r="I39" s="41">
        <f>Claims!J35-Claims!I35</f>
        <v>14</v>
      </c>
      <c r="J39" s="42" t="str">
        <f t="shared" si="1"/>
        <v>n/a</v>
      </c>
      <c r="K39" s="42" t="str">
        <f t="shared" si="2"/>
        <v>n/a</v>
      </c>
      <c r="L39" s="42" t="str">
        <f t="shared" si="3"/>
        <v>n/a</v>
      </c>
      <c r="M39" s="42" t="str">
        <f t="shared" si="4"/>
        <v>n/a</v>
      </c>
      <c r="N39" s="42" t="str">
        <f t="shared" si="5"/>
        <v>n/a</v>
      </c>
      <c r="O39" s="42" t="str">
        <f t="shared" si="6"/>
        <v>n/a</v>
      </c>
      <c r="P39" s="42" t="str">
        <f t="shared" si="7"/>
        <v>Compliant</v>
      </c>
      <c r="Q39" s="42" t="str">
        <f t="shared" si="8"/>
        <v>Compliant</v>
      </c>
      <c r="R39" s="42" t="str">
        <f t="shared" si="9"/>
        <v>Compliant</v>
      </c>
      <c r="S39" s="36" t="str">
        <f t="shared" si="10"/>
        <v/>
      </c>
      <c r="T39" s="42" t="str">
        <f t="shared" si="11"/>
        <v/>
      </c>
      <c r="U39" s="42" t="str">
        <f t="shared" si="12"/>
        <v/>
      </c>
      <c r="V39" s="42" t="str">
        <f t="shared" si="13"/>
        <v/>
      </c>
      <c r="W39" s="42" t="str">
        <f t="shared" si="14"/>
        <v/>
      </c>
    </row>
    <row r="40" spans="1:23" ht="15" hidden="1" customHeight="1" x14ac:dyDescent="0.25">
      <c r="A40" s="36" t="str">
        <f>Claims!A36</f>
        <v>EXP00035</v>
      </c>
      <c r="B40" s="36" t="str">
        <f>Claims!D36</f>
        <v>M4</v>
      </c>
      <c r="C40" s="36" t="str">
        <f>Claims!E36</f>
        <v>Hotel</v>
      </c>
      <c r="D40" s="36" t="str">
        <f>Claims!G36</f>
        <v>Non-metro</v>
      </c>
      <c r="E40" s="40">
        <f>Claims!H36</f>
        <v>3894</v>
      </c>
      <c r="F40" s="36" t="str">
        <f>Claims!K36</f>
        <v>Yes</v>
      </c>
      <c r="G40" s="36" t="str">
        <f>IF(Claims!M36="","",Claims!M36)</f>
        <v/>
      </c>
      <c r="H40" s="36" t="str">
        <f>IF(Claims!N36="","",Claims!N36)</f>
        <v/>
      </c>
      <c r="I40" s="41">
        <f>Claims!J36-Claims!I36</f>
        <v>20</v>
      </c>
      <c r="J40" s="42" t="str">
        <f t="shared" si="1"/>
        <v>n/a</v>
      </c>
      <c r="K40" s="42" t="str">
        <f t="shared" si="2"/>
        <v>n/a</v>
      </c>
      <c r="L40" s="42" t="str">
        <f t="shared" si="3"/>
        <v>n/a</v>
      </c>
      <c r="M40" s="42" t="str">
        <f t="shared" si="4"/>
        <v>Compliant</v>
      </c>
      <c r="N40" s="42" t="str">
        <f t="shared" si="5"/>
        <v>n/a</v>
      </c>
      <c r="O40" s="42" t="str">
        <f t="shared" si="6"/>
        <v>n/a</v>
      </c>
      <c r="P40" s="42" t="str">
        <f t="shared" si="7"/>
        <v>Compliant</v>
      </c>
      <c r="Q40" s="42" t="str">
        <f t="shared" si="8"/>
        <v>Violation</v>
      </c>
      <c r="R40" s="42" t="str">
        <f t="shared" si="9"/>
        <v>Violation</v>
      </c>
      <c r="S40" s="36" t="str">
        <f t="shared" si="10"/>
        <v>TP-10</v>
      </c>
      <c r="T40" s="42" t="str">
        <f t="shared" si="11"/>
        <v>Late</v>
      </c>
      <c r="U40" s="42" t="str">
        <f t="shared" si="12"/>
        <v>Definite</v>
      </c>
      <c r="V40" s="42" t="str">
        <f t="shared" si="13"/>
        <v/>
      </c>
      <c r="W40" s="42" t="str">
        <f t="shared" si="14"/>
        <v/>
      </c>
    </row>
    <row r="41" spans="1:23" ht="15" hidden="1" customHeight="1" x14ac:dyDescent="0.25">
      <c r="A41" s="36" t="str">
        <f>Claims!A37</f>
        <v>EXP00036</v>
      </c>
      <c r="B41" s="36" t="str">
        <f>Claims!D37</f>
        <v>M2</v>
      </c>
      <c r="C41" s="36" t="str">
        <f>Claims!E37</f>
        <v>Hotel</v>
      </c>
      <c r="D41" s="36" t="str">
        <f>Claims!G37</f>
        <v>Non-metro</v>
      </c>
      <c r="E41" s="40">
        <f>Claims!H37</f>
        <v>14609</v>
      </c>
      <c r="F41" s="36" t="str">
        <f>Claims!K37</f>
        <v>Yes</v>
      </c>
      <c r="G41" s="36" t="str">
        <f>IF(Claims!M37="","",Claims!M37)</f>
        <v/>
      </c>
      <c r="H41" s="36" t="str">
        <f>IF(Claims!N37="","",Claims!N37)</f>
        <v/>
      </c>
      <c r="I41" s="41">
        <f>Claims!J37-Claims!I37</f>
        <v>5</v>
      </c>
      <c r="J41" s="42" t="str">
        <f t="shared" si="1"/>
        <v>n/a</v>
      </c>
      <c r="K41" s="42" t="str">
        <f t="shared" si="2"/>
        <v>n/a</v>
      </c>
      <c r="L41" s="42" t="str">
        <f t="shared" si="3"/>
        <v>n/a</v>
      </c>
      <c r="M41" s="42" t="str">
        <f t="shared" si="4"/>
        <v>Violation</v>
      </c>
      <c r="N41" s="42" t="str">
        <f t="shared" si="5"/>
        <v>n/a</v>
      </c>
      <c r="O41" s="42" t="str">
        <f t="shared" si="6"/>
        <v>n/a</v>
      </c>
      <c r="P41" s="42" t="str">
        <f t="shared" si="7"/>
        <v>Compliant</v>
      </c>
      <c r="Q41" s="42" t="str">
        <f t="shared" si="8"/>
        <v>Compliant</v>
      </c>
      <c r="R41" s="42" t="str">
        <f t="shared" si="9"/>
        <v>Violation</v>
      </c>
      <c r="S41" s="36" t="str">
        <f t="shared" si="10"/>
        <v>TP-05</v>
      </c>
      <c r="T41" s="42" t="str">
        <f t="shared" si="11"/>
        <v/>
      </c>
      <c r="U41" s="42" t="str">
        <f t="shared" si="12"/>
        <v>Assumption-based</v>
      </c>
      <c r="V41" s="42">
        <f t="shared" si="13"/>
        <v>4</v>
      </c>
      <c r="W41" s="42" t="str">
        <f t="shared" si="14"/>
        <v>Needs nights</v>
      </c>
    </row>
    <row r="42" spans="1:23" ht="15" hidden="1" customHeight="1" x14ac:dyDescent="0.25">
      <c r="A42" s="36" t="str">
        <f>Claims!A38</f>
        <v>EXP00037</v>
      </c>
      <c r="B42" s="36" t="str">
        <f>Claims!D38</f>
        <v>M3</v>
      </c>
      <c r="C42" s="36" t="str">
        <f>Claims!E38</f>
        <v>Client Entertainment</v>
      </c>
      <c r="D42" s="36" t="str">
        <f>Claims!G38</f>
        <v>Metro</v>
      </c>
      <c r="E42" s="40">
        <f>Claims!H38</f>
        <v>15200</v>
      </c>
      <c r="F42" s="36" t="str">
        <f>Claims!K38</f>
        <v>Yes</v>
      </c>
      <c r="G42" s="36" t="str">
        <f>IF(Claims!M38="","",Claims!M38)</f>
        <v/>
      </c>
      <c r="H42" s="36" t="str">
        <f>IF(Claims!N38="","",Claims!N38)</f>
        <v/>
      </c>
      <c r="I42" s="41">
        <f>Claims!J38-Claims!I38</f>
        <v>70</v>
      </c>
      <c r="J42" s="42" t="str">
        <f t="shared" si="1"/>
        <v>n/a</v>
      </c>
      <c r="K42" s="42" t="str">
        <f t="shared" si="2"/>
        <v>n/a</v>
      </c>
      <c r="L42" s="42" t="str">
        <f t="shared" si="3"/>
        <v>n/a</v>
      </c>
      <c r="M42" s="42" t="str">
        <f t="shared" si="4"/>
        <v>n/a</v>
      </c>
      <c r="N42" s="42" t="str">
        <f t="shared" si="5"/>
        <v>n/a</v>
      </c>
      <c r="O42" s="42" t="str">
        <f t="shared" si="6"/>
        <v>n/a</v>
      </c>
      <c r="P42" s="42" t="str">
        <f t="shared" si="7"/>
        <v>Compliant</v>
      </c>
      <c r="Q42" s="42" t="str">
        <f t="shared" si="8"/>
        <v>Violation</v>
      </c>
      <c r="R42" s="42" t="str">
        <f t="shared" si="9"/>
        <v>Violation</v>
      </c>
      <c r="S42" s="36" t="str">
        <f t="shared" si="10"/>
        <v>TP-10</v>
      </c>
      <c r="T42" s="42" t="str">
        <f t="shared" si="11"/>
        <v>Expired</v>
      </c>
      <c r="U42" s="42" t="str">
        <f t="shared" si="12"/>
        <v>Definite</v>
      </c>
      <c r="V42" s="42" t="str">
        <f t="shared" si="13"/>
        <v/>
      </c>
      <c r="W42" s="42" t="str">
        <f t="shared" si="14"/>
        <v/>
      </c>
    </row>
    <row r="43" spans="1:23" ht="15" hidden="1" customHeight="1" x14ac:dyDescent="0.25">
      <c r="A43" s="36" t="str">
        <f>Claims!A39</f>
        <v>EXP00038</v>
      </c>
      <c r="B43" s="36" t="str">
        <f>Claims!D39</f>
        <v>M3</v>
      </c>
      <c r="C43" s="36" t="str">
        <f>Claims!E39</f>
        <v>Flight</v>
      </c>
      <c r="D43" s="36" t="str">
        <f>Claims!G39</f>
        <v>Metro</v>
      </c>
      <c r="E43" s="40">
        <f>Claims!H39</f>
        <v>14773</v>
      </c>
      <c r="F43" s="36" t="str">
        <f>Claims!K39</f>
        <v>Yes</v>
      </c>
      <c r="G43" s="36">
        <f>IF(Claims!M39="","",Claims!M39)</f>
        <v>2</v>
      </c>
      <c r="H43" s="36" t="str">
        <f>IF(Claims!N39="","",Claims!N39)</f>
        <v>Economy</v>
      </c>
      <c r="I43" s="41">
        <f>Claims!J39-Claims!I39</f>
        <v>35</v>
      </c>
      <c r="J43" s="42" t="str">
        <f t="shared" si="1"/>
        <v>Compliant</v>
      </c>
      <c r="K43" s="42" t="str">
        <f t="shared" si="2"/>
        <v>Violation</v>
      </c>
      <c r="L43" s="42" t="str">
        <f t="shared" si="3"/>
        <v>n/a</v>
      </c>
      <c r="M43" s="42" t="str">
        <f t="shared" si="4"/>
        <v>n/a</v>
      </c>
      <c r="N43" s="42" t="str">
        <f t="shared" si="5"/>
        <v>n/a</v>
      </c>
      <c r="O43" s="42" t="str">
        <f t="shared" si="6"/>
        <v>n/a</v>
      </c>
      <c r="P43" s="42" t="str">
        <f t="shared" si="7"/>
        <v>Compliant</v>
      </c>
      <c r="Q43" s="42" t="str">
        <f t="shared" si="8"/>
        <v>Violation</v>
      </c>
      <c r="R43" s="42" t="str">
        <f t="shared" si="9"/>
        <v>Violation</v>
      </c>
      <c r="S43" s="36" t="str">
        <f t="shared" si="10"/>
        <v>TP-02, TP-10</v>
      </c>
      <c r="T43" s="42" t="str">
        <f t="shared" si="11"/>
        <v>Late</v>
      </c>
      <c r="U43" s="42" t="str">
        <f t="shared" si="12"/>
        <v>Definite</v>
      </c>
      <c r="V43" s="42" t="str">
        <f t="shared" si="13"/>
        <v/>
      </c>
      <c r="W43" s="42" t="str">
        <f t="shared" si="14"/>
        <v>Needs approval</v>
      </c>
    </row>
    <row r="44" spans="1:23" ht="15" hidden="1" customHeight="1" x14ac:dyDescent="0.25">
      <c r="A44" s="36" t="str">
        <f>Claims!A40</f>
        <v>EXP00039</v>
      </c>
      <c r="B44" s="36" t="str">
        <f>Claims!D40</f>
        <v>M5</v>
      </c>
      <c r="C44" s="36" t="str">
        <f>Claims!E40</f>
        <v>Meals/DA</v>
      </c>
      <c r="D44" s="36" t="str">
        <f>Claims!G40</f>
        <v>Non-metro</v>
      </c>
      <c r="E44" s="40">
        <f>Claims!H40</f>
        <v>1613</v>
      </c>
      <c r="F44" s="36" t="str">
        <f>Claims!K40</f>
        <v>Yes</v>
      </c>
      <c r="G44" s="36" t="str">
        <f>IF(Claims!M40="","",Claims!M40)</f>
        <v/>
      </c>
      <c r="H44" s="36" t="str">
        <f>IF(Claims!N40="","",Claims!N40)</f>
        <v/>
      </c>
      <c r="I44" s="41">
        <f>Claims!J40-Claims!I40</f>
        <v>9</v>
      </c>
      <c r="J44" s="42" t="str">
        <f t="shared" si="1"/>
        <v>n/a</v>
      </c>
      <c r="K44" s="42" t="str">
        <f t="shared" si="2"/>
        <v>n/a</v>
      </c>
      <c r="L44" s="42" t="str">
        <f t="shared" si="3"/>
        <v>n/a</v>
      </c>
      <c r="M44" s="42" t="str">
        <f t="shared" si="4"/>
        <v>n/a</v>
      </c>
      <c r="N44" s="42" t="str">
        <f t="shared" si="5"/>
        <v>Violation</v>
      </c>
      <c r="O44" s="42" t="str">
        <f t="shared" si="6"/>
        <v>n/a</v>
      </c>
      <c r="P44" s="42" t="str">
        <f t="shared" si="7"/>
        <v>Compliant</v>
      </c>
      <c r="Q44" s="42" t="str">
        <f t="shared" si="8"/>
        <v>Compliant</v>
      </c>
      <c r="R44" s="42" t="str">
        <f t="shared" si="9"/>
        <v>Violation</v>
      </c>
      <c r="S44" s="36" t="str">
        <f t="shared" si="10"/>
        <v>TP-06</v>
      </c>
      <c r="T44" s="42" t="str">
        <f t="shared" si="11"/>
        <v/>
      </c>
      <c r="U44" s="42" t="str">
        <f t="shared" si="12"/>
        <v>Assumption-based</v>
      </c>
      <c r="V44" s="42">
        <f t="shared" si="13"/>
        <v>2</v>
      </c>
      <c r="W44" s="42" t="str">
        <f t="shared" si="14"/>
        <v>Needs days</v>
      </c>
    </row>
    <row r="45" spans="1:23" ht="15" hidden="1" customHeight="1" x14ac:dyDescent="0.25">
      <c r="A45" s="36" t="str">
        <f>Claims!A41</f>
        <v>EXP00040</v>
      </c>
      <c r="B45" s="36" t="str">
        <f>Claims!D41</f>
        <v>M2</v>
      </c>
      <c r="C45" s="36" t="str">
        <f>Claims!E41</f>
        <v>Meals/DA</v>
      </c>
      <c r="D45" s="36" t="str">
        <f>Claims!G41</f>
        <v>Metro</v>
      </c>
      <c r="E45" s="40">
        <f>Claims!H41</f>
        <v>872</v>
      </c>
      <c r="F45" s="36" t="str">
        <f>Claims!K41</f>
        <v>No</v>
      </c>
      <c r="G45" s="36" t="str">
        <f>IF(Claims!M41="","",Claims!M41)</f>
        <v/>
      </c>
      <c r="H45" s="36" t="str">
        <f>IF(Claims!N41="","",Claims!N41)</f>
        <v/>
      </c>
      <c r="I45" s="41">
        <f>Claims!J41-Claims!I41</f>
        <v>5</v>
      </c>
      <c r="J45" s="42" t="str">
        <f t="shared" si="1"/>
        <v>n/a</v>
      </c>
      <c r="K45" s="42" t="str">
        <f t="shared" si="2"/>
        <v>n/a</v>
      </c>
      <c r="L45" s="42" t="str">
        <f t="shared" si="3"/>
        <v>n/a</v>
      </c>
      <c r="M45" s="42" t="str">
        <f t="shared" si="4"/>
        <v>n/a</v>
      </c>
      <c r="N45" s="42" t="str">
        <f t="shared" si="5"/>
        <v>Compliant</v>
      </c>
      <c r="O45" s="42" t="str">
        <f t="shared" si="6"/>
        <v>n/a</v>
      </c>
      <c r="P45" s="42" t="str">
        <f t="shared" si="7"/>
        <v>Violation</v>
      </c>
      <c r="Q45" s="42" t="str">
        <f t="shared" si="8"/>
        <v>Compliant</v>
      </c>
      <c r="R45" s="42" t="str">
        <f t="shared" si="9"/>
        <v>Violation</v>
      </c>
      <c r="S45" s="36" t="str">
        <f t="shared" si="10"/>
        <v>TP-09</v>
      </c>
      <c r="T45" s="42" t="str">
        <f t="shared" si="11"/>
        <v/>
      </c>
      <c r="U45" s="42" t="str">
        <f t="shared" si="12"/>
        <v>Definite</v>
      </c>
      <c r="V45" s="42" t="str">
        <f t="shared" si="13"/>
        <v/>
      </c>
      <c r="W45" s="42" t="str">
        <f t="shared" si="14"/>
        <v/>
      </c>
    </row>
    <row r="46" spans="1:23" ht="15" hidden="1" customHeight="1" x14ac:dyDescent="0.25">
      <c r="A46" s="36" t="str">
        <f>Claims!A42</f>
        <v>EXP00041</v>
      </c>
      <c r="B46" s="36" t="str">
        <f>Claims!D42</f>
        <v>M1</v>
      </c>
      <c r="C46" s="36" t="str">
        <f>Claims!E42</f>
        <v>Hotel</v>
      </c>
      <c r="D46" s="36" t="str">
        <f>Claims!G42</f>
        <v>Non-metro</v>
      </c>
      <c r="E46" s="40">
        <f>Claims!H42</f>
        <v>15960</v>
      </c>
      <c r="F46" s="36" t="str">
        <f>Claims!K42</f>
        <v>Yes</v>
      </c>
      <c r="G46" s="36" t="str">
        <f>IF(Claims!M42="","",Claims!M42)</f>
        <v/>
      </c>
      <c r="H46" s="36" t="str">
        <f>IF(Claims!N42="","",Claims!N42)</f>
        <v/>
      </c>
      <c r="I46" s="41">
        <f>Claims!J42-Claims!I42</f>
        <v>9</v>
      </c>
      <c r="J46" s="42" t="str">
        <f t="shared" si="1"/>
        <v>n/a</v>
      </c>
      <c r="K46" s="42" t="str">
        <f t="shared" si="2"/>
        <v>n/a</v>
      </c>
      <c r="L46" s="42" t="str">
        <f t="shared" si="3"/>
        <v>n/a</v>
      </c>
      <c r="M46" s="42" t="str">
        <f t="shared" si="4"/>
        <v>Violation</v>
      </c>
      <c r="N46" s="42" t="str">
        <f t="shared" si="5"/>
        <v>n/a</v>
      </c>
      <c r="O46" s="42" t="str">
        <f t="shared" si="6"/>
        <v>n/a</v>
      </c>
      <c r="P46" s="42" t="str">
        <f t="shared" si="7"/>
        <v>Compliant</v>
      </c>
      <c r="Q46" s="42" t="str">
        <f t="shared" si="8"/>
        <v>Compliant</v>
      </c>
      <c r="R46" s="42" t="str">
        <f t="shared" si="9"/>
        <v>Violation</v>
      </c>
      <c r="S46" s="36" t="str">
        <f t="shared" si="10"/>
        <v>TP-05</v>
      </c>
      <c r="T46" s="42" t="str">
        <f t="shared" si="11"/>
        <v/>
      </c>
      <c r="U46" s="42" t="str">
        <f t="shared" si="12"/>
        <v>Assumption-based</v>
      </c>
      <c r="V46" s="42">
        <f t="shared" si="13"/>
        <v>4</v>
      </c>
      <c r="W46" s="42" t="str">
        <f t="shared" si="14"/>
        <v>Needs nights</v>
      </c>
    </row>
    <row r="47" spans="1:23" ht="15" hidden="1" customHeight="1" x14ac:dyDescent="0.25">
      <c r="A47" s="36" t="str">
        <f>Claims!A43</f>
        <v>EXP00042</v>
      </c>
      <c r="B47" s="36" t="str">
        <f>Claims!D43</f>
        <v>M1</v>
      </c>
      <c r="C47" s="36" t="str">
        <f>Claims!E43</f>
        <v>Train</v>
      </c>
      <c r="D47" s="36" t="str">
        <f>Claims!G43</f>
        <v>Non-metro</v>
      </c>
      <c r="E47" s="40">
        <f>Claims!H43</f>
        <v>2042</v>
      </c>
      <c r="F47" s="36" t="str">
        <f>Claims!K43</f>
        <v>Yes</v>
      </c>
      <c r="G47" s="36" t="str">
        <f>IF(Claims!M43="","",Claims!M43)</f>
        <v/>
      </c>
      <c r="H47" s="36" t="str">
        <f>IF(Claims!N43="","",Claims!N43)</f>
        <v/>
      </c>
      <c r="I47" s="41">
        <f>Claims!J43-Claims!I43</f>
        <v>9</v>
      </c>
      <c r="J47" s="42" t="str">
        <f t="shared" si="1"/>
        <v>n/a</v>
      </c>
      <c r="K47" s="42" t="str">
        <f t="shared" si="2"/>
        <v>n/a</v>
      </c>
      <c r="L47" s="42" t="str">
        <f t="shared" si="3"/>
        <v>n/a</v>
      </c>
      <c r="M47" s="42" t="str">
        <f t="shared" si="4"/>
        <v>n/a</v>
      </c>
      <c r="N47" s="42" t="str">
        <f t="shared" si="5"/>
        <v>n/a</v>
      </c>
      <c r="O47" s="42" t="str">
        <f t="shared" si="6"/>
        <v>n/a</v>
      </c>
      <c r="P47" s="42" t="str">
        <f t="shared" si="7"/>
        <v>Compliant</v>
      </c>
      <c r="Q47" s="42" t="str">
        <f t="shared" si="8"/>
        <v>Compliant</v>
      </c>
      <c r="R47" s="42" t="str">
        <f t="shared" si="9"/>
        <v>Compliant</v>
      </c>
      <c r="S47" s="36" t="str">
        <f t="shared" si="10"/>
        <v/>
      </c>
      <c r="T47" s="42" t="str">
        <f t="shared" si="11"/>
        <v/>
      </c>
      <c r="U47" s="42" t="str">
        <f t="shared" si="12"/>
        <v/>
      </c>
      <c r="V47" s="42" t="str">
        <f t="shared" si="13"/>
        <v/>
      </c>
      <c r="W47" s="42" t="str">
        <f t="shared" si="14"/>
        <v/>
      </c>
    </row>
    <row r="48" spans="1:23" ht="15" hidden="1" customHeight="1" x14ac:dyDescent="0.25">
      <c r="A48" s="36" t="str">
        <f>Claims!A44</f>
        <v>EXP00043</v>
      </c>
      <c r="B48" s="36" t="str">
        <f>Claims!D44</f>
        <v>M2</v>
      </c>
      <c r="C48" s="36" t="str">
        <f>Claims!E44</f>
        <v>Meals/DA</v>
      </c>
      <c r="D48" s="36" t="str">
        <f>Claims!G44</f>
        <v>Metro</v>
      </c>
      <c r="E48" s="40">
        <f>Claims!H44</f>
        <v>1694</v>
      </c>
      <c r="F48" s="36" t="str">
        <f>Claims!K44</f>
        <v>Yes</v>
      </c>
      <c r="G48" s="36" t="str">
        <f>IF(Claims!M44="","",Claims!M44)</f>
        <v/>
      </c>
      <c r="H48" s="36" t="str">
        <f>IF(Claims!N44="","",Claims!N44)</f>
        <v/>
      </c>
      <c r="I48" s="41">
        <f>Claims!J44-Claims!I44</f>
        <v>5</v>
      </c>
      <c r="J48" s="42" t="str">
        <f t="shared" si="1"/>
        <v>n/a</v>
      </c>
      <c r="K48" s="42" t="str">
        <f t="shared" si="2"/>
        <v>n/a</v>
      </c>
      <c r="L48" s="42" t="str">
        <f t="shared" si="3"/>
        <v>n/a</v>
      </c>
      <c r="M48" s="42" t="str">
        <f t="shared" si="4"/>
        <v>n/a</v>
      </c>
      <c r="N48" s="42" t="str">
        <f t="shared" si="5"/>
        <v>Violation</v>
      </c>
      <c r="O48" s="42" t="str">
        <f t="shared" si="6"/>
        <v>n/a</v>
      </c>
      <c r="P48" s="42" t="str">
        <f t="shared" si="7"/>
        <v>Compliant</v>
      </c>
      <c r="Q48" s="42" t="str">
        <f t="shared" si="8"/>
        <v>Compliant</v>
      </c>
      <c r="R48" s="42" t="str">
        <f t="shared" si="9"/>
        <v>Violation</v>
      </c>
      <c r="S48" s="36" t="str">
        <f t="shared" si="10"/>
        <v>TP-06</v>
      </c>
      <c r="T48" s="42" t="str">
        <f t="shared" si="11"/>
        <v/>
      </c>
      <c r="U48" s="42" t="str">
        <f t="shared" si="12"/>
        <v>Assumption-based</v>
      </c>
      <c r="V48" s="42">
        <f t="shared" si="13"/>
        <v>2</v>
      </c>
      <c r="W48" s="42" t="str">
        <f t="shared" si="14"/>
        <v>Needs days</v>
      </c>
    </row>
    <row r="49" spans="1:23" ht="15" hidden="1" customHeight="1" x14ac:dyDescent="0.25">
      <c r="A49" s="36" t="str">
        <f>Claims!A45</f>
        <v>EXP00044</v>
      </c>
      <c r="B49" s="36" t="str">
        <f>Claims!D45</f>
        <v>M2</v>
      </c>
      <c r="C49" s="36" t="str">
        <f>Claims!E45</f>
        <v>Client Entertainment</v>
      </c>
      <c r="D49" s="36" t="str">
        <f>Claims!G45</f>
        <v>Non-metro</v>
      </c>
      <c r="E49" s="40">
        <f>Claims!H45</f>
        <v>15355</v>
      </c>
      <c r="F49" s="36" t="str">
        <f>Claims!K45</f>
        <v>Yes</v>
      </c>
      <c r="G49" s="36" t="str">
        <f>IF(Claims!M45="","",Claims!M45)</f>
        <v/>
      </c>
      <c r="H49" s="36" t="str">
        <f>IF(Claims!N45="","",Claims!N45)</f>
        <v/>
      </c>
      <c r="I49" s="41">
        <f>Claims!J45-Claims!I45</f>
        <v>9</v>
      </c>
      <c r="J49" s="42" t="str">
        <f t="shared" si="1"/>
        <v>n/a</v>
      </c>
      <c r="K49" s="42" t="str">
        <f t="shared" si="2"/>
        <v>n/a</v>
      </c>
      <c r="L49" s="42" t="str">
        <f t="shared" si="3"/>
        <v>n/a</v>
      </c>
      <c r="M49" s="42" t="str">
        <f t="shared" si="4"/>
        <v>n/a</v>
      </c>
      <c r="N49" s="42" t="str">
        <f t="shared" si="5"/>
        <v>n/a</v>
      </c>
      <c r="O49" s="42" t="str">
        <f t="shared" si="6"/>
        <v>n/a</v>
      </c>
      <c r="P49" s="42" t="str">
        <f t="shared" si="7"/>
        <v>Compliant</v>
      </c>
      <c r="Q49" s="42" t="str">
        <f t="shared" si="8"/>
        <v>Compliant</v>
      </c>
      <c r="R49" s="42" t="str">
        <f t="shared" si="9"/>
        <v>Compliant</v>
      </c>
      <c r="S49" s="36" t="str">
        <f t="shared" si="10"/>
        <v/>
      </c>
      <c r="T49" s="42" t="str">
        <f t="shared" si="11"/>
        <v/>
      </c>
      <c r="U49" s="42" t="str">
        <f t="shared" si="12"/>
        <v/>
      </c>
      <c r="V49" s="42" t="str">
        <f t="shared" si="13"/>
        <v/>
      </c>
      <c r="W49" s="42" t="str">
        <f t="shared" si="14"/>
        <v/>
      </c>
    </row>
    <row r="50" spans="1:23" ht="15" hidden="1" customHeight="1" x14ac:dyDescent="0.25">
      <c r="A50" s="36" t="str">
        <f>Claims!A46</f>
        <v>EXP00045</v>
      </c>
      <c r="B50" s="36" t="str">
        <f>Claims!D46</f>
        <v>M1</v>
      </c>
      <c r="C50" s="36" t="str">
        <f>Claims!E46</f>
        <v>Meals/DA</v>
      </c>
      <c r="D50" s="36" t="str">
        <f>Claims!G46</f>
        <v>Metro</v>
      </c>
      <c r="E50" s="40">
        <f>Claims!H46</f>
        <v>1306</v>
      </c>
      <c r="F50" s="36" t="str">
        <f>Claims!K46</f>
        <v>Yes</v>
      </c>
      <c r="G50" s="36" t="str">
        <f>IF(Claims!M46="","",Claims!M46)</f>
        <v/>
      </c>
      <c r="H50" s="36" t="str">
        <f>IF(Claims!N46="","",Claims!N46)</f>
        <v/>
      </c>
      <c r="I50" s="41">
        <f>Claims!J46-Claims!I46</f>
        <v>14</v>
      </c>
      <c r="J50" s="42" t="str">
        <f t="shared" si="1"/>
        <v>n/a</v>
      </c>
      <c r="K50" s="42" t="str">
        <f t="shared" si="2"/>
        <v>n/a</v>
      </c>
      <c r="L50" s="42" t="str">
        <f t="shared" si="3"/>
        <v>n/a</v>
      </c>
      <c r="M50" s="42" t="str">
        <f t="shared" si="4"/>
        <v>n/a</v>
      </c>
      <c r="N50" s="42" t="str">
        <f t="shared" si="5"/>
        <v>Violation</v>
      </c>
      <c r="O50" s="42" t="str">
        <f t="shared" si="6"/>
        <v>n/a</v>
      </c>
      <c r="P50" s="42" t="str">
        <f t="shared" si="7"/>
        <v>Compliant</v>
      </c>
      <c r="Q50" s="42" t="str">
        <f t="shared" si="8"/>
        <v>Compliant</v>
      </c>
      <c r="R50" s="42" t="str">
        <f t="shared" si="9"/>
        <v>Violation</v>
      </c>
      <c r="S50" s="36" t="str">
        <f t="shared" si="10"/>
        <v>TP-06</v>
      </c>
      <c r="T50" s="42" t="str">
        <f t="shared" si="11"/>
        <v/>
      </c>
      <c r="U50" s="42" t="str">
        <f t="shared" si="12"/>
        <v>Assumption-based</v>
      </c>
      <c r="V50" s="42">
        <f t="shared" si="13"/>
        <v>2</v>
      </c>
      <c r="W50" s="42" t="str">
        <f t="shared" si="14"/>
        <v>Needs days</v>
      </c>
    </row>
    <row r="51" spans="1:23" ht="15" hidden="1" customHeight="1" x14ac:dyDescent="0.25">
      <c r="A51" s="36" t="str">
        <f>Claims!A47</f>
        <v>EXP00046</v>
      </c>
      <c r="B51" s="36" t="str">
        <f>Claims!D47</f>
        <v>M2</v>
      </c>
      <c r="C51" s="36" t="str">
        <f>Claims!E47</f>
        <v>Hotel</v>
      </c>
      <c r="D51" s="36" t="str">
        <f>Claims!G47</f>
        <v>Metro</v>
      </c>
      <c r="E51" s="40">
        <f>Claims!H47</f>
        <v>13851</v>
      </c>
      <c r="F51" s="36" t="str">
        <f>Claims!K47</f>
        <v>Yes</v>
      </c>
      <c r="G51" s="36" t="str">
        <f>IF(Claims!M47="","",Claims!M47)</f>
        <v/>
      </c>
      <c r="H51" s="36" t="str">
        <f>IF(Claims!N47="","",Claims!N47)</f>
        <v/>
      </c>
      <c r="I51" s="41">
        <f>Claims!J47-Claims!I47</f>
        <v>9</v>
      </c>
      <c r="J51" s="42" t="str">
        <f t="shared" si="1"/>
        <v>n/a</v>
      </c>
      <c r="K51" s="42" t="str">
        <f t="shared" si="2"/>
        <v>n/a</v>
      </c>
      <c r="L51" s="42" t="str">
        <f t="shared" si="3"/>
        <v>Violation</v>
      </c>
      <c r="M51" s="42" t="str">
        <f t="shared" si="4"/>
        <v>n/a</v>
      </c>
      <c r="N51" s="42" t="str">
        <f t="shared" si="5"/>
        <v>n/a</v>
      </c>
      <c r="O51" s="42" t="str">
        <f t="shared" si="6"/>
        <v>n/a</v>
      </c>
      <c r="P51" s="42" t="str">
        <f t="shared" si="7"/>
        <v>Compliant</v>
      </c>
      <c r="Q51" s="42" t="str">
        <f t="shared" si="8"/>
        <v>Compliant</v>
      </c>
      <c r="R51" s="42" t="str">
        <f t="shared" si="9"/>
        <v>Violation</v>
      </c>
      <c r="S51" s="36" t="str">
        <f t="shared" si="10"/>
        <v>TP-04</v>
      </c>
      <c r="T51" s="42" t="str">
        <f t="shared" si="11"/>
        <v/>
      </c>
      <c r="U51" s="42" t="str">
        <f t="shared" si="12"/>
        <v>Assumption-based</v>
      </c>
      <c r="V51" s="42">
        <f t="shared" si="13"/>
        <v>2</v>
      </c>
      <c r="W51" s="42" t="str">
        <f t="shared" si="14"/>
        <v>Needs nights</v>
      </c>
    </row>
    <row r="52" spans="1:23" ht="15" hidden="1" customHeight="1" x14ac:dyDescent="0.25">
      <c r="A52" s="36" t="str">
        <f>Claims!A48</f>
        <v>EXP00047</v>
      </c>
      <c r="B52" s="36" t="str">
        <f>Claims!D48</f>
        <v>M1</v>
      </c>
      <c r="C52" s="36" t="str">
        <f>Claims!E48</f>
        <v>Train</v>
      </c>
      <c r="D52" s="36" t="str">
        <f>Claims!G48</f>
        <v>Non-metro</v>
      </c>
      <c r="E52" s="40">
        <f>Claims!H48</f>
        <v>1738</v>
      </c>
      <c r="F52" s="36" t="str">
        <f>Claims!K48</f>
        <v>Yes</v>
      </c>
      <c r="G52" s="36" t="str">
        <f>IF(Claims!M48="","",Claims!M48)</f>
        <v/>
      </c>
      <c r="H52" s="36" t="str">
        <f>IF(Claims!N48="","",Claims!N48)</f>
        <v/>
      </c>
      <c r="I52" s="41">
        <f>Claims!J48-Claims!I48</f>
        <v>2</v>
      </c>
      <c r="J52" s="42" t="str">
        <f t="shared" si="1"/>
        <v>n/a</v>
      </c>
      <c r="K52" s="42" t="str">
        <f t="shared" si="2"/>
        <v>n/a</v>
      </c>
      <c r="L52" s="42" t="str">
        <f t="shared" si="3"/>
        <v>n/a</v>
      </c>
      <c r="M52" s="42" t="str">
        <f t="shared" si="4"/>
        <v>n/a</v>
      </c>
      <c r="N52" s="42" t="str">
        <f t="shared" si="5"/>
        <v>n/a</v>
      </c>
      <c r="O52" s="42" t="str">
        <f t="shared" si="6"/>
        <v>n/a</v>
      </c>
      <c r="P52" s="42" t="str">
        <f t="shared" si="7"/>
        <v>Compliant</v>
      </c>
      <c r="Q52" s="42" t="str">
        <f t="shared" si="8"/>
        <v>Compliant</v>
      </c>
      <c r="R52" s="42" t="str">
        <f t="shared" si="9"/>
        <v>Compliant</v>
      </c>
      <c r="S52" s="36" t="str">
        <f t="shared" si="10"/>
        <v/>
      </c>
      <c r="T52" s="42" t="str">
        <f t="shared" si="11"/>
        <v/>
      </c>
      <c r="U52" s="42" t="str">
        <f t="shared" si="12"/>
        <v/>
      </c>
      <c r="V52" s="42" t="str">
        <f t="shared" si="13"/>
        <v/>
      </c>
      <c r="W52" s="42" t="str">
        <f t="shared" si="14"/>
        <v/>
      </c>
    </row>
    <row r="53" spans="1:23" ht="15" hidden="1" customHeight="1" x14ac:dyDescent="0.25">
      <c r="A53" s="36" t="str">
        <f>Claims!A49</f>
        <v>EXP00048</v>
      </c>
      <c r="B53" s="36" t="str">
        <f>Claims!D49</f>
        <v>M3</v>
      </c>
      <c r="C53" s="36" t="str">
        <f>Claims!E49</f>
        <v>Hotel</v>
      </c>
      <c r="D53" s="36" t="str">
        <f>Claims!G49</f>
        <v>Non-metro</v>
      </c>
      <c r="E53" s="40">
        <f>Claims!H49</f>
        <v>9330</v>
      </c>
      <c r="F53" s="36" t="str">
        <f>Claims!K49</f>
        <v>No</v>
      </c>
      <c r="G53" s="36" t="str">
        <f>IF(Claims!M49="","",Claims!M49)</f>
        <v/>
      </c>
      <c r="H53" s="36" t="str">
        <f>IF(Claims!N49="","",Claims!N49)</f>
        <v/>
      </c>
      <c r="I53" s="41">
        <f>Claims!J49-Claims!I49</f>
        <v>35</v>
      </c>
      <c r="J53" s="42" t="str">
        <f t="shared" si="1"/>
        <v>n/a</v>
      </c>
      <c r="K53" s="42" t="str">
        <f t="shared" si="2"/>
        <v>n/a</v>
      </c>
      <c r="L53" s="42" t="str">
        <f t="shared" si="3"/>
        <v>n/a</v>
      </c>
      <c r="M53" s="42" t="str">
        <f t="shared" si="4"/>
        <v>Violation</v>
      </c>
      <c r="N53" s="42" t="str">
        <f t="shared" si="5"/>
        <v>n/a</v>
      </c>
      <c r="O53" s="42" t="str">
        <f t="shared" si="6"/>
        <v>n/a</v>
      </c>
      <c r="P53" s="42" t="str">
        <f t="shared" si="7"/>
        <v>Violation</v>
      </c>
      <c r="Q53" s="42" t="str">
        <f t="shared" si="8"/>
        <v>Violation</v>
      </c>
      <c r="R53" s="42" t="str">
        <f t="shared" si="9"/>
        <v>Violation</v>
      </c>
      <c r="S53" s="36" t="str">
        <f t="shared" si="10"/>
        <v>TP-05, TP-09, TP-10</v>
      </c>
      <c r="T53" s="42" t="str">
        <f t="shared" si="11"/>
        <v>Late</v>
      </c>
      <c r="U53" s="42" t="str">
        <f t="shared" si="12"/>
        <v>Definite</v>
      </c>
      <c r="V53" s="42">
        <f t="shared" si="13"/>
        <v>2</v>
      </c>
      <c r="W53" s="42" t="str">
        <f t="shared" si="14"/>
        <v>Needs nights</v>
      </c>
    </row>
    <row r="54" spans="1:23" ht="15" hidden="1" customHeight="1" x14ac:dyDescent="0.25">
      <c r="A54" s="36" t="str">
        <f>Claims!A50</f>
        <v>EXP00049</v>
      </c>
      <c r="B54" s="36" t="str">
        <f>Claims!D50</f>
        <v>M1</v>
      </c>
      <c r="C54" s="36" t="str">
        <f>Claims!E50</f>
        <v>Train</v>
      </c>
      <c r="D54" s="36" t="str">
        <f>Claims!G50</f>
        <v>Non-metro</v>
      </c>
      <c r="E54" s="40">
        <f>Claims!H50</f>
        <v>4357</v>
      </c>
      <c r="F54" s="36" t="str">
        <f>Claims!K50</f>
        <v>Yes</v>
      </c>
      <c r="G54" s="36" t="str">
        <f>IF(Claims!M50="","",Claims!M50)</f>
        <v/>
      </c>
      <c r="H54" s="36" t="str">
        <f>IF(Claims!N50="","",Claims!N50)</f>
        <v/>
      </c>
      <c r="I54" s="41">
        <f>Claims!J50-Claims!I50</f>
        <v>5</v>
      </c>
      <c r="J54" s="42" t="str">
        <f t="shared" si="1"/>
        <v>n/a</v>
      </c>
      <c r="K54" s="42" t="str">
        <f t="shared" si="2"/>
        <v>n/a</v>
      </c>
      <c r="L54" s="42" t="str">
        <f t="shared" si="3"/>
        <v>n/a</v>
      </c>
      <c r="M54" s="42" t="str">
        <f t="shared" si="4"/>
        <v>n/a</v>
      </c>
      <c r="N54" s="42" t="str">
        <f t="shared" si="5"/>
        <v>n/a</v>
      </c>
      <c r="O54" s="42" t="str">
        <f t="shared" si="6"/>
        <v>n/a</v>
      </c>
      <c r="P54" s="42" t="str">
        <f t="shared" si="7"/>
        <v>Compliant</v>
      </c>
      <c r="Q54" s="42" t="str">
        <f t="shared" si="8"/>
        <v>Compliant</v>
      </c>
      <c r="R54" s="42" t="str">
        <f t="shared" si="9"/>
        <v>Compliant</v>
      </c>
      <c r="S54" s="36" t="str">
        <f t="shared" si="10"/>
        <v/>
      </c>
      <c r="T54" s="42" t="str">
        <f t="shared" si="11"/>
        <v/>
      </c>
      <c r="U54" s="42" t="str">
        <f t="shared" si="12"/>
        <v/>
      </c>
      <c r="V54" s="42" t="str">
        <f t="shared" si="13"/>
        <v/>
      </c>
      <c r="W54" s="42" t="str">
        <f t="shared" si="14"/>
        <v/>
      </c>
    </row>
    <row r="55" spans="1:23" ht="15" hidden="1" customHeight="1" x14ac:dyDescent="0.25">
      <c r="A55" s="36" t="str">
        <f>Claims!A51</f>
        <v>EXP00050</v>
      </c>
      <c r="B55" s="36" t="str">
        <f>Claims!D51</f>
        <v>M3</v>
      </c>
      <c r="C55" s="36" t="str">
        <f>Claims!E51</f>
        <v>Alcohol</v>
      </c>
      <c r="D55" s="36" t="str">
        <f>Claims!G51</f>
        <v>Non-metro</v>
      </c>
      <c r="E55" s="40">
        <f>Claims!H51</f>
        <v>4747</v>
      </c>
      <c r="F55" s="36" t="str">
        <f>Claims!K51</f>
        <v>Yes</v>
      </c>
      <c r="G55" s="36" t="str">
        <f>IF(Claims!M51="","",Claims!M51)</f>
        <v/>
      </c>
      <c r="H55" s="36" t="str">
        <f>IF(Claims!N51="","",Claims!N51)</f>
        <v/>
      </c>
      <c r="I55" s="41">
        <f>Claims!J51-Claims!I51</f>
        <v>5</v>
      </c>
      <c r="J55" s="42" t="str">
        <f t="shared" si="1"/>
        <v>n/a</v>
      </c>
      <c r="K55" s="42" t="str">
        <f t="shared" si="2"/>
        <v>n/a</v>
      </c>
      <c r="L55" s="42" t="str">
        <f t="shared" si="3"/>
        <v>n/a</v>
      </c>
      <c r="M55" s="42" t="str">
        <f t="shared" si="4"/>
        <v>n/a</v>
      </c>
      <c r="N55" s="42" t="str">
        <f t="shared" si="5"/>
        <v>n/a</v>
      </c>
      <c r="O55" s="42" t="str">
        <f t="shared" si="6"/>
        <v>Violation</v>
      </c>
      <c r="P55" s="42" t="str">
        <f t="shared" si="7"/>
        <v>Compliant</v>
      </c>
      <c r="Q55" s="42" t="str">
        <f t="shared" si="8"/>
        <v>Compliant</v>
      </c>
      <c r="R55" s="42" t="str">
        <f t="shared" si="9"/>
        <v>Violation</v>
      </c>
      <c r="S55" s="36" t="str">
        <f t="shared" si="10"/>
        <v>TP-08</v>
      </c>
      <c r="T55" s="42" t="str">
        <f t="shared" si="11"/>
        <v/>
      </c>
      <c r="U55" s="42" t="str">
        <f t="shared" si="12"/>
        <v>Definite</v>
      </c>
      <c r="V55" s="42" t="str">
        <f t="shared" si="13"/>
        <v/>
      </c>
      <c r="W55" s="42" t="str">
        <f t="shared" si="14"/>
        <v/>
      </c>
    </row>
    <row r="56" spans="1:23" ht="15" hidden="1" customHeight="1" x14ac:dyDescent="0.25">
      <c r="A56" s="36" t="str">
        <f>Claims!A52</f>
        <v>EXP00051</v>
      </c>
      <c r="B56" s="36" t="str">
        <f>Claims!D52</f>
        <v>M1</v>
      </c>
      <c r="C56" s="36" t="str">
        <f>Claims!E52</f>
        <v>Local Cab</v>
      </c>
      <c r="D56" s="36" t="str">
        <f>Claims!G52</f>
        <v>Metro</v>
      </c>
      <c r="E56" s="40">
        <f>Claims!H52</f>
        <v>246</v>
      </c>
      <c r="F56" s="36" t="str">
        <f>Claims!K52</f>
        <v>No</v>
      </c>
      <c r="G56" s="36" t="str">
        <f>IF(Claims!M52="","",Claims!M52)</f>
        <v/>
      </c>
      <c r="H56" s="36" t="str">
        <f>IF(Claims!N52="","",Claims!N52)</f>
        <v/>
      </c>
      <c r="I56" s="41">
        <f>Claims!J52-Claims!I52</f>
        <v>70</v>
      </c>
      <c r="J56" s="42" t="str">
        <f t="shared" si="1"/>
        <v>n/a</v>
      </c>
      <c r="K56" s="42" t="str">
        <f t="shared" si="2"/>
        <v>n/a</v>
      </c>
      <c r="L56" s="42" t="str">
        <f t="shared" si="3"/>
        <v>n/a</v>
      </c>
      <c r="M56" s="42" t="str">
        <f t="shared" si="4"/>
        <v>n/a</v>
      </c>
      <c r="N56" s="42" t="str">
        <f t="shared" si="5"/>
        <v>n/a</v>
      </c>
      <c r="O56" s="42" t="str">
        <f t="shared" si="6"/>
        <v>n/a</v>
      </c>
      <c r="P56" s="42" t="str">
        <f t="shared" si="7"/>
        <v>Compliant</v>
      </c>
      <c r="Q56" s="42" t="str">
        <f t="shared" si="8"/>
        <v>Violation</v>
      </c>
      <c r="R56" s="42" t="str">
        <f t="shared" si="9"/>
        <v>Violation</v>
      </c>
      <c r="S56" s="36" t="str">
        <f t="shared" si="10"/>
        <v>TP-10</v>
      </c>
      <c r="T56" s="42" t="str">
        <f t="shared" si="11"/>
        <v>Expired</v>
      </c>
      <c r="U56" s="42" t="str">
        <f t="shared" si="12"/>
        <v>Definite</v>
      </c>
      <c r="V56" s="42" t="str">
        <f t="shared" si="13"/>
        <v/>
      </c>
      <c r="W56" s="42" t="str">
        <f t="shared" si="14"/>
        <v/>
      </c>
    </row>
    <row r="57" spans="1:23" ht="15" hidden="1" customHeight="1" x14ac:dyDescent="0.25">
      <c r="A57" s="36" t="str">
        <f>Claims!A53</f>
        <v>EXP00052</v>
      </c>
      <c r="B57" s="36" t="str">
        <f>Claims!D53</f>
        <v>M1</v>
      </c>
      <c r="C57" s="36" t="str">
        <f>Claims!E53</f>
        <v>Client Entertainment</v>
      </c>
      <c r="D57" s="36" t="str">
        <f>Claims!G53</f>
        <v>Metro</v>
      </c>
      <c r="E57" s="40">
        <f>Claims!H53</f>
        <v>11107</v>
      </c>
      <c r="F57" s="36" t="str">
        <f>Claims!K53</f>
        <v>No</v>
      </c>
      <c r="G57" s="36" t="str">
        <f>IF(Claims!M53="","",Claims!M53)</f>
        <v/>
      </c>
      <c r="H57" s="36" t="str">
        <f>IF(Claims!N53="","",Claims!N53)</f>
        <v/>
      </c>
      <c r="I57" s="41">
        <f>Claims!J53-Claims!I53</f>
        <v>9</v>
      </c>
      <c r="J57" s="42" t="str">
        <f t="shared" si="1"/>
        <v>n/a</v>
      </c>
      <c r="K57" s="42" t="str">
        <f t="shared" si="2"/>
        <v>n/a</v>
      </c>
      <c r="L57" s="42" t="str">
        <f t="shared" si="3"/>
        <v>n/a</v>
      </c>
      <c r="M57" s="42" t="str">
        <f t="shared" si="4"/>
        <v>n/a</v>
      </c>
      <c r="N57" s="42" t="str">
        <f t="shared" si="5"/>
        <v>n/a</v>
      </c>
      <c r="O57" s="42" t="str">
        <f t="shared" si="6"/>
        <v>n/a</v>
      </c>
      <c r="P57" s="42" t="str">
        <f t="shared" si="7"/>
        <v>Violation</v>
      </c>
      <c r="Q57" s="42" t="str">
        <f t="shared" si="8"/>
        <v>Compliant</v>
      </c>
      <c r="R57" s="42" t="str">
        <f t="shared" si="9"/>
        <v>Violation</v>
      </c>
      <c r="S57" s="36" t="str">
        <f t="shared" si="10"/>
        <v>TP-09</v>
      </c>
      <c r="T57" s="42" t="str">
        <f t="shared" si="11"/>
        <v/>
      </c>
      <c r="U57" s="42" t="str">
        <f t="shared" si="12"/>
        <v>Definite</v>
      </c>
      <c r="V57" s="42" t="str">
        <f t="shared" si="13"/>
        <v/>
      </c>
      <c r="W57" s="42" t="str">
        <f t="shared" si="14"/>
        <v/>
      </c>
    </row>
    <row r="58" spans="1:23" ht="15" hidden="1" customHeight="1" x14ac:dyDescent="0.25">
      <c r="A58" s="36" t="str">
        <f>Claims!A54</f>
        <v>EXP00053</v>
      </c>
      <c r="B58" s="36" t="str">
        <f>Claims!D54</f>
        <v>M2</v>
      </c>
      <c r="C58" s="36" t="str">
        <f>Claims!E54</f>
        <v>Meals/DA</v>
      </c>
      <c r="D58" s="36" t="str">
        <f>Claims!G54</f>
        <v>Metro</v>
      </c>
      <c r="E58" s="40">
        <f>Claims!H54</f>
        <v>878</v>
      </c>
      <c r="F58" s="36" t="str">
        <f>Claims!K54</f>
        <v>Yes</v>
      </c>
      <c r="G58" s="36" t="str">
        <f>IF(Claims!M54="","",Claims!M54)</f>
        <v/>
      </c>
      <c r="H58" s="36" t="str">
        <f>IF(Claims!N54="","",Claims!N54)</f>
        <v/>
      </c>
      <c r="I58" s="41">
        <f>Claims!J54-Claims!I54</f>
        <v>5</v>
      </c>
      <c r="J58" s="42" t="str">
        <f t="shared" si="1"/>
        <v>n/a</v>
      </c>
      <c r="K58" s="42" t="str">
        <f t="shared" si="2"/>
        <v>n/a</v>
      </c>
      <c r="L58" s="42" t="str">
        <f t="shared" si="3"/>
        <v>n/a</v>
      </c>
      <c r="M58" s="42" t="str">
        <f t="shared" si="4"/>
        <v>n/a</v>
      </c>
      <c r="N58" s="42" t="str">
        <f t="shared" si="5"/>
        <v>Compliant</v>
      </c>
      <c r="O58" s="42" t="str">
        <f t="shared" si="6"/>
        <v>n/a</v>
      </c>
      <c r="P58" s="42" t="str">
        <f t="shared" si="7"/>
        <v>Compliant</v>
      </c>
      <c r="Q58" s="42" t="str">
        <f t="shared" si="8"/>
        <v>Compliant</v>
      </c>
      <c r="R58" s="42" t="str">
        <f t="shared" si="9"/>
        <v>Compliant</v>
      </c>
      <c r="S58" s="36" t="str">
        <f t="shared" si="10"/>
        <v/>
      </c>
      <c r="T58" s="42" t="str">
        <f t="shared" si="11"/>
        <v/>
      </c>
      <c r="U58" s="42" t="str">
        <f t="shared" si="12"/>
        <v/>
      </c>
      <c r="V58" s="42" t="str">
        <f t="shared" si="13"/>
        <v/>
      </c>
      <c r="W58" s="42" t="str">
        <f t="shared" si="14"/>
        <v/>
      </c>
    </row>
    <row r="59" spans="1:23" ht="15" hidden="1" customHeight="1" x14ac:dyDescent="0.25">
      <c r="A59" s="36" t="str">
        <f>Claims!A55</f>
        <v>EXP00054</v>
      </c>
      <c r="B59" s="36" t="str">
        <f>Claims!D55</f>
        <v>M1</v>
      </c>
      <c r="C59" s="36" t="str">
        <f>Claims!E55</f>
        <v>Hotel</v>
      </c>
      <c r="D59" s="36" t="str">
        <f>Claims!G55</f>
        <v>Metro</v>
      </c>
      <c r="E59" s="40">
        <f>Claims!H55</f>
        <v>7841</v>
      </c>
      <c r="F59" s="36" t="str">
        <f>Claims!K55</f>
        <v>No</v>
      </c>
      <c r="G59" s="36" t="str">
        <f>IF(Claims!M55="","",Claims!M55)</f>
        <v/>
      </c>
      <c r="H59" s="36" t="str">
        <f>IF(Claims!N55="","",Claims!N55)</f>
        <v/>
      </c>
      <c r="I59" s="41">
        <f>Claims!J55-Claims!I55</f>
        <v>5</v>
      </c>
      <c r="J59" s="42" t="str">
        <f t="shared" si="1"/>
        <v>n/a</v>
      </c>
      <c r="K59" s="42" t="str">
        <f t="shared" si="2"/>
        <v>n/a</v>
      </c>
      <c r="L59" s="42" t="str">
        <f t="shared" si="3"/>
        <v>Violation</v>
      </c>
      <c r="M59" s="42" t="str">
        <f t="shared" si="4"/>
        <v>n/a</v>
      </c>
      <c r="N59" s="42" t="str">
        <f t="shared" si="5"/>
        <v>n/a</v>
      </c>
      <c r="O59" s="42" t="str">
        <f t="shared" si="6"/>
        <v>n/a</v>
      </c>
      <c r="P59" s="42" t="str">
        <f t="shared" si="7"/>
        <v>Violation</v>
      </c>
      <c r="Q59" s="42" t="str">
        <f t="shared" si="8"/>
        <v>Compliant</v>
      </c>
      <c r="R59" s="42" t="str">
        <f t="shared" si="9"/>
        <v>Violation</v>
      </c>
      <c r="S59" s="36" t="str">
        <f t="shared" si="10"/>
        <v>TP-04, TP-09</v>
      </c>
      <c r="T59" s="42" t="str">
        <f t="shared" si="11"/>
        <v/>
      </c>
      <c r="U59" s="42" t="str">
        <f t="shared" si="12"/>
        <v>Definite</v>
      </c>
      <c r="V59" s="42">
        <f t="shared" si="13"/>
        <v>2</v>
      </c>
      <c r="W59" s="42" t="str">
        <f t="shared" si="14"/>
        <v>Needs nights</v>
      </c>
    </row>
    <row r="60" spans="1:23" ht="15" hidden="1" customHeight="1" x14ac:dyDescent="0.25">
      <c r="A60" s="36" t="str">
        <f>Claims!A56</f>
        <v>EXP00055</v>
      </c>
      <c r="B60" s="36" t="str">
        <f>Claims!D56</f>
        <v>M1</v>
      </c>
      <c r="C60" s="36" t="str">
        <f>Claims!E56</f>
        <v>Stationery</v>
      </c>
      <c r="D60" s="36" t="str">
        <f>Claims!G56</f>
        <v>Non-metro</v>
      </c>
      <c r="E60" s="40">
        <f>Claims!H56</f>
        <v>155</v>
      </c>
      <c r="F60" s="36" t="str">
        <f>Claims!K56</f>
        <v>Yes</v>
      </c>
      <c r="G60" s="36" t="str">
        <f>IF(Claims!M56="","",Claims!M56)</f>
        <v/>
      </c>
      <c r="H60" s="36" t="str">
        <f>IF(Claims!N56="","",Claims!N56)</f>
        <v/>
      </c>
      <c r="I60" s="41">
        <f>Claims!J56-Claims!I56</f>
        <v>14</v>
      </c>
      <c r="J60" s="42" t="str">
        <f t="shared" si="1"/>
        <v>n/a</v>
      </c>
      <c r="K60" s="42" t="str">
        <f t="shared" si="2"/>
        <v>n/a</v>
      </c>
      <c r="L60" s="42" t="str">
        <f t="shared" si="3"/>
        <v>n/a</v>
      </c>
      <c r="M60" s="42" t="str">
        <f t="shared" si="4"/>
        <v>n/a</v>
      </c>
      <c r="N60" s="42" t="str">
        <f t="shared" si="5"/>
        <v>n/a</v>
      </c>
      <c r="O60" s="42" t="str">
        <f t="shared" si="6"/>
        <v>n/a</v>
      </c>
      <c r="P60" s="42" t="str">
        <f t="shared" si="7"/>
        <v>Compliant</v>
      </c>
      <c r="Q60" s="42" t="str">
        <f t="shared" si="8"/>
        <v>Compliant</v>
      </c>
      <c r="R60" s="42" t="str">
        <f t="shared" si="9"/>
        <v>Compliant</v>
      </c>
      <c r="S60" s="36" t="str">
        <f t="shared" si="10"/>
        <v/>
      </c>
      <c r="T60" s="42" t="str">
        <f t="shared" si="11"/>
        <v/>
      </c>
      <c r="U60" s="42" t="str">
        <f t="shared" si="12"/>
        <v/>
      </c>
      <c r="V60" s="42" t="str">
        <f t="shared" si="13"/>
        <v/>
      </c>
      <c r="W60" s="42" t="str">
        <f t="shared" si="14"/>
        <v/>
      </c>
    </row>
    <row r="61" spans="1:23" ht="15" hidden="1" customHeight="1" x14ac:dyDescent="0.25">
      <c r="A61" s="36" t="str">
        <f>Claims!A57</f>
        <v>EXP00056</v>
      </c>
      <c r="B61" s="36" t="str">
        <f>Claims!D57</f>
        <v>M5</v>
      </c>
      <c r="C61" s="36" t="str">
        <f>Claims!E57</f>
        <v>Hotel</v>
      </c>
      <c r="D61" s="36" t="str">
        <f>Claims!G57</f>
        <v>Metro</v>
      </c>
      <c r="E61" s="40">
        <f>Claims!H57</f>
        <v>14858</v>
      </c>
      <c r="F61" s="36" t="str">
        <f>Claims!K57</f>
        <v>Yes</v>
      </c>
      <c r="G61" s="36" t="str">
        <f>IF(Claims!M57="","",Claims!M57)</f>
        <v/>
      </c>
      <c r="H61" s="36" t="str">
        <f>IF(Claims!N57="","",Claims!N57)</f>
        <v/>
      </c>
      <c r="I61" s="41">
        <f>Claims!J57-Claims!I57</f>
        <v>5</v>
      </c>
      <c r="J61" s="42" t="str">
        <f t="shared" si="1"/>
        <v>n/a</v>
      </c>
      <c r="K61" s="42" t="str">
        <f t="shared" si="2"/>
        <v>n/a</v>
      </c>
      <c r="L61" s="42" t="str">
        <f t="shared" si="3"/>
        <v>Violation</v>
      </c>
      <c r="M61" s="42" t="str">
        <f t="shared" si="4"/>
        <v>n/a</v>
      </c>
      <c r="N61" s="42" t="str">
        <f t="shared" si="5"/>
        <v>n/a</v>
      </c>
      <c r="O61" s="42" t="str">
        <f t="shared" si="6"/>
        <v>n/a</v>
      </c>
      <c r="P61" s="42" t="str">
        <f t="shared" si="7"/>
        <v>Compliant</v>
      </c>
      <c r="Q61" s="42" t="str">
        <f t="shared" si="8"/>
        <v>Compliant</v>
      </c>
      <c r="R61" s="42" t="str">
        <f t="shared" si="9"/>
        <v>Violation</v>
      </c>
      <c r="S61" s="36" t="str">
        <f t="shared" si="10"/>
        <v>TP-04</v>
      </c>
      <c r="T61" s="42" t="str">
        <f t="shared" si="11"/>
        <v/>
      </c>
      <c r="U61" s="42" t="str">
        <f t="shared" si="12"/>
        <v>Assumption-based</v>
      </c>
      <c r="V61" s="42">
        <f t="shared" si="13"/>
        <v>2</v>
      </c>
      <c r="W61" s="42" t="str">
        <f t="shared" si="14"/>
        <v>Needs nights</v>
      </c>
    </row>
    <row r="62" spans="1:23" ht="15" hidden="1" customHeight="1" x14ac:dyDescent="0.25">
      <c r="A62" s="36" t="str">
        <f>Claims!A58</f>
        <v>EXP00057</v>
      </c>
      <c r="B62" s="36" t="str">
        <f>Claims!D58</f>
        <v>M1</v>
      </c>
      <c r="C62" s="36" t="str">
        <f>Claims!E58</f>
        <v>Local Cab</v>
      </c>
      <c r="D62" s="36" t="str">
        <f>Claims!G58</f>
        <v>Non-metro</v>
      </c>
      <c r="E62" s="40">
        <f>Claims!H58</f>
        <v>357</v>
      </c>
      <c r="F62" s="36" t="str">
        <f>Claims!K58</f>
        <v>Yes</v>
      </c>
      <c r="G62" s="36" t="str">
        <f>IF(Claims!M58="","",Claims!M58)</f>
        <v/>
      </c>
      <c r="H62" s="36" t="str">
        <f>IF(Claims!N58="","",Claims!N58)</f>
        <v/>
      </c>
      <c r="I62" s="41">
        <f>Claims!J58-Claims!I58</f>
        <v>14</v>
      </c>
      <c r="J62" s="42" t="str">
        <f t="shared" si="1"/>
        <v>n/a</v>
      </c>
      <c r="K62" s="42" t="str">
        <f t="shared" si="2"/>
        <v>n/a</v>
      </c>
      <c r="L62" s="42" t="str">
        <f t="shared" si="3"/>
        <v>n/a</v>
      </c>
      <c r="M62" s="42" t="str">
        <f t="shared" si="4"/>
        <v>n/a</v>
      </c>
      <c r="N62" s="42" t="str">
        <f t="shared" si="5"/>
        <v>n/a</v>
      </c>
      <c r="O62" s="42" t="str">
        <f t="shared" si="6"/>
        <v>n/a</v>
      </c>
      <c r="P62" s="42" t="str">
        <f t="shared" si="7"/>
        <v>Compliant</v>
      </c>
      <c r="Q62" s="42" t="str">
        <f t="shared" si="8"/>
        <v>Compliant</v>
      </c>
      <c r="R62" s="42" t="str">
        <f t="shared" si="9"/>
        <v>Compliant</v>
      </c>
      <c r="S62" s="36" t="str">
        <f t="shared" si="10"/>
        <v/>
      </c>
      <c r="T62" s="42" t="str">
        <f t="shared" si="11"/>
        <v/>
      </c>
      <c r="U62" s="42" t="str">
        <f t="shared" si="12"/>
        <v/>
      </c>
      <c r="V62" s="42" t="str">
        <f t="shared" si="13"/>
        <v/>
      </c>
      <c r="W62" s="42" t="str">
        <f t="shared" si="14"/>
        <v/>
      </c>
    </row>
    <row r="63" spans="1:23" ht="15" hidden="1" customHeight="1" x14ac:dyDescent="0.25">
      <c r="A63" s="36" t="str">
        <f>Claims!A59</f>
        <v>EXP00058</v>
      </c>
      <c r="B63" s="36" t="str">
        <f>Claims!D59</f>
        <v>M2</v>
      </c>
      <c r="C63" s="36" t="str">
        <f>Claims!E59</f>
        <v>Local Cab</v>
      </c>
      <c r="D63" s="36" t="str">
        <f>Claims!G59</f>
        <v>Metro</v>
      </c>
      <c r="E63" s="40">
        <f>Claims!H59</f>
        <v>353</v>
      </c>
      <c r="F63" s="36" t="str">
        <f>Claims!K59</f>
        <v>Yes</v>
      </c>
      <c r="G63" s="36" t="str">
        <f>IF(Claims!M59="","",Claims!M59)</f>
        <v/>
      </c>
      <c r="H63" s="36" t="str">
        <f>IF(Claims!N59="","",Claims!N59)</f>
        <v/>
      </c>
      <c r="I63" s="41">
        <f>Claims!J59-Claims!I59</f>
        <v>9</v>
      </c>
      <c r="J63" s="42" t="str">
        <f t="shared" si="1"/>
        <v>n/a</v>
      </c>
      <c r="K63" s="42" t="str">
        <f t="shared" si="2"/>
        <v>n/a</v>
      </c>
      <c r="L63" s="42" t="str">
        <f t="shared" si="3"/>
        <v>n/a</v>
      </c>
      <c r="M63" s="42" t="str">
        <f t="shared" si="4"/>
        <v>n/a</v>
      </c>
      <c r="N63" s="42" t="str">
        <f t="shared" si="5"/>
        <v>n/a</v>
      </c>
      <c r="O63" s="42" t="str">
        <f t="shared" si="6"/>
        <v>n/a</v>
      </c>
      <c r="P63" s="42" t="str">
        <f t="shared" si="7"/>
        <v>Compliant</v>
      </c>
      <c r="Q63" s="42" t="str">
        <f t="shared" si="8"/>
        <v>Compliant</v>
      </c>
      <c r="R63" s="42" t="str">
        <f t="shared" si="9"/>
        <v>Compliant</v>
      </c>
      <c r="S63" s="36" t="str">
        <f t="shared" si="10"/>
        <v/>
      </c>
      <c r="T63" s="42" t="str">
        <f t="shared" si="11"/>
        <v/>
      </c>
      <c r="U63" s="42" t="str">
        <f t="shared" si="12"/>
        <v/>
      </c>
      <c r="V63" s="42" t="str">
        <f t="shared" si="13"/>
        <v/>
      </c>
      <c r="W63" s="42" t="str">
        <f t="shared" si="14"/>
        <v/>
      </c>
    </row>
    <row r="64" spans="1:23" ht="15" hidden="1" customHeight="1" x14ac:dyDescent="0.25">
      <c r="A64" s="36" t="str">
        <f>Claims!A60</f>
        <v>EXP00059</v>
      </c>
      <c r="B64" s="36" t="str">
        <f>Claims!D60</f>
        <v>M4</v>
      </c>
      <c r="C64" s="36" t="str">
        <f>Claims!E60</f>
        <v>Meals/DA</v>
      </c>
      <c r="D64" s="36" t="str">
        <f>Claims!G60</f>
        <v>Metro</v>
      </c>
      <c r="E64" s="40">
        <f>Claims!H60</f>
        <v>1086</v>
      </c>
      <c r="F64" s="36" t="str">
        <f>Claims!K60</f>
        <v>Yes</v>
      </c>
      <c r="G64" s="36" t="str">
        <f>IF(Claims!M60="","",Claims!M60)</f>
        <v/>
      </c>
      <c r="H64" s="36" t="str">
        <f>IF(Claims!N60="","",Claims!N60)</f>
        <v/>
      </c>
      <c r="I64" s="41">
        <f>Claims!J60-Claims!I60</f>
        <v>35</v>
      </c>
      <c r="J64" s="42" t="str">
        <f t="shared" si="1"/>
        <v>n/a</v>
      </c>
      <c r="K64" s="42" t="str">
        <f t="shared" si="2"/>
        <v>n/a</v>
      </c>
      <c r="L64" s="42" t="str">
        <f t="shared" si="3"/>
        <v>n/a</v>
      </c>
      <c r="M64" s="42" t="str">
        <f t="shared" si="4"/>
        <v>n/a</v>
      </c>
      <c r="N64" s="42" t="str">
        <f t="shared" si="5"/>
        <v>Compliant</v>
      </c>
      <c r="O64" s="42" t="str">
        <f t="shared" si="6"/>
        <v>n/a</v>
      </c>
      <c r="P64" s="42" t="str">
        <f t="shared" si="7"/>
        <v>Compliant</v>
      </c>
      <c r="Q64" s="42" t="str">
        <f t="shared" si="8"/>
        <v>Violation</v>
      </c>
      <c r="R64" s="42" t="str">
        <f t="shared" si="9"/>
        <v>Violation</v>
      </c>
      <c r="S64" s="36" t="str">
        <f t="shared" si="10"/>
        <v>TP-10</v>
      </c>
      <c r="T64" s="42" t="str">
        <f t="shared" si="11"/>
        <v>Late</v>
      </c>
      <c r="U64" s="42" t="str">
        <f t="shared" si="12"/>
        <v>Definite</v>
      </c>
      <c r="V64" s="42" t="str">
        <f t="shared" si="13"/>
        <v/>
      </c>
      <c r="W64" s="42" t="str">
        <f t="shared" si="14"/>
        <v/>
      </c>
    </row>
    <row r="65" spans="1:23" ht="15" hidden="1" customHeight="1" x14ac:dyDescent="0.25">
      <c r="A65" s="36" t="str">
        <f>Claims!A61</f>
        <v>EXP00060</v>
      </c>
      <c r="B65" s="36" t="str">
        <f>Claims!D61</f>
        <v>M1</v>
      </c>
      <c r="C65" s="36" t="str">
        <f>Claims!E61</f>
        <v>Stationery</v>
      </c>
      <c r="D65" s="36" t="str">
        <f>Claims!G61</f>
        <v>Non-metro</v>
      </c>
      <c r="E65" s="40">
        <f>Claims!H61</f>
        <v>618</v>
      </c>
      <c r="F65" s="36" t="str">
        <f>Claims!K61</f>
        <v>Yes</v>
      </c>
      <c r="G65" s="36" t="str">
        <f>IF(Claims!M61="","",Claims!M61)</f>
        <v/>
      </c>
      <c r="H65" s="36" t="str">
        <f>IF(Claims!N61="","",Claims!N61)</f>
        <v/>
      </c>
      <c r="I65" s="41">
        <f>Claims!J61-Claims!I61</f>
        <v>9</v>
      </c>
      <c r="J65" s="42" t="str">
        <f t="shared" si="1"/>
        <v>n/a</v>
      </c>
      <c r="K65" s="42" t="str">
        <f t="shared" si="2"/>
        <v>n/a</v>
      </c>
      <c r="L65" s="42" t="str">
        <f t="shared" si="3"/>
        <v>n/a</v>
      </c>
      <c r="M65" s="42" t="str">
        <f t="shared" si="4"/>
        <v>n/a</v>
      </c>
      <c r="N65" s="42" t="str">
        <f t="shared" si="5"/>
        <v>n/a</v>
      </c>
      <c r="O65" s="42" t="str">
        <f t="shared" si="6"/>
        <v>n/a</v>
      </c>
      <c r="P65" s="42" t="str">
        <f t="shared" si="7"/>
        <v>Compliant</v>
      </c>
      <c r="Q65" s="42" t="str">
        <f t="shared" si="8"/>
        <v>Compliant</v>
      </c>
      <c r="R65" s="42" t="str">
        <f t="shared" si="9"/>
        <v>Compliant</v>
      </c>
      <c r="S65" s="36" t="str">
        <f t="shared" si="10"/>
        <v/>
      </c>
      <c r="T65" s="42" t="str">
        <f t="shared" si="11"/>
        <v/>
      </c>
      <c r="U65" s="42" t="str">
        <f t="shared" si="12"/>
        <v/>
      </c>
      <c r="V65" s="42" t="str">
        <f t="shared" si="13"/>
        <v/>
      </c>
      <c r="W65" s="42" t="str">
        <f t="shared" si="14"/>
        <v/>
      </c>
    </row>
    <row r="66" spans="1:23" ht="15" hidden="1" customHeight="1" x14ac:dyDescent="0.25">
      <c r="A66" s="36" t="str">
        <f>Claims!A62</f>
        <v>EXP00061</v>
      </c>
      <c r="B66" s="36" t="str">
        <f>Claims!D62</f>
        <v>M2</v>
      </c>
      <c r="C66" s="36" t="str">
        <f>Claims!E62</f>
        <v>Flight</v>
      </c>
      <c r="D66" s="36" t="str">
        <f>Claims!G62</f>
        <v>Non-metro</v>
      </c>
      <c r="E66" s="40">
        <f>Claims!H62</f>
        <v>19519</v>
      </c>
      <c r="F66" s="36" t="str">
        <f>Claims!K62</f>
        <v>Yes</v>
      </c>
      <c r="G66" s="36">
        <f>IF(Claims!M62="","",Claims!M62)</f>
        <v>10</v>
      </c>
      <c r="H66" s="36" t="str">
        <f>IF(Claims!N62="","",Claims!N62)</f>
        <v>Economy</v>
      </c>
      <c r="I66" s="41">
        <f>Claims!J62-Claims!I62</f>
        <v>70</v>
      </c>
      <c r="J66" s="42" t="str">
        <f t="shared" si="1"/>
        <v>Compliant</v>
      </c>
      <c r="K66" s="42" t="str">
        <f t="shared" si="2"/>
        <v>Compliant</v>
      </c>
      <c r="L66" s="42" t="str">
        <f t="shared" si="3"/>
        <v>n/a</v>
      </c>
      <c r="M66" s="42" t="str">
        <f t="shared" si="4"/>
        <v>n/a</v>
      </c>
      <c r="N66" s="42" t="str">
        <f t="shared" si="5"/>
        <v>n/a</v>
      </c>
      <c r="O66" s="42" t="str">
        <f t="shared" si="6"/>
        <v>n/a</v>
      </c>
      <c r="P66" s="42" t="str">
        <f t="shared" si="7"/>
        <v>Compliant</v>
      </c>
      <c r="Q66" s="42" t="str">
        <f t="shared" si="8"/>
        <v>Violation</v>
      </c>
      <c r="R66" s="42" t="str">
        <f t="shared" si="9"/>
        <v>Violation</v>
      </c>
      <c r="S66" s="36" t="str">
        <f t="shared" si="10"/>
        <v>TP-10</v>
      </c>
      <c r="T66" s="42" t="str">
        <f t="shared" si="11"/>
        <v>Expired</v>
      </c>
      <c r="U66" s="42" t="str">
        <f t="shared" si="12"/>
        <v>Definite</v>
      </c>
      <c r="V66" s="42" t="str">
        <f t="shared" si="13"/>
        <v/>
      </c>
      <c r="W66" s="42" t="str">
        <f t="shared" si="14"/>
        <v/>
      </c>
    </row>
    <row r="67" spans="1:23" ht="15" hidden="1" customHeight="1" x14ac:dyDescent="0.25">
      <c r="A67" s="36" t="str">
        <f>Claims!A63</f>
        <v>EXP00062</v>
      </c>
      <c r="B67" s="36" t="str">
        <f>Claims!D63</f>
        <v>M3</v>
      </c>
      <c r="C67" s="36" t="str">
        <f>Claims!E63</f>
        <v>Flight</v>
      </c>
      <c r="D67" s="36" t="str">
        <f>Claims!G63</f>
        <v>Metro</v>
      </c>
      <c r="E67" s="40">
        <f>Claims!H63</f>
        <v>3999</v>
      </c>
      <c r="F67" s="36" t="str">
        <f>Claims!K63</f>
        <v>Yes</v>
      </c>
      <c r="G67" s="36">
        <f>IF(Claims!M63="","",Claims!M63)</f>
        <v>19</v>
      </c>
      <c r="H67" s="36" t="str">
        <f>IF(Claims!N63="","",Claims!N63)</f>
        <v>Economy</v>
      </c>
      <c r="I67" s="41">
        <f>Claims!J63-Claims!I63</f>
        <v>5</v>
      </c>
      <c r="J67" s="42" t="str">
        <f t="shared" si="1"/>
        <v>Compliant</v>
      </c>
      <c r="K67" s="42" t="str">
        <f t="shared" si="2"/>
        <v>Compliant</v>
      </c>
      <c r="L67" s="42" t="str">
        <f t="shared" si="3"/>
        <v>n/a</v>
      </c>
      <c r="M67" s="42" t="str">
        <f t="shared" si="4"/>
        <v>n/a</v>
      </c>
      <c r="N67" s="42" t="str">
        <f t="shared" si="5"/>
        <v>n/a</v>
      </c>
      <c r="O67" s="42" t="str">
        <f t="shared" si="6"/>
        <v>n/a</v>
      </c>
      <c r="P67" s="42" t="str">
        <f t="shared" si="7"/>
        <v>Compliant</v>
      </c>
      <c r="Q67" s="42" t="str">
        <f t="shared" si="8"/>
        <v>Compliant</v>
      </c>
      <c r="R67" s="42" t="str">
        <f t="shared" si="9"/>
        <v>Compliant</v>
      </c>
      <c r="S67" s="36" t="str">
        <f t="shared" si="10"/>
        <v/>
      </c>
      <c r="T67" s="42" t="str">
        <f t="shared" si="11"/>
        <v/>
      </c>
      <c r="U67" s="42" t="str">
        <f t="shared" si="12"/>
        <v/>
      </c>
      <c r="V67" s="42" t="str">
        <f t="shared" si="13"/>
        <v/>
      </c>
      <c r="W67" s="42" t="str">
        <f t="shared" si="14"/>
        <v/>
      </c>
    </row>
    <row r="68" spans="1:23" ht="15" hidden="1" customHeight="1" x14ac:dyDescent="0.25">
      <c r="A68" s="36" t="str">
        <f>Claims!A64</f>
        <v>EXP00063</v>
      </c>
      <c r="B68" s="36" t="str">
        <f>Claims!D64</f>
        <v>M3</v>
      </c>
      <c r="C68" s="36" t="str">
        <f>Claims!E64</f>
        <v>Stationery</v>
      </c>
      <c r="D68" s="36" t="str">
        <f>Claims!G64</f>
        <v>Non-metro</v>
      </c>
      <c r="E68" s="40">
        <f>Claims!H64</f>
        <v>1354</v>
      </c>
      <c r="F68" s="36" t="str">
        <f>Claims!K64</f>
        <v>Yes</v>
      </c>
      <c r="G68" s="36" t="str">
        <f>IF(Claims!M64="","",Claims!M64)</f>
        <v/>
      </c>
      <c r="H68" s="36" t="str">
        <f>IF(Claims!N64="","",Claims!N64)</f>
        <v/>
      </c>
      <c r="I68" s="41">
        <f>Claims!J64-Claims!I64</f>
        <v>5</v>
      </c>
      <c r="J68" s="42" t="str">
        <f t="shared" si="1"/>
        <v>n/a</v>
      </c>
      <c r="K68" s="42" t="str">
        <f t="shared" si="2"/>
        <v>n/a</v>
      </c>
      <c r="L68" s="42" t="str">
        <f t="shared" si="3"/>
        <v>n/a</v>
      </c>
      <c r="M68" s="42" t="str">
        <f t="shared" si="4"/>
        <v>n/a</v>
      </c>
      <c r="N68" s="42" t="str">
        <f t="shared" si="5"/>
        <v>n/a</v>
      </c>
      <c r="O68" s="42" t="str">
        <f t="shared" si="6"/>
        <v>n/a</v>
      </c>
      <c r="P68" s="42" t="str">
        <f t="shared" si="7"/>
        <v>Compliant</v>
      </c>
      <c r="Q68" s="42" t="str">
        <f t="shared" si="8"/>
        <v>Compliant</v>
      </c>
      <c r="R68" s="42" t="str">
        <f t="shared" si="9"/>
        <v>Compliant</v>
      </c>
      <c r="S68" s="36" t="str">
        <f t="shared" si="10"/>
        <v/>
      </c>
      <c r="T68" s="42" t="str">
        <f t="shared" si="11"/>
        <v/>
      </c>
      <c r="U68" s="42" t="str">
        <f t="shared" si="12"/>
        <v/>
      </c>
      <c r="V68" s="42" t="str">
        <f t="shared" si="13"/>
        <v/>
      </c>
      <c r="W68" s="42" t="str">
        <f t="shared" si="14"/>
        <v/>
      </c>
    </row>
    <row r="69" spans="1:23" ht="15" hidden="1" customHeight="1" x14ac:dyDescent="0.25">
      <c r="A69" s="36" t="str">
        <f>Claims!A65</f>
        <v>EXP00064</v>
      </c>
      <c r="B69" s="36" t="str">
        <f>Claims!D65</f>
        <v>M2</v>
      </c>
      <c r="C69" s="36" t="str">
        <f>Claims!E65</f>
        <v>Local Cab</v>
      </c>
      <c r="D69" s="36" t="str">
        <f>Claims!G65</f>
        <v>Metro</v>
      </c>
      <c r="E69" s="40">
        <f>Claims!H65</f>
        <v>893</v>
      </c>
      <c r="F69" s="36" t="str">
        <f>Claims!K65</f>
        <v>Yes</v>
      </c>
      <c r="G69" s="36" t="str">
        <f>IF(Claims!M65="","",Claims!M65)</f>
        <v/>
      </c>
      <c r="H69" s="36" t="str">
        <f>IF(Claims!N65="","",Claims!N65)</f>
        <v/>
      </c>
      <c r="I69" s="41">
        <f>Claims!J65-Claims!I65</f>
        <v>9</v>
      </c>
      <c r="J69" s="42" t="str">
        <f t="shared" si="1"/>
        <v>n/a</v>
      </c>
      <c r="K69" s="42" t="str">
        <f t="shared" si="2"/>
        <v>n/a</v>
      </c>
      <c r="L69" s="42" t="str">
        <f t="shared" si="3"/>
        <v>n/a</v>
      </c>
      <c r="M69" s="42" t="str">
        <f t="shared" si="4"/>
        <v>n/a</v>
      </c>
      <c r="N69" s="42" t="str">
        <f t="shared" si="5"/>
        <v>n/a</v>
      </c>
      <c r="O69" s="42" t="str">
        <f t="shared" si="6"/>
        <v>n/a</v>
      </c>
      <c r="P69" s="42" t="str">
        <f t="shared" si="7"/>
        <v>Compliant</v>
      </c>
      <c r="Q69" s="42" t="str">
        <f t="shared" si="8"/>
        <v>Compliant</v>
      </c>
      <c r="R69" s="42" t="str">
        <f t="shared" si="9"/>
        <v>Compliant</v>
      </c>
      <c r="S69" s="36" t="str">
        <f t="shared" si="10"/>
        <v/>
      </c>
      <c r="T69" s="42" t="str">
        <f t="shared" si="11"/>
        <v/>
      </c>
      <c r="U69" s="42" t="str">
        <f t="shared" si="12"/>
        <v/>
      </c>
      <c r="V69" s="42" t="str">
        <f t="shared" si="13"/>
        <v/>
      </c>
      <c r="W69" s="42" t="str">
        <f t="shared" si="14"/>
        <v/>
      </c>
    </row>
    <row r="70" spans="1:23" ht="15" hidden="1" customHeight="1" x14ac:dyDescent="0.25">
      <c r="A70" s="36" t="str">
        <f>Claims!A66</f>
        <v>EXP00065</v>
      </c>
      <c r="B70" s="36" t="str">
        <f>Claims!D66</f>
        <v>M2</v>
      </c>
      <c r="C70" s="36" t="str">
        <f>Claims!E66</f>
        <v>Local Cab</v>
      </c>
      <c r="D70" s="36" t="str">
        <f>Claims!G66</f>
        <v>Metro</v>
      </c>
      <c r="E70" s="40">
        <f>Claims!H66</f>
        <v>1907</v>
      </c>
      <c r="F70" s="36" t="str">
        <f>Claims!K66</f>
        <v>Yes</v>
      </c>
      <c r="G70" s="36" t="str">
        <f>IF(Claims!M66="","",Claims!M66)</f>
        <v/>
      </c>
      <c r="H70" s="36" t="str">
        <f>IF(Claims!N66="","",Claims!N66)</f>
        <v/>
      </c>
      <c r="I70" s="41">
        <f>Claims!J66-Claims!I66</f>
        <v>70</v>
      </c>
      <c r="J70" s="42" t="str">
        <f t="shared" ref="J70:J133" si="15">IF(C70=Lbl_Flight,IF(AND(H70=Lbl_Business,INDEX(Biz_Permitted,MATCH(B70,Caps_Grade,0))=Lbl_BizNo),Lbl_Viol,Lbl_Comp),Lbl_NA)</f>
        <v>n/a</v>
      </c>
      <c r="K70" s="42" t="str">
        <f t="shared" ref="K70:K133" si="16">IF(C70=Lbl_Flight,IF(G70&lt;Min_Days_Booked,Lbl_Viol,Lbl_Comp),Lbl_NA)</f>
        <v>n/a</v>
      </c>
      <c r="L70" s="42" t="str">
        <f t="shared" ref="L70:L133" si="17">IF(AND(C70=Lbl_Hotel,D70=Lbl_Metro),IF(E70&gt;INDEX(Caps_Metro,MATCH(B70,Caps_Grade,0)),Lbl_Viol,Lbl_Comp),Lbl_NA)</f>
        <v>n/a</v>
      </c>
      <c r="M70" s="42" t="str">
        <f t="shared" ref="M70:M133" si="18">IF(AND(C70=Lbl_Hotel,D70=Lbl_NonMetro),IF(E70&gt;INDEX(Caps_NonMetro,MATCH(B70,Caps_Grade,0)),Lbl_Viol,Lbl_Comp),Lbl_NA)</f>
        <v>n/a</v>
      </c>
      <c r="N70" s="42" t="str">
        <f t="shared" ref="N70:N133" si="19">IF(C70=Lbl_Meals,IF(E70&gt;IF(D70=Lbl_Metro,Limit_Metro,Limit_NonMetro),Lbl_Viol,Lbl_Comp),Lbl_NA)</f>
        <v>n/a</v>
      </c>
      <c r="O70" s="42" t="str">
        <f t="shared" ref="O70:O133" si="20">IF(C70=Lbl_Alcohol,Lbl_Viol,Lbl_NA)</f>
        <v>n/a</v>
      </c>
      <c r="P70" s="42" t="str">
        <f t="shared" ref="P70:P133" si="21">IF(AND(F70=Lbl_NoReceipt,E70&gt;Receipt_Threshold),Lbl_Viol,Lbl_Comp)</f>
        <v>Compliant</v>
      </c>
      <c r="Q70" s="42" t="str">
        <f t="shared" ref="Q70:Q133" si="22">IF(I70&gt;Late_Days,Lbl_Viol,Lbl_Comp)</f>
        <v>Violation</v>
      </c>
      <c r="R70" s="42" t="str">
        <f t="shared" ref="R70:R133" si="23">IF(COUNTIF(J70:Q70,Lbl_Viol)&gt;0,Lbl_Viol,Lbl_Comp)</f>
        <v>Violation</v>
      </c>
      <c r="S70" s="36" t="str">
        <f t="shared" ref="S70:S133" si="24">_xlfn.TEXTJOIN(", ",TRUE(),IF(J70=Lbl_Viol,J$5,""),IF(K70=Lbl_Viol,K$5,""),IF(L70=Lbl_Viol,L$5,""),IF(M70=Lbl_Viol,M$5,""),IF(N70=Lbl_Viol,N$5,""),IF(O70=Lbl_Viol,O$5,""),IF(P70=Lbl_Viol,P$5,""),IF(Q70=Lbl_Viol,Q$5,""))</f>
        <v>TP-10</v>
      </c>
      <c r="T70" s="42" t="str">
        <f t="shared" ref="T70:T133" si="25">IF(Q70=Lbl_Viol,IF(I70&gt;Expired_Days,Lbl_Expired,Lbl_Late),"")</f>
        <v>Expired</v>
      </c>
      <c r="U70" s="42" t="str">
        <f t="shared" ref="U70:U133" si="26">IF(R70=Lbl_Comp,"",IF(SUMPRODUCT((J70:Q70=Lbl_Viol)*(J$4:Q$4=Lbl_Definite))&gt;0,Lbl_Definite,Lbl_Assumption))</f>
        <v>Definite</v>
      </c>
      <c r="V70" s="42" t="str">
        <f t="shared" ref="V70:V133" si="27">IF(L70=Lbl_Viol,ROUNDUP(E70/INDEX(Caps_Metro,MATCH(B70,Caps_Grade,0)),0),IF(M70=Lbl_Viol,ROUNDUP(E70/INDEX(Caps_NonMetro,MATCH(B70,Caps_Grade,0)),0),IF(N70=Lbl_Viol,ROUNDUP(E70/IF(D70=Lbl_Metro,Limit_Metro,Limit_NonMetro),0),"")))</f>
        <v/>
      </c>
      <c r="W70" s="42" t="str">
        <f t="shared" ref="W70:W133" si="28">IF(OR(L70=Lbl_Viol,M70=Lbl_Viol),Lbl_NeedNights,IF(N70=Lbl_Viol,Lbl_NeedDays,IF(K70=Lbl_Viol,Lbl_NeedApproval,"")))</f>
        <v/>
      </c>
    </row>
    <row r="71" spans="1:23" ht="15" hidden="1" customHeight="1" x14ac:dyDescent="0.25">
      <c r="A71" s="36" t="str">
        <f>Claims!A67</f>
        <v>EXP00066</v>
      </c>
      <c r="B71" s="36" t="str">
        <f>Claims!D67</f>
        <v>M1</v>
      </c>
      <c r="C71" s="36" t="str">
        <f>Claims!E67</f>
        <v>Meals/DA</v>
      </c>
      <c r="D71" s="36" t="str">
        <f>Claims!G67</f>
        <v>Non-metro</v>
      </c>
      <c r="E71" s="40">
        <f>Claims!H67</f>
        <v>1772</v>
      </c>
      <c r="F71" s="36" t="str">
        <f>Claims!K67</f>
        <v>Yes</v>
      </c>
      <c r="G71" s="36" t="str">
        <f>IF(Claims!M67="","",Claims!M67)</f>
        <v/>
      </c>
      <c r="H71" s="36" t="str">
        <f>IF(Claims!N67="","",Claims!N67)</f>
        <v/>
      </c>
      <c r="I71" s="41">
        <f>Claims!J67-Claims!I67</f>
        <v>5</v>
      </c>
      <c r="J71" s="42" t="str">
        <f t="shared" si="15"/>
        <v>n/a</v>
      </c>
      <c r="K71" s="42" t="str">
        <f t="shared" si="16"/>
        <v>n/a</v>
      </c>
      <c r="L71" s="42" t="str">
        <f t="shared" si="17"/>
        <v>n/a</v>
      </c>
      <c r="M71" s="42" t="str">
        <f t="shared" si="18"/>
        <v>n/a</v>
      </c>
      <c r="N71" s="42" t="str">
        <f t="shared" si="19"/>
        <v>Violation</v>
      </c>
      <c r="O71" s="42" t="str">
        <f t="shared" si="20"/>
        <v>n/a</v>
      </c>
      <c r="P71" s="42" t="str">
        <f t="shared" si="21"/>
        <v>Compliant</v>
      </c>
      <c r="Q71" s="42" t="str">
        <f t="shared" si="22"/>
        <v>Compliant</v>
      </c>
      <c r="R71" s="42" t="str">
        <f t="shared" si="23"/>
        <v>Violation</v>
      </c>
      <c r="S71" s="36" t="str">
        <f t="shared" si="24"/>
        <v>TP-06</v>
      </c>
      <c r="T71" s="42" t="str">
        <f t="shared" si="25"/>
        <v/>
      </c>
      <c r="U71" s="42" t="str">
        <f t="shared" si="26"/>
        <v>Assumption-based</v>
      </c>
      <c r="V71" s="42">
        <f t="shared" si="27"/>
        <v>2</v>
      </c>
      <c r="W71" s="42" t="str">
        <f t="shared" si="28"/>
        <v>Needs days</v>
      </c>
    </row>
    <row r="72" spans="1:23" ht="15" hidden="1" customHeight="1" x14ac:dyDescent="0.25">
      <c r="A72" s="36" t="str">
        <f>Claims!A68</f>
        <v>EXP00067</v>
      </c>
      <c r="B72" s="36" t="str">
        <f>Claims!D68</f>
        <v>M2</v>
      </c>
      <c r="C72" s="36" t="str">
        <f>Claims!E68</f>
        <v>Hotel</v>
      </c>
      <c r="D72" s="36" t="str">
        <f>Claims!G68</f>
        <v>Non-metro</v>
      </c>
      <c r="E72" s="40">
        <f>Claims!H68</f>
        <v>3750</v>
      </c>
      <c r="F72" s="36" t="str">
        <f>Claims!K68</f>
        <v>No</v>
      </c>
      <c r="G72" s="36" t="str">
        <f>IF(Claims!M68="","",Claims!M68)</f>
        <v/>
      </c>
      <c r="H72" s="36" t="str">
        <f>IF(Claims!N68="","",Claims!N68)</f>
        <v/>
      </c>
      <c r="I72" s="41">
        <f>Claims!J68-Claims!I68</f>
        <v>2</v>
      </c>
      <c r="J72" s="42" t="str">
        <f t="shared" si="15"/>
        <v>n/a</v>
      </c>
      <c r="K72" s="42" t="str">
        <f t="shared" si="16"/>
        <v>n/a</v>
      </c>
      <c r="L72" s="42" t="str">
        <f t="shared" si="17"/>
        <v>n/a</v>
      </c>
      <c r="M72" s="42" t="str">
        <f t="shared" si="18"/>
        <v>Compliant</v>
      </c>
      <c r="N72" s="42" t="str">
        <f t="shared" si="19"/>
        <v>n/a</v>
      </c>
      <c r="O72" s="42" t="str">
        <f t="shared" si="20"/>
        <v>n/a</v>
      </c>
      <c r="P72" s="42" t="str">
        <f t="shared" si="21"/>
        <v>Violation</v>
      </c>
      <c r="Q72" s="42" t="str">
        <f t="shared" si="22"/>
        <v>Compliant</v>
      </c>
      <c r="R72" s="42" t="str">
        <f t="shared" si="23"/>
        <v>Violation</v>
      </c>
      <c r="S72" s="36" t="str">
        <f t="shared" si="24"/>
        <v>TP-09</v>
      </c>
      <c r="T72" s="42" t="str">
        <f t="shared" si="25"/>
        <v/>
      </c>
      <c r="U72" s="42" t="str">
        <f t="shared" si="26"/>
        <v>Definite</v>
      </c>
      <c r="V72" s="42" t="str">
        <f t="shared" si="27"/>
        <v/>
      </c>
      <c r="W72" s="42" t="str">
        <f t="shared" si="28"/>
        <v/>
      </c>
    </row>
    <row r="73" spans="1:23" ht="15" hidden="1" customHeight="1" x14ac:dyDescent="0.25">
      <c r="A73" s="36" t="str">
        <f>Claims!A69</f>
        <v>EXP00068</v>
      </c>
      <c r="B73" s="36" t="str">
        <f>Claims!D69</f>
        <v>M2</v>
      </c>
      <c r="C73" s="36" t="str">
        <f>Claims!E69</f>
        <v>Local Cab</v>
      </c>
      <c r="D73" s="36" t="str">
        <f>Claims!G69</f>
        <v>Non-metro</v>
      </c>
      <c r="E73" s="40">
        <f>Claims!H69</f>
        <v>1956</v>
      </c>
      <c r="F73" s="36" t="str">
        <f>Claims!K69</f>
        <v>No</v>
      </c>
      <c r="G73" s="36" t="str">
        <f>IF(Claims!M69="","",Claims!M69)</f>
        <v/>
      </c>
      <c r="H73" s="36" t="str">
        <f>IF(Claims!N69="","",Claims!N69)</f>
        <v/>
      </c>
      <c r="I73" s="41">
        <f>Claims!J69-Claims!I69</f>
        <v>5</v>
      </c>
      <c r="J73" s="42" t="str">
        <f t="shared" si="15"/>
        <v>n/a</v>
      </c>
      <c r="K73" s="42" t="str">
        <f t="shared" si="16"/>
        <v>n/a</v>
      </c>
      <c r="L73" s="42" t="str">
        <f t="shared" si="17"/>
        <v>n/a</v>
      </c>
      <c r="M73" s="42" t="str">
        <f t="shared" si="18"/>
        <v>n/a</v>
      </c>
      <c r="N73" s="42" t="str">
        <f t="shared" si="19"/>
        <v>n/a</v>
      </c>
      <c r="O73" s="42" t="str">
        <f t="shared" si="20"/>
        <v>n/a</v>
      </c>
      <c r="P73" s="42" t="str">
        <f t="shared" si="21"/>
        <v>Violation</v>
      </c>
      <c r="Q73" s="42" t="str">
        <f t="shared" si="22"/>
        <v>Compliant</v>
      </c>
      <c r="R73" s="42" t="str">
        <f t="shared" si="23"/>
        <v>Violation</v>
      </c>
      <c r="S73" s="36" t="str">
        <f t="shared" si="24"/>
        <v>TP-09</v>
      </c>
      <c r="T73" s="42" t="str">
        <f t="shared" si="25"/>
        <v/>
      </c>
      <c r="U73" s="42" t="str">
        <f t="shared" si="26"/>
        <v>Definite</v>
      </c>
      <c r="V73" s="42" t="str">
        <f t="shared" si="27"/>
        <v/>
      </c>
      <c r="W73" s="42" t="str">
        <f t="shared" si="28"/>
        <v/>
      </c>
    </row>
    <row r="74" spans="1:23" ht="15" hidden="1" customHeight="1" x14ac:dyDescent="0.25">
      <c r="A74" s="36" t="str">
        <f>Claims!A70</f>
        <v>EXP00069</v>
      </c>
      <c r="B74" s="36" t="str">
        <f>Claims!D70</f>
        <v>M4</v>
      </c>
      <c r="C74" s="36" t="str">
        <f>Claims!E70</f>
        <v>Local Cab</v>
      </c>
      <c r="D74" s="36" t="str">
        <f>Claims!G70</f>
        <v>Metro</v>
      </c>
      <c r="E74" s="40">
        <f>Claims!H70</f>
        <v>1939</v>
      </c>
      <c r="F74" s="36" t="str">
        <f>Claims!K70</f>
        <v>Yes</v>
      </c>
      <c r="G74" s="36" t="str">
        <f>IF(Claims!M70="","",Claims!M70)</f>
        <v/>
      </c>
      <c r="H74" s="36" t="str">
        <f>IF(Claims!N70="","",Claims!N70)</f>
        <v/>
      </c>
      <c r="I74" s="41">
        <f>Claims!J70-Claims!I70</f>
        <v>2</v>
      </c>
      <c r="J74" s="42" t="str">
        <f t="shared" si="15"/>
        <v>n/a</v>
      </c>
      <c r="K74" s="42" t="str">
        <f t="shared" si="16"/>
        <v>n/a</v>
      </c>
      <c r="L74" s="42" t="str">
        <f t="shared" si="17"/>
        <v>n/a</v>
      </c>
      <c r="M74" s="42" t="str">
        <f t="shared" si="18"/>
        <v>n/a</v>
      </c>
      <c r="N74" s="42" t="str">
        <f t="shared" si="19"/>
        <v>n/a</v>
      </c>
      <c r="O74" s="42" t="str">
        <f t="shared" si="20"/>
        <v>n/a</v>
      </c>
      <c r="P74" s="42" t="str">
        <f t="shared" si="21"/>
        <v>Compliant</v>
      </c>
      <c r="Q74" s="42" t="str">
        <f t="shared" si="22"/>
        <v>Compliant</v>
      </c>
      <c r="R74" s="42" t="str">
        <f t="shared" si="23"/>
        <v>Compliant</v>
      </c>
      <c r="S74" s="36" t="str">
        <f t="shared" si="24"/>
        <v/>
      </c>
      <c r="T74" s="42" t="str">
        <f t="shared" si="25"/>
        <v/>
      </c>
      <c r="U74" s="42" t="str">
        <f t="shared" si="26"/>
        <v/>
      </c>
      <c r="V74" s="42" t="str">
        <f t="shared" si="27"/>
        <v/>
      </c>
      <c r="W74" s="42" t="str">
        <f t="shared" si="28"/>
        <v/>
      </c>
    </row>
    <row r="75" spans="1:23" ht="15" hidden="1" customHeight="1" x14ac:dyDescent="0.25">
      <c r="A75" s="36" t="str">
        <f>Claims!A71</f>
        <v>EXP00070</v>
      </c>
      <c r="B75" s="36" t="str">
        <f>Claims!D71</f>
        <v>M4</v>
      </c>
      <c r="C75" s="36" t="str">
        <f>Claims!E71</f>
        <v>Flight</v>
      </c>
      <c r="D75" s="36" t="str">
        <f>Claims!G71</f>
        <v>Metro</v>
      </c>
      <c r="E75" s="40">
        <f>Claims!H71</f>
        <v>10011</v>
      </c>
      <c r="F75" s="36" t="str">
        <f>Claims!K71</f>
        <v>No</v>
      </c>
      <c r="G75" s="36">
        <f>IF(Claims!M71="","",Claims!M71)</f>
        <v>2</v>
      </c>
      <c r="H75" s="36" t="str">
        <f>IF(Claims!N71="","",Claims!N71)</f>
        <v>Economy</v>
      </c>
      <c r="I75" s="41">
        <f>Claims!J71-Claims!I71</f>
        <v>2</v>
      </c>
      <c r="J75" s="42" t="str">
        <f t="shared" si="15"/>
        <v>Compliant</v>
      </c>
      <c r="K75" s="42" t="str">
        <f t="shared" si="16"/>
        <v>Violation</v>
      </c>
      <c r="L75" s="42" t="str">
        <f t="shared" si="17"/>
        <v>n/a</v>
      </c>
      <c r="M75" s="42" t="str">
        <f t="shared" si="18"/>
        <v>n/a</v>
      </c>
      <c r="N75" s="42" t="str">
        <f t="shared" si="19"/>
        <v>n/a</v>
      </c>
      <c r="O75" s="42" t="str">
        <f t="shared" si="20"/>
        <v>n/a</v>
      </c>
      <c r="P75" s="42" t="str">
        <f t="shared" si="21"/>
        <v>Violation</v>
      </c>
      <c r="Q75" s="42" t="str">
        <f t="shared" si="22"/>
        <v>Compliant</v>
      </c>
      <c r="R75" s="42" t="str">
        <f t="shared" si="23"/>
        <v>Violation</v>
      </c>
      <c r="S75" s="36" t="str">
        <f t="shared" si="24"/>
        <v>TP-02, TP-09</v>
      </c>
      <c r="T75" s="42" t="str">
        <f t="shared" si="25"/>
        <v/>
      </c>
      <c r="U75" s="42" t="str">
        <f t="shared" si="26"/>
        <v>Definite</v>
      </c>
      <c r="V75" s="42" t="str">
        <f t="shared" si="27"/>
        <v/>
      </c>
      <c r="W75" s="42" t="str">
        <f t="shared" si="28"/>
        <v>Needs approval</v>
      </c>
    </row>
    <row r="76" spans="1:23" ht="15" hidden="1" customHeight="1" x14ac:dyDescent="0.25">
      <c r="A76" s="36" t="str">
        <f>Claims!A72</f>
        <v>EXP00071</v>
      </c>
      <c r="B76" s="36" t="str">
        <f>Claims!D72</f>
        <v>M1</v>
      </c>
      <c r="C76" s="36" t="str">
        <f>Claims!E72</f>
        <v>Alcohol</v>
      </c>
      <c r="D76" s="36" t="str">
        <f>Claims!G72</f>
        <v>Non-metro</v>
      </c>
      <c r="E76" s="40">
        <f>Claims!H72</f>
        <v>2318</v>
      </c>
      <c r="F76" s="36" t="str">
        <f>Claims!K72</f>
        <v>Yes</v>
      </c>
      <c r="G76" s="36" t="str">
        <f>IF(Claims!M72="","",Claims!M72)</f>
        <v/>
      </c>
      <c r="H76" s="36" t="str">
        <f>IF(Claims!N72="","",Claims!N72)</f>
        <v/>
      </c>
      <c r="I76" s="41">
        <f>Claims!J72-Claims!I72</f>
        <v>9</v>
      </c>
      <c r="J76" s="42" t="str">
        <f t="shared" si="15"/>
        <v>n/a</v>
      </c>
      <c r="K76" s="42" t="str">
        <f t="shared" si="16"/>
        <v>n/a</v>
      </c>
      <c r="L76" s="42" t="str">
        <f t="shared" si="17"/>
        <v>n/a</v>
      </c>
      <c r="M76" s="42" t="str">
        <f t="shared" si="18"/>
        <v>n/a</v>
      </c>
      <c r="N76" s="42" t="str">
        <f t="shared" si="19"/>
        <v>n/a</v>
      </c>
      <c r="O76" s="42" t="str">
        <f t="shared" si="20"/>
        <v>Violation</v>
      </c>
      <c r="P76" s="42" t="str">
        <f t="shared" si="21"/>
        <v>Compliant</v>
      </c>
      <c r="Q76" s="42" t="str">
        <f t="shared" si="22"/>
        <v>Compliant</v>
      </c>
      <c r="R76" s="42" t="str">
        <f t="shared" si="23"/>
        <v>Violation</v>
      </c>
      <c r="S76" s="36" t="str">
        <f t="shared" si="24"/>
        <v>TP-08</v>
      </c>
      <c r="T76" s="42" t="str">
        <f t="shared" si="25"/>
        <v/>
      </c>
      <c r="U76" s="42" t="str">
        <f t="shared" si="26"/>
        <v>Definite</v>
      </c>
      <c r="V76" s="42" t="str">
        <f t="shared" si="27"/>
        <v/>
      </c>
      <c r="W76" s="42" t="str">
        <f t="shared" si="28"/>
        <v/>
      </c>
    </row>
    <row r="77" spans="1:23" ht="15" hidden="1" customHeight="1" x14ac:dyDescent="0.25">
      <c r="A77" s="36" t="str">
        <f>Claims!A73</f>
        <v>EXP00072</v>
      </c>
      <c r="B77" s="36" t="str">
        <f>Claims!D73</f>
        <v>M5</v>
      </c>
      <c r="C77" s="36" t="str">
        <f>Claims!E73</f>
        <v>Hotel</v>
      </c>
      <c r="D77" s="36" t="str">
        <f>Claims!G73</f>
        <v>Metro</v>
      </c>
      <c r="E77" s="40">
        <f>Claims!H73</f>
        <v>3809</v>
      </c>
      <c r="F77" s="36" t="str">
        <f>Claims!K73</f>
        <v>No</v>
      </c>
      <c r="G77" s="36" t="str">
        <f>IF(Claims!M73="","",Claims!M73)</f>
        <v/>
      </c>
      <c r="H77" s="36" t="str">
        <f>IF(Claims!N73="","",Claims!N73)</f>
        <v/>
      </c>
      <c r="I77" s="41">
        <f>Claims!J73-Claims!I73</f>
        <v>14</v>
      </c>
      <c r="J77" s="42" t="str">
        <f t="shared" si="15"/>
        <v>n/a</v>
      </c>
      <c r="K77" s="42" t="str">
        <f t="shared" si="16"/>
        <v>n/a</v>
      </c>
      <c r="L77" s="42" t="str">
        <f t="shared" si="17"/>
        <v>Compliant</v>
      </c>
      <c r="M77" s="42" t="str">
        <f t="shared" si="18"/>
        <v>n/a</v>
      </c>
      <c r="N77" s="42" t="str">
        <f t="shared" si="19"/>
        <v>n/a</v>
      </c>
      <c r="O77" s="42" t="str">
        <f t="shared" si="20"/>
        <v>n/a</v>
      </c>
      <c r="P77" s="42" t="str">
        <f t="shared" si="21"/>
        <v>Violation</v>
      </c>
      <c r="Q77" s="42" t="str">
        <f t="shared" si="22"/>
        <v>Compliant</v>
      </c>
      <c r="R77" s="42" t="str">
        <f t="shared" si="23"/>
        <v>Violation</v>
      </c>
      <c r="S77" s="36" t="str">
        <f t="shared" si="24"/>
        <v>TP-09</v>
      </c>
      <c r="T77" s="42" t="str">
        <f t="shared" si="25"/>
        <v/>
      </c>
      <c r="U77" s="42" t="str">
        <f t="shared" si="26"/>
        <v>Definite</v>
      </c>
      <c r="V77" s="42" t="str">
        <f t="shared" si="27"/>
        <v/>
      </c>
      <c r="W77" s="42" t="str">
        <f t="shared" si="28"/>
        <v/>
      </c>
    </row>
    <row r="78" spans="1:23" ht="15" hidden="1" customHeight="1" x14ac:dyDescent="0.25">
      <c r="A78" s="36" t="str">
        <f>Claims!A74</f>
        <v>EXP00073</v>
      </c>
      <c r="B78" s="36" t="str">
        <f>Claims!D74</f>
        <v>M2</v>
      </c>
      <c r="C78" s="36" t="str">
        <f>Claims!E74</f>
        <v>Train</v>
      </c>
      <c r="D78" s="36" t="str">
        <f>Claims!G74</f>
        <v>Non-metro</v>
      </c>
      <c r="E78" s="40">
        <f>Claims!H74</f>
        <v>2240</v>
      </c>
      <c r="F78" s="36" t="str">
        <f>Claims!K74</f>
        <v>Yes</v>
      </c>
      <c r="G78" s="36" t="str">
        <f>IF(Claims!M74="","",Claims!M74)</f>
        <v/>
      </c>
      <c r="H78" s="36" t="str">
        <f>IF(Claims!N74="","",Claims!N74)</f>
        <v/>
      </c>
      <c r="I78" s="41">
        <f>Claims!J74-Claims!I74</f>
        <v>5</v>
      </c>
      <c r="J78" s="42" t="str">
        <f t="shared" si="15"/>
        <v>n/a</v>
      </c>
      <c r="K78" s="42" t="str">
        <f t="shared" si="16"/>
        <v>n/a</v>
      </c>
      <c r="L78" s="42" t="str">
        <f t="shared" si="17"/>
        <v>n/a</v>
      </c>
      <c r="M78" s="42" t="str">
        <f t="shared" si="18"/>
        <v>n/a</v>
      </c>
      <c r="N78" s="42" t="str">
        <f t="shared" si="19"/>
        <v>n/a</v>
      </c>
      <c r="O78" s="42" t="str">
        <f t="shared" si="20"/>
        <v>n/a</v>
      </c>
      <c r="P78" s="42" t="str">
        <f t="shared" si="21"/>
        <v>Compliant</v>
      </c>
      <c r="Q78" s="42" t="str">
        <f t="shared" si="22"/>
        <v>Compliant</v>
      </c>
      <c r="R78" s="42" t="str">
        <f t="shared" si="23"/>
        <v>Compliant</v>
      </c>
      <c r="S78" s="36" t="str">
        <f t="shared" si="24"/>
        <v/>
      </c>
      <c r="T78" s="42" t="str">
        <f t="shared" si="25"/>
        <v/>
      </c>
      <c r="U78" s="42" t="str">
        <f t="shared" si="26"/>
        <v/>
      </c>
      <c r="V78" s="42" t="str">
        <f t="shared" si="27"/>
        <v/>
      </c>
      <c r="W78" s="42" t="str">
        <f t="shared" si="28"/>
        <v/>
      </c>
    </row>
    <row r="79" spans="1:23" ht="15" hidden="1" customHeight="1" x14ac:dyDescent="0.25">
      <c r="A79" s="36" t="str">
        <f>Claims!A75</f>
        <v>EXP00074</v>
      </c>
      <c r="B79" s="36" t="str">
        <f>Claims!D75</f>
        <v>M1</v>
      </c>
      <c r="C79" s="36" t="str">
        <f>Claims!E75</f>
        <v>Flight</v>
      </c>
      <c r="D79" s="36" t="str">
        <f>Claims!G75</f>
        <v>Metro</v>
      </c>
      <c r="E79" s="40">
        <f>Claims!H75</f>
        <v>3816</v>
      </c>
      <c r="F79" s="36" t="str">
        <f>Claims!K75</f>
        <v>Yes</v>
      </c>
      <c r="G79" s="36">
        <f>IF(Claims!M75="","",Claims!M75)</f>
        <v>14</v>
      </c>
      <c r="H79" s="36" t="str">
        <f>IF(Claims!N75="","",Claims!N75)</f>
        <v>Business</v>
      </c>
      <c r="I79" s="41">
        <f>Claims!J75-Claims!I75</f>
        <v>14</v>
      </c>
      <c r="J79" s="42" t="str">
        <f t="shared" si="15"/>
        <v>Violation</v>
      </c>
      <c r="K79" s="42" t="str">
        <f t="shared" si="16"/>
        <v>Compliant</v>
      </c>
      <c r="L79" s="42" t="str">
        <f t="shared" si="17"/>
        <v>n/a</v>
      </c>
      <c r="M79" s="42" t="str">
        <f t="shared" si="18"/>
        <v>n/a</v>
      </c>
      <c r="N79" s="42" t="str">
        <f t="shared" si="19"/>
        <v>n/a</v>
      </c>
      <c r="O79" s="42" t="str">
        <f t="shared" si="20"/>
        <v>n/a</v>
      </c>
      <c r="P79" s="42" t="str">
        <f t="shared" si="21"/>
        <v>Compliant</v>
      </c>
      <c r="Q79" s="42" t="str">
        <f t="shared" si="22"/>
        <v>Compliant</v>
      </c>
      <c r="R79" s="42" t="str">
        <f t="shared" si="23"/>
        <v>Violation</v>
      </c>
      <c r="S79" s="36" t="str">
        <f t="shared" si="24"/>
        <v>TP-01</v>
      </c>
      <c r="T79" s="42" t="str">
        <f t="shared" si="25"/>
        <v/>
      </c>
      <c r="U79" s="42" t="str">
        <f t="shared" si="26"/>
        <v>Definite</v>
      </c>
      <c r="V79" s="42" t="str">
        <f t="shared" si="27"/>
        <v/>
      </c>
      <c r="W79" s="42" t="str">
        <f t="shared" si="28"/>
        <v/>
      </c>
    </row>
    <row r="80" spans="1:23" ht="15" hidden="1" customHeight="1" x14ac:dyDescent="0.25">
      <c r="A80" s="36" t="str">
        <f>Claims!A76</f>
        <v>EXP00075</v>
      </c>
      <c r="B80" s="36" t="str">
        <f>Claims!D76</f>
        <v>M1</v>
      </c>
      <c r="C80" s="36" t="str">
        <f>Claims!E76</f>
        <v>Hotel</v>
      </c>
      <c r="D80" s="36" t="str">
        <f>Claims!G76</f>
        <v>Metro</v>
      </c>
      <c r="E80" s="40">
        <f>Claims!H76</f>
        <v>4524</v>
      </c>
      <c r="F80" s="36" t="str">
        <f>Claims!K76</f>
        <v>Yes</v>
      </c>
      <c r="G80" s="36" t="str">
        <f>IF(Claims!M76="","",Claims!M76)</f>
        <v/>
      </c>
      <c r="H80" s="36" t="str">
        <f>IF(Claims!N76="","",Claims!N76)</f>
        <v/>
      </c>
      <c r="I80" s="41">
        <f>Claims!J76-Claims!I76</f>
        <v>2</v>
      </c>
      <c r="J80" s="42" t="str">
        <f t="shared" si="15"/>
        <v>n/a</v>
      </c>
      <c r="K80" s="42" t="str">
        <f t="shared" si="16"/>
        <v>n/a</v>
      </c>
      <c r="L80" s="42" t="str">
        <f t="shared" si="17"/>
        <v>Compliant</v>
      </c>
      <c r="M80" s="42" t="str">
        <f t="shared" si="18"/>
        <v>n/a</v>
      </c>
      <c r="N80" s="42" t="str">
        <f t="shared" si="19"/>
        <v>n/a</v>
      </c>
      <c r="O80" s="42" t="str">
        <f t="shared" si="20"/>
        <v>n/a</v>
      </c>
      <c r="P80" s="42" t="str">
        <f t="shared" si="21"/>
        <v>Compliant</v>
      </c>
      <c r="Q80" s="42" t="str">
        <f t="shared" si="22"/>
        <v>Compliant</v>
      </c>
      <c r="R80" s="42" t="str">
        <f t="shared" si="23"/>
        <v>Compliant</v>
      </c>
      <c r="S80" s="36" t="str">
        <f t="shared" si="24"/>
        <v/>
      </c>
      <c r="T80" s="42" t="str">
        <f t="shared" si="25"/>
        <v/>
      </c>
      <c r="U80" s="42" t="str">
        <f t="shared" si="26"/>
        <v/>
      </c>
      <c r="V80" s="42" t="str">
        <f t="shared" si="27"/>
        <v/>
      </c>
      <c r="W80" s="42" t="str">
        <f t="shared" si="28"/>
        <v/>
      </c>
    </row>
    <row r="81" spans="1:23" ht="15" hidden="1" customHeight="1" x14ac:dyDescent="0.25">
      <c r="A81" s="36" t="str">
        <f>Claims!A77</f>
        <v>EXP00076</v>
      </c>
      <c r="B81" s="36" t="str">
        <f>Claims!D77</f>
        <v>M2</v>
      </c>
      <c r="C81" s="36" t="str">
        <f>Claims!E77</f>
        <v>Meals/DA</v>
      </c>
      <c r="D81" s="36" t="str">
        <f>Claims!G77</f>
        <v>Non-metro</v>
      </c>
      <c r="E81" s="40">
        <f>Claims!H77</f>
        <v>1961</v>
      </c>
      <c r="F81" s="36" t="str">
        <f>Claims!K77</f>
        <v>Yes</v>
      </c>
      <c r="G81" s="36" t="str">
        <f>IF(Claims!M77="","",Claims!M77)</f>
        <v/>
      </c>
      <c r="H81" s="36" t="str">
        <f>IF(Claims!N77="","",Claims!N77)</f>
        <v/>
      </c>
      <c r="I81" s="41">
        <f>Claims!J77-Claims!I77</f>
        <v>5</v>
      </c>
      <c r="J81" s="42" t="str">
        <f t="shared" si="15"/>
        <v>n/a</v>
      </c>
      <c r="K81" s="42" t="str">
        <f t="shared" si="16"/>
        <v>n/a</v>
      </c>
      <c r="L81" s="42" t="str">
        <f t="shared" si="17"/>
        <v>n/a</v>
      </c>
      <c r="M81" s="42" t="str">
        <f t="shared" si="18"/>
        <v>n/a</v>
      </c>
      <c r="N81" s="42" t="str">
        <f t="shared" si="19"/>
        <v>Violation</v>
      </c>
      <c r="O81" s="42" t="str">
        <f t="shared" si="20"/>
        <v>n/a</v>
      </c>
      <c r="P81" s="42" t="str">
        <f t="shared" si="21"/>
        <v>Compliant</v>
      </c>
      <c r="Q81" s="42" t="str">
        <f t="shared" si="22"/>
        <v>Compliant</v>
      </c>
      <c r="R81" s="42" t="str">
        <f t="shared" si="23"/>
        <v>Violation</v>
      </c>
      <c r="S81" s="36" t="str">
        <f t="shared" si="24"/>
        <v>TP-06</v>
      </c>
      <c r="T81" s="42" t="str">
        <f t="shared" si="25"/>
        <v/>
      </c>
      <c r="U81" s="42" t="str">
        <f t="shared" si="26"/>
        <v>Assumption-based</v>
      </c>
      <c r="V81" s="42">
        <f t="shared" si="27"/>
        <v>3</v>
      </c>
      <c r="W81" s="42" t="str">
        <f t="shared" si="28"/>
        <v>Needs days</v>
      </c>
    </row>
    <row r="82" spans="1:23" ht="15" hidden="1" customHeight="1" x14ac:dyDescent="0.25">
      <c r="A82" s="36" t="str">
        <f>Claims!A78</f>
        <v>EXP00077</v>
      </c>
      <c r="B82" s="36" t="str">
        <f>Claims!D78</f>
        <v>M2</v>
      </c>
      <c r="C82" s="36" t="str">
        <f>Claims!E78</f>
        <v>Local Cab</v>
      </c>
      <c r="D82" s="36" t="str">
        <f>Claims!G78</f>
        <v>Non-metro</v>
      </c>
      <c r="E82" s="40">
        <f>Claims!H78</f>
        <v>1195</v>
      </c>
      <c r="F82" s="36" t="str">
        <f>Claims!K78</f>
        <v>Yes</v>
      </c>
      <c r="G82" s="36" t="str">
        <f>IF(Claims!M78="","",Claims!M78)</f>
        <v/>
      </c>
      <c r="H82" s="36" t="str">
        <f>IF(Claims!N78="","",Claims!N78)</f>
        <v/>
      </c>
      <c r="I82" s="41">
        <f>Claims!J78-Claims!I78</f>
        <v>9</v>
      </c>
      <c r="J82" s="42" t="str">
        <f t="shared" si="15"/>
        <v>n/a</v>
      </c>
      <c r="K82" s="42" t="str">
        <f t="shared" si="16"/>
        <v>n/a</v>
      </c>
      <c r="L82" s="42" t="str">
        <f t="shared" si="17"/>
        <v>n/a</v>
      </c>
      <c r="M82" s="42" t="str">
        <f t="shared" si="18"/>
        <v>n/a</v>
      </c>
      <c r="N82" s="42" t="str">
        <f t="shared" si="19"/>
        <v>n/a</v>
      </c>
      <c r="O82" s="42" t="str">
        <f t="shared" si="20"/>
        <v>n/a</v>
      </c>
      <c r="P82" s="42" t="str">
        <f t="shared" si="21"/>
        <v>Compliant</v>
      </c>
      <c r="Q82" s="42" t="str">
        <f t="shared" si="22"/>
        <v>Compliant</v>
      </c>
      <c r="R82" s="42" t="str">
        <f t="shared" si="23"/>
        <v>Compliant</v>
      </c>
      <c r="S82" s="36" t="str">
        <f t="shared" si="24"/>
        <v/>
      </c>
      <c r="T82" s="42" t="str">
        <f t="shared" si="25"/>
        <v/>
      </c>
      <c r="U82" s="42" t="str">
        <f t="shared" si="26"/>
        <v/>
      </c>
      <c r="V82" s="42" t="str">
        <f t="shared" si="27"/>
        <v/>
      </c>
      <c r="W82" s="42" t="str">
        <f t="shared" si="28"/>
        <v/>
      </c>
    </row>
    <row r="83" spans="1:23" ht="15" hidden="1" customHeight="1" x14ac:dyDescent="0.25">
      <c r="A83" s="36" t="str">
        <f>Claims!A79</f>
        <v>EXP00078</v>
      </c>
      <c r="B83" s="36" t="str">
        <f>Claims!D79</f>
        <v>M1</v>
      </c>
      <c r="C83" s="36" t="str">
        <f>Claims!E79</f>
        <v>Meals/DA</v>
      </c>
      <c r="D83" s="36" t="str">
        <f>Claims!G79</f>
        <v>Non-metro</v>
      </c>
      <c r="E83" s="40">
        <f>Claims!H79</f>
        <v>1426</v>
      </c>
      <c r="F83" s="36" t="str">
        <f>Claims!K79</f>
        <v>Yes</v>
      </c>
      <c r="G83" s="36" t="str">
        <f>IF(Claims!M79="","",Claims!M79)</f>
        <v/>
      </c>
      <c r="H83" s="36" t="str">
        <f>IF(Claims!N79="","",Claims!N79)</f>
        <v/>
      </c>
      <c r="I83" s="41">
        <f>Claims!J79-Claims!I79</f>
        <v>9</v>
      </c>
      <c r="J83" s="42" t="str">
        <f t="shared" si="15"/>
        <v>n/a</v>
      </c>
      <c r="K83" s="42" t="str">
        <f t="shared" si="16"/>
        <v>n/a</v>
      </c>
      <c r="L83" s="42" t="str">
        <f t="shared" si="17"/>
        <v>n/a</v>
      </c>
      <c r="M83" s="42" t="str">
        <f t="shared" si="18"/>
        <v>n/a</v>
      </c>
      <c r="N83" s="42" t="str">
        <f t="shared" si="19"/>
        <v>Violation</v>
      </c>
      <c r="O83" s="42" t="str">
        <f t="shared" si="20"/>
        <v>n/a</v>
      </c>
      <c r="P83" s="42" t="str">
        <f t="shared" si="21"/>
        <v>Compliant</v>
      </c>
      <c r="Q83" s="42" t="str">
        <f t="shared" si="22"/>
        <v>Compliant</v>
      </c>
      <c r="R83" s="42" t="str">
        <f t="shared" si="23"/>
        <v>Violation</v>
      </c>
      <c r="S83" s="36" t="str">
        <f t="shared" si="24"/>
        <v>TP-06</v>
      </c>
      <c r="T83" s="42" t="str">
        <f t="shared" si="25"/>
        <v/>
      </c>
      <c r="U83" s="42" t="str">
        <f t="shared" si="26"/>
        <v>Assumption-based</v>
      </c>
      <c r="V83" s="42">
        <f t="shared" si="27"/>
        <v>2</v>
      </c>
      <c r="W83" s="42" t="str">
        <f t="shared" si="28"/>
        <v>Needs days</v>
      </c>
    </row>
    <row r="84" spans="1:23" ht="15" hidden="1" customHeight="1" x14ac:dyDescent="0.25">
      <c r="A84" s="36" t="str">
        <f>Claims!A80</f>
        <v>EXP00079</v>
      </c>
      <c r="B84" s="36" t="str">
        <f>Claims!D80</f>
        <v>M2</v>
      </c>
      <c r="C84" s="36" t="str">
        <f>Claims!E80</f>
        <v>Local Cab</v>
      </c>
      <c r="D84" s="36" t="str">
        <f>Claims!G80</f>
        <v>Metro</v>
      </c>
      <c r="E84" s="40">
        <f>Claims!H80</f>
        <v>2148</v>
      </c>
      <c r="F84" s="36" t="str">
        <f>Claims!K80</f>
        <v>Yes</v>
      </c>
      <c r="G84" s="36" t="str">
        <f>IF(Claims!M80="","",Claims!M80)</f>
        <v/>
      </c>
      <c r="H84" s="36" t="str">
        <f>IF(Claims!N80="","",Claims!N80)</f>
        <v/>
      </c>
      <c r="I84" s="41">
        <f>Claims!J80-Claims!I80</f>
        <v>9</v>
      </c>
      <c r="J84" s="42" t="str">
        <f t="shared" si="15"/>
        <v>n/a</v>
      </c>
      <c r="K84" s="42" t="str">
        <f t="shared" si="16"/>
        <v>n/a</v>
      </c>
      <c r="L84" s="42" t="str">
        <f t="shared" si="17"/>
        <v>n/a</v>
      </c>
      <c r="M84" s="42" t="str">
        <f t="shared" si="18"/>
        <v>n/a</v>
      </c>
      <c r="N84" s="42" t="str">
        <f t="shared" si="19"/>
        <v>n/a</v>
      </c>
      <c r="O84" s="42" t="str">
        <f t="shared" si="20"/>
        <v>n/a</v>
      </c>
      <c r="P84" s="42" t="str">
        <f t="shared" si="21"/>
        <v>Compliant</v>
      </c>
      <c r="Q84" s="42" t="str">
        <f t="shared" si="22"/>
        <v>Compliant</v>
      </c>
      <c r="R84" s="42" t="str">
        <f t="shared" si="23"/>
        <v>Compliant</v>
      </c>
      <c r="S84" s="36" t="str">
        <f t="shared" si="24"/>
        <v/>
      </c>
      <c r="T84" s="42" t="str">
        <f t="shared" si="25"/>
        <v/>
      </c>
      <c r="U84" s="42" t="str">
        <f t="shared" si="26"/>
        <v/>
      </c>
      <c r="V84" s="42" t="str">
        <f t="shared" si="27"/>
        <v/>
      </c>
      <c r="W84" s="42" t="str">
        <f t="shared" si="28"/>
        <v/>
      </c>
    </row>
    <row r="85" spans="1:23" ht="15" hidden="1" customHeight="1" x14ac:dyDescent="0.25">
      <c r="A85" s="36" t="str">
        <f>Claims!A81</f>
        <v>EXP00080</v>
      </c>
      <c r="B85" s="36" t="str">
        <f>Claims!D81</f>
        <v>M2</v>
      </c>
      <c r="C85" s="36" t="str">
        <f>Claims!E81</f>
        <v>Client Entertainment</v>
      </c>
      <c r="D85" s="36" t="str">
        <f>Claims!G81</f>
        <v>Metro</v>
      </c>
      <c r="E85" s="40">
        <f>Claims!H81</f>
        <v>11136</v>
      </c>
      <c r="F85" s="36" t="str">
        <f>Claims!K81</f>
        <v>Yes</v>
      </c>
      <c r="G85" s="36" t="str">
        <f>IF(Claims!M81="","",Claims!M81)</f>
        <v/>
      </c>
      <c r="H85" s="36" t="str">
        <f>IF(Claims!N81="","",Claims!N81)</f>
        <v/>
      </c>
      <c r="I85" s="41">
        <f>Claims!J81-Claims!I81</f>
        <v>5</v>
      </c>
      <c r="J85" s="42" t="str">
        <f t="shared" si="15"/>
        <v>n/a</v>
      </c>
      <c r="K85" s="42" t="str">
        <f t="shared" si="16"/>
        <v>n/a</v>
      </c>
      <c r="L85" s="42" t="str">
        <f t="shared" si="17"/>
        <v>n/a</v>
      </c>
      <c r="M85" s="42" t="str">
        <f t="shared" si="18"/>
        <v>n/a</v>
      </c>
      <c r="N85" s="42" t="str">
        <f t="shared" si="19"/>
        <v>n/a</v>
      </c>
      <c r="O85" s="42" t="str">
        <f t="shared" si="20"/>
        <v>n/a</v>
      </c>
      <c r="P85" s="42" t="str">
        <f t="shared" si="21"/>
        <v>Compliant</v>
      </c>
      <c r="Q85" s="42" t="str">
        <f t="shared" si="22"/>
        <v>Compliant</v>
      </c>
      <c r="R85" s="42" t="str">
        <f t="shared" si="23"/>
        <v>Compliant</v>
      </c>
      <c r="S85" s="36" t="str">
        <f t="shared" si="24"/>
        <v/>
      </c>
      <c r="T85" s="42" t="str">
        <f t="shared" si="25"/>
        <v/>
      </c>
      <c r="U85" s="42" t="str">
        <f t="shared" si="26"/>
        <v/>
      </c>
      <c r="V85" s="42" t="str">
        <f t="shared" si="27"/>
        <v/>
      </c>
      <c r="W85" s="42" t="str">
        <f t="shared" si="28"/>
        <v/>
      </c>
    </row>
    <row r="86" spans="1:23" ht="15" hidden="1" customHeight="1" x14ac:dyDescent="0.25">
      <c r="A86" s="36" t="str">
        <f>Claims!A82</f>
        <v>EXP00081</v>
      </c>
      <c r="B86" s="36" t="str">
        <f>Claims!D82</f>
        <v>M3</v>
      </c>
      <c r="C86" s="36" t="str">
        <f>Claims!E82</f>
        <v>Local Cab</v>
      </c>
      <c r="D86" s="36" t="str">
        <f>Claims!G82</f>
        <v>Non-metro</v>
      </c>
      <c r="E86" s="40">
        <f>Claims!H82</f>
        <v>1806</v>
      </c>
      <c r="F86" s="36" t="str">
        <f>Claims!K82</f>
        <v>No</v>
      </c>
      <c r="G86" s="36" t="str">
        <f>IF(Claims!M82="","",Claims!M82)</f>
        <v/>
      </c>
      <c r="H86" s="36" t="str">
        <f>IF(Claims!N82="","",Claims!N82)</f>
        <v/>
      </c>
      <c r="I86" s="41">
        <f>Claims!J82-Claims!I82</f>
        <v>20</v>
      </c>
      <c r="J86" s="42" t="str">
        <f t="shared" si="15"/>
        <v>n/a</v>
      </c>
      <c r="K86" s="42" t="str">
        <f t="shared" si="16"/>
        <v>n/a</v>
      </c>
      <c r="L86" s="42" t="str">
        <f t="shared" si="17"/>
        <v>n/a</v>
      </c>
      <c r="M86" s="42" t="str">
        <f t="shared" si="18"/>
        <v>n/a</v>
      </c>
      <c r="N86" s="42" t="str">
        <f t="shared" si="19"/>
        <v>n/a</v>
      </c>
      <c r="O86" s="42" t="str">
        <f t="shared" si="20"/>
        <v>n/a</v>
      </c>
      <c r="P86" s="42" t="str">
        <f t="shared" si="21"/>
        <v>Violation</v>
      </c>
      <c r="Q86" s="42" t="str">
        <f t="shared" si="22"/>
        <v>Violation</v>
      </c>
      <c r="R86" s="42" t="str">
        <f t="shared" si="23"/>
        <v>Violation</v>
      </c>
      <c r="S86" s="36" t="str">
        <f t="shared" si="24"/>
        <v>TP-09, TP-10</v>
      </c>
      <c r="T86" s="42" t="str">
        <f t="shared" si="25"/>
        <v>Late</v>
      </c>
      <c r="U86" s="42" t="str">
        <f t="shared" si="26"/>
        <v>Definite</v>
      </c>
      <c r="V86" s="42" t="str">
        <f t="shared" si="27"/>
        <v/>
      </c>
      <c r="W86" s="42" t="str">
        <f t="shared" si="28"/>
        <v/>
      </c>
    </row>
    <row r="87" spans="1:23" ht="15" hidden="1" customHeight="1" x14ac:dyDescent="0.25">
      <c r="A87" s="36" t="str">
        <f>Claims!A83</f>
        <v>EXP00082</v>
      </c>
      <c r="B87" s="36" t="str">
        <f>Claims!D83</f>
        <v>M4</v>
      </c>
      <c r="C87" s="36" t="str">
        <f>Claims!E83</f>
        <v>Meals/DA</v>
      </c>
      <c r="D87" s="36" t="str">
        <f>Claims!G83</f>
        <v>Non-metro</v>
      </c>
      <c r="E87" s="40">
        <f>Claims!H83</f>
        <v>1658</v>
      </c>
      <c r="F87" s="36" t="str">
        <f>Claims!K83</f>
        <v>No</v>
      </c>
      <c r="G87" s="36" t="str">
        <f>IF(Claims!M83="","",Claims!M83)</f>
        <v/>
      </c>
      <c r="H87" s="36" t="str">
        <f>IF(Claims!N83="","",Claims!N83)</f>
        <v/>
      </c>
      <c r="I87" s="41">
        <f>Claims!J83-Claims!I83</f>
        <v>9</v>
      </c>
      <c r="J87" s="42" t="str">
        <f t="shared" si="15"/>
        <v>n/a</v>
      </c>
      <c r="K87" s="42" t="str">
        <f t="shared" si="16"/>
        <v>n/a</v>
      </c>
      <c r="L87" s="42" t="str">
        <f t="shared" si="17"/>
        <v>n/a</v>
      </c>
      <c r="M87" s="42" t="str">
        <f t="shared" si="18"/>
        <v>n/a</v>
      </c>
      <c r="N87" s="42" t="str">
        <f t="shared" si="19"/>
        <v>Violation</v>
      </c>
      <c r="O87" s="42" t="str">
        <f t="shared" si="20"/>
        <v>n/a</v>
      </c>
      <c r="P87" s="42" t="str">
        <f t="shared" si="21"/>
        <v>Violation</v>
      </c>
      <c r="Q87" s="42" t="str">
        <f t="shared" si="22"/>
        <v>Compliant</v>
      </c>
      <c r="R87" s="42" t="str">
        <f t="shared" si="23"/>
        <v>Violation</v>
      </c>
      <c r="S87" s="36" t="str">
        <f t="shared" si="24"/>
        <v>TP-06, TP-09</v>
      </c>
      <c r="T87" s="42" t="str">
        <f t="shared" si="25"/>
        <v/>
      </c>
      <c r="U87" s="42" t="str">
        <f t="shared" si="26"/>
        <v>Definite</v>
      </c>
      <c r="V87" s="42">
        <f t="shared" si="27"/>
        <v>2</v>
      </c>
      <c r="W87" s="42" t="str">
        <f t="shared" si="28"/>
        <v>Needs days</v>
      </c>
    </row>
    <row r="88" spans="1:23" ht="15" hidden="1" customHeight="1" x14ac:dyDescent="0.25">
      <c r="A88" s="36" t="str">
        <f>Claims!A84</f>
        <v>EXP00083</v>
      </c>
      <c r="B88" s="36" t="str">
        <f>Claims!D84</f>
        <v>M4</v>
      </c>
      <c r="C88" s="36" t="str">
        <f>Claims!E84</f>
        <v>Meals/DA</v>
      </c>
      <c r="D88" s="36" t="str">
        <f>Claims!G84</f>
        <v>Non-metro</v>
      </c>
      <c r="E88" s="40">
        <f>Claims!H84</f>
        <v>439</v>
      </c>
      <c r="F88" s="36" t="str">
        <f>Claims!K84</f>
        <v>No</v>
      </c>
      <c r="G88" s="36" t="str">
        <f>IF(Claims!M84="","",Claims!M84)</f>
        <v/>
      </c>
      <c r="H88" s="36" t="str">
        <f>IF(Claims!N84="","",Claims!N84)</f>
        <v/>
      </c>
      <c r="I88" s="41">
        <f>Claims!J84-Claims!I84</f>
        <v>5</v>
      </c>
      <c r="J88" s="42" t="str">
        <f t="shared" si="15"/>
        <v>n/a</v>
      </c>
      <c r="K88" s="42" t="str">
        <f t="shared" si="16"/>
        <v>n/a</v>
      </c>
      <c r="L88" s="42" t="str">
        <f t="shared" si="17"/>
        <v>n/a</v>
      </c>
      <c r="M88" s="42" t="str">
        <f t="shared" si="18"/>
        <v>n/a</v>
      </c>
      <c r="N88" s="42" t="str">
        <f t="shared" si="19"/>
        <v>Compliant</v>
      </c>
      <c r="O88" s="42" t="str">
        <f t="shared" si="20"/>
        <v>n/a</v>
      </c>
      <c r="P88" s="42" t="str">
        <f t="shared" si="21"/>
        <v>Compliant</v>
      </c>
      <c r="Q88" s="42" t="str">
        <f t="shared" si="22"/>
        <v>Compliant</v>
      </c>
      <c r="R88" s="42" t="str">
        <f t="shared" si="23"/>
        <v>Compliant</v>
      </c>
      <c r="S88" s="36" t="str">
        <f t="shared" si="24"/>
        <v/>
      </c>
      <c r="T88" s="42" t="str">
        <f t="shared" si="25"/>
        <v/>
      </c>
      <c r="U88" s="42" t="str">
        <f t="shared" si="26"/>
        <v/>
      </c>
      <c r="V88" s="42" t="str">
        <f t="shared" si="27"/>
        <v/>
      </c>
      <c r="W88" s="42" t="str">
        <f t="shared" si="28"/>
        <v/>
      </c>
    </row>
    <row r="89" spans="1:23" ht="15" hidden="1" customHeight="1" x14ac:dyDescent="0.25">
      <c r="A89" s="36" t="str">
        <f>Claims!A85</f>
        <v>EXP00084</v>
      </c>
      <c r="B89" s="36" t="str">
        <f>Claims!D85</f>
        <v>M4</v>
      </c>
      <c r="C89" s="36" t="str">
        <f>Claims!E85</f>
        <v>Train</v>
      </c>
      <c r="D89" s="36" t="str">
        <f>Claims!G85</f>
        <v>Non-metro</v>
      </c>
      <c r="E89" s="40">
        <f>Claims!H85</f>
        <v>2611</v>
      </c>
      <c r="F89" s="36" t="str">
        <f>Claims!K85</f>
        <v>No</v>
      </c>
      <c r="G89" s="36" t="str">
        <f>IF(Claims!M85="","",Claims!M85)</f>
        <v/>
      </c>
      <c r="H89" s="36" t="str">
        <f>IF(Claims!N85="","",Claims!N85)</f>
        <v/>
      </c>
      <c r="I89" s="41">
        <f>Claims!J85-Claims!I85</f>
        <v>2</v>
      </c>
      <c r="J89" s="42" t="str">
        <f t="shared" si="15"/>
        <v>n/a</v>
      </c>
      <c r="K89" s="42" t="str">
        <f t="shared" si="16"/>
        <v>n/a</v>
      </c>
      <c r="L89" s="42" t="str">
        <f t="shared" si="17"/>
        <v>n/a</v>
      </c>
      <c r="M89" s="42" t="str">
        <f t="shared" si="18"/>
        <v>n/a</v>
      </c>
      <c r="N89" s="42" t="str">
        <f t="shared" si="19"/>
        <v>n/a</v>
      </c>
      <c r="O89" s="42" t="str">
        <f t="shared" si="20"/>
        <v>n/a</v>
      </c>
      <c r="P89" s="42" t="str">
        <f t="shared" si="21"/>
        <v>Violation</v>
      </c>
      <c r="Q89" s="42" t="str">
        <f t="shared" si="22"/>
        <v>Compliant</v>
      </c>
      <c r="R89" s="42" t="str">
        <f t="shared" si="23"/>
        <v>Violation</v>
      </c>
      <c r="S89" s="36" t="str">
        <f t="shared" si="24"/>
        <v>TP-09</v>
      </c>
      <c r="T89" s="42" t="str">
        <f t="shared" si="25"/>
        <v/>
      </c>
      <c r="U89" s="42" t="str">
        <f t="shared" si="26"/>
        <v>Definite</v>
      </c>
      <c r="V89" s="42" t="str">
        <f t="shared" si="27"/>
        <v/>
      </c>
      <c r="W89" s="42" t="str">
        <f t="shared" si="28"/>
        <v/>
      </c>
    </row>
    <row r="90" spans="1:23" ht="15" hidden="1" customHeight="1" x14ac:dyDescent="0.25">
      <c r="A90" s="36" t="str">
        <f>Claims!A86</f>
        <v>EXP00085</v>
      </c>
      <c r="B90" s="36" t="str">
        <f>Claims!D86</f>
        <v>M3</v>
      </c>
      <c r="C90" s="36" t="str">
        <f>Claims!E86</f>
        <v>Local Cab</v>
      </c>
      <c r="D90" s="36" t="str">
        <f>Claims!G86</f>
        <v>Non-metro</v>
      </c>
      <c r="E90" s="40">
        <f>Claims!H86</f>
        <v>999</v>
      </c>
      <c r="F90" s="36" t="str">
        <f>Claims!K86</f>
        <v>Yes</v>
      </c>
      <c r="G90" s="36" t="str">
        <f>IF(Claims!M86="","",Claims!M86)</f>
        <v/>
      </c>
      <c r="H90" s="36" t="str">
        <f>IF(Claims!N86="","",Claims!N86)</f>
        <v/>
      </c>
      <c r="I90" s="41">
        <f>Claims!J86-Claims!I86</f>
        <v>5</v>
      </c>
      <c r="J90" s="42" t="str">
        <f t="shared" si="15"/>
        <v>n/a</v>
      </c>
      <c r="K90" s="42" t="str">
        <f t="shared" si="16"/>
        <v>n/a</v>
      </c>
      <c r="L90" s="42" t="str">
        <f t="shared" si="17"/>
        <v>n/a</v>
      </c>
      <c r="M90" s="42" t="str">
        <f t="shared" si="18"/>
        <v>n/a</v>
      </c>
      <c r="N90" s="42" t="str">
        <f t="shared" si="19"/>
        <v>n/a</v>
      </c>
      <c r="O90" s="42" t="str">
        <f t="shared" si="20"/>
        <v>n/a</v>
      </c>
      <c r="P90" s="42" t="str">
        <f t="shared" si="21"/>
        <v>Compliant</v>
      </c>
      <c r="Q90" s="42" t="str">
        <f t="shared" si="22"/>
        <v>Compliant</v>
      </c>
      <c r="R90" s="42" t="str">
        <f t="shared" si="23"/>
        <v>Compliant</v>
      </c>
      <c r="S90" s="36" t="str">
        <f t="shared" si="24"/>
        <v/>
      </c>
      <c r="T90" s="42" t="str">
        <f t="shared" si="25"/>
        <v/>
      </c>
      <c r="U90" s="42" t="str">
        <f t="shared" si="26"/>
        <v/>
      </c>
      <c r="V90" s="42" t="str">
        <f t="shared" si="27"/>
        <v/>
      </c>
      <c r="W90" s="42" t="str">
        <f t="shared" si="28"/>
        <v/>
      </c>
    </row>
    <row r="91" spans="1:23" ht="15" hidden="1" customHeight="1" x14ac:dyDescent="0.25">
      <c r="A91" s="36" t="str">
        <f>Claims!A87</f>
        <v>EXP00086</v>
      </c>
      <c r="B91" s="36" t="str">
        <f>Claims!D87</f>
        <v>M3</v>
      </c>
      <c r="C91" s="36" t="str">
        <f>Claims!E87</f>
        <v>Meals/DA</v>
      </c>
      <c r="D91" s="36" t="str">
        <f>Claims!G87</f>
        <v>Non-metro</v>
      </c>
      <c r="E91" s="40">
        <f>Claims!H87</f>
        <v>449</v>
      </c>
      <c r="F91" s="36" t="str">
        <f>Claims!K87</f>
        <v>Yes</v>
      </c>
      <c r="G91" s="36" t="str">
        <f>IF(Claims!M87="","",Claims!M87)</f>
        <v/>
      </c>
      <c r="H91" s="36" t="str">
        <f>IF(Claims!N87="","",Claims!N87)</f>
        <v/>
      </c>
      <c r="I91" s="41">
        <f>Claims!J87-Claims!I87</f>
        <v>9</v>
      </c>
      <c r="J91" s="42" t="str">
        <f t="shared" si="15"/>
        <v>n/a</v>
      </c>
      <c r="K91" s="42" t="str">
        <f t="shared" si="16"/>
        <v>n/a</v>
      </c>
      <c r="L91" s="42" t="str">
        <f t="shared" si="17"/>
        <v>n/a</v>
      </c>
      <c r="M91" s="42" t="str">
        <f t="shared" si="18"/>
        <v>n/a</v>
      </c>
      <c r="N91" s="42" t="str">
        <f t="shared" si="19"/>
        <v>Compliant</v>
      </c>
      <c r="O91" s="42" t="str">
        <f t="shared" si="20"/>
        <v>n/a</v>
      </c>
      <c r="P91" s="42" t="str">
        <f t="shared" si="21"/>
        <v>Compliant</v>
      </c>
      <c r="Q91" s="42" t="str">
        <f t="shared" si="22"/>
        <v>Compliant</v>
      </c>
      <c r="R91" s="42" t="str">
        <f t="shared" si="23"/>
        <v>Compliant</v>
      </c>
      <c r="S91" s="36" t="str">
        <f t="shared" si="24"/>
        <v/>
      </c>
      <c r="T91" s="42" t="str">
        <f t="shared" si="25"/>
        <v/>
      </c>
      <c r="U91" s="42" t="str">
        <f t="shared" si="26"/>
        <v/>
      </c>
      <c r="V91" s="42" t="str">
        <f t="shared" si="27"/>
        <v/>
      </c>
      <c r="W91" s="42" t="str">
        <f t="shared" si="28"/>
        <v/>
      </c>
    </row>
    <row r="92" spans="1:23" ht="15" hidden="1" customHeight="1" x14ac:dyDescent="0.25">
      <c r="A92" s="36" t="str">
        <f>Claims!A88</f>
        <v>EXP00087</v>
      </c>
      <c r="B92" s="36" t="str">
        <f>Claims!D88</f>
        <v>M2</v>
      </c>
      <c r="C92" s="36" t="str">
        <f>Claims!E88</f>
        <v>Flight</v>
      </c>
      <c r="D92" s="36" t="str">
        <f>Claims!G88</f>
        <v>Metro</v>
      </c>
      <c r="E92" s="40">
        <f>Claims!H88</f>
        <v>12710</v>
      </c>
      <c r="F92" s="36" t="str">
        <f>Claims!K88</f>
        <v>Yes</v>
      </c>
      <c r="G92" s="36">
        <f>IF(Claims!M88="","",Claims!M88)</f>
        <v>4</v>
      </c>
      <c r="H92" s="36" t="str">
        <f>IF(Claims!N88="","",Claims!N88)</f>
        <v>Business</v>
      </c>
      <c r="I92" s="41">
        <f>Claims!J88-Claims!I88</f>
        <v>5</v>
      </c>
      <c r="J92" s="42" t="str">
        <f t="shared" si="15"/>
        <v>Violation</v>
      </c>
      <c r="K92" s="42" t="str">
        <f t="shared" si="16"/>
        <v>Violation</v>
      </c>
      <c r="L92" s="42" t="str">
        <f t="shared" si="17"/>
        <v>n/a</v>
      </c>
      <c r="M92" s="42" t="str">
        <f t="shared" si="18"/>
        <v>n/a</v>
      </c>
      <c r="N92" s="42" t="str">
        <f t="shared" si="19"/>
        <v>n/a</v>
      </c>
      <c r="O92" s="42" t="str">
        <f t="shared" si="20"/>
        <v>n/a</v>
      </c>
      <c r="P92" s="42" t="str">
        <f t="shared" si="21"/>
        <v>Compliant</v>
      </c>
      <c r="Q92" s="42" t="str">
        <f t="shared" si="22"/>
        <v>Compliant</v>
      </c>
      <c r="R92" s="42" t="str">
        <f t="shared" si="23"/>
        <v>Violation</v>
      </c>
      <c r="S92" s="36" t="str">
        <f t="shared" si="24"/>
        <v>TP-01, TP-02</v>
      </c>
      <c r="T92" s="42" t="str">
        <f t="shared" si="25"/>
        <v/>
      </c>
      <c r="U92" s="42" t="str">
        <f t="shared" si="26"/>
        <v>Definite</v>
      </c>
      <c r="V92" s="42" t="str">
        <f t="shared" si="27"/>
        <v/>
      </c>
      <c r="W92" s="42" t="str">
        <f t="shared" si="28"/>
        <v>Needs approval</v>
      </c>
    </row>
    <row r="93" spans="1:23" ht="15" hidden="1" customHeight="1" x14ac:dyDescent="0.25">
      <c r="A93" s="36" t="str">
        <f>Claims!A89</f>
        <v>EXP00088</v>
      </c>
      <c r="B93" s="36" t="str">
        <f>Claims!D89</f>
        <v>M1</v>
      </c>
      <c r="C93" s="36" t="str">
        <f>Claims!E89</f>
        <v>Meals/DA</v>
      </c>
      <c r="D93" s="36" t="str">
        <f>Claims!G89</f>
        <v>Non-metro</v>
      </c>
      <c r="E93" s="40">
        <f>Claims!H89</f>
        <v>2092</v>
      </c>
      <c r="F93" s="36" t="str">
        <f>Claims!K89</f>
        <v>Yes</v>
      </c>
      <c r="G93" s="36" t="str">
        <f>IF(Claims!M89="","",Claims!M89)</f>
        <v/>
      </c>
      <c r="H93" s="36" t="str">
        <f>IF(Claims!N89="","",Claims!N89)</f>
        <v/>
      </c>
      <c r="I93" s="41">
        <f>Claims!J89-Claims!I89</f>
        <v>9</v>
      </c>
      <c r="J93" s="42" t="str">
        <f t="shared" si="15"/>
        <v>n/a</v>
      </c>
      <c r="K93" s="42" t="str">
        <f t="shared" si="16"/>
        <v>n/a</v>
      </c>
      <c r="L93" s="42" t="str">
        <f t="shared" si="17"/>
        <v>n/a</v>
      </c>
      <c r="M93" s="42" t="str">
        <f t="shared" si="18"/>
        <v>n/a</v>
      </c>
      <c r="N93" s="42" t="str">
        <f t="shared" si="19"/>
        <v>Violation</v>
      </c>
      <c r="O93" s="42" t="str">
        <f t="shared" si="20"/>
        <v>n/a</v>
      </c>
      <c r="P93" s="42" t="str">
        <f t="shared" si="21"/>
        <v>Compliant</v>
      </c>
      <c r="Q93" s="42" t="str">
        <f t="shared" si="22"/>
        <v>Compliant</v>
      </c>
      <c r="R93" s="42" t="str">
        <f t="shared" si="23"/>
        <v>Violation</v>
      </c>
      <c r="S93" s="36" t="str">
        <f t="shared" si="24"/>
        <v>TP-06</v>
      </c>
      <c r="T93" s="42" t="str">
        <f t="shared" si="25"/>
        <v/>
      </c>
      <c r="U93" s="42" t="str">
        <f t="shared" si="26"/>
        <v>Assumption-based</v>
      </c>
      <c r="V93" s="42">
        <f t="shared" si="27"/>
        <v>3</v>
      </c>
      <c r="W93" s="42" t="str">
        <f t="shared" si="28"/>
        <v>Needs days</v>
      </c>
    </row>
    <row r="94" spans="1:23" ht="15" hidden="1" customHeight="1" x14ac:dyDescent="0.25">
      <c r="A94" s="36" t="str">
        <f>Claims!A90</f>
        <v>EXP00089</v>
      </c>
      <c r="B94" s="36" t="str">
        <f>Claims!D90</f>
        <v>M1</v>
      </c>
      <c r="C94" s="36" t="str">
        <f>Claims!E90</f>
        <v>Meals/DA</v>
      </c>
      <c r="D94" s="36" t="str">
        <f>Claims!G90</f>
        <v>Metro</v>
      </c>
      <c r="E94" s="40">
        <f>Claims!H90</f>
        <v>876</v>
      </c>
      <c r="F94" s="36" t="str">
        <f>Claims!K90</f>
        <v>Yes</v>
      </c>
      <c r="G94" s="36" t="str">
        <f>IF(Claims!M90="","",Claims!M90)</f>
        <v/>
      </c>
      <c r="H94" s="36" t="str">
        <f>IF(Claims!N90="","",Claims!N90)</f>
        <v/>
      </c>
      <c r="I94" s="41">
        <f>Claims!J90-Claims!I90</f>
        <v>14</v>
      </c>
      <c r="J94" s="42" t="str">
        <f t="shared" si="15"/>
        <v>n/a</v>
      </c>
      <c r="K94" s="42" t="str">
        <f t="shared" si="16"/>
        <v>n/a</v>
      </c>
      <c r="L94" s="42" t="str">
        <f t="shared" si="17"/>
        <v>n/a</v>
      </c>
      <c r="M94" s="42" t="str">
        <f t="shared" si="18"/>
        <v>n/a</v>
      </c>
      <c r="N94" s="42" t="str">
        <f t="shared" si="19"/>
        <v>Compliant</v>
      </c>
      <c r="O94" s="42" t="str">
        <f t="shared" si="20"/>
        <v>n/a</v>
      </c>
      <c r="P94" s="42" t="str">
        <f t="shared" si="21"/>
        <v>Compliant</v>
      </c>
      <c r="Q94" s="42" t="str">
        <f t="shared" si="22"/>
        <v>Compliant</v>
      </c>
      <c r="R94" s="42" t="str">
        <f t="shared" si="23"/>
        <v>Compliant</v>
      </c>
      <c r="S94" s="36" t="str">
        <f t="shared" si="24"/>
        <v/>
      </c>
      <c r="T94" s="42" t="str">
        <f t="shared" si="25"/>
        <v/>
      </c>
      <c r="U94" s="42" t="str">
        <f t="shared" si="26"/>
        <v/>
      </c>
      <c r="V94" s="42" t="str">
        <f t="shared" si="27"/>
        <v/>
      </c>
      <c r="W94" s="42" t="str">
        <f t="shared" si="28"/>
        <v/>
      </c>
    </row>
    <row r="95" spans="1:23" ht="15" hidden="1" customHeight="1" x14ac:dyDescent="0.25">
      <c r="A95" s="36" t="str">
        <f>Claims!A91</f>
        <v>EXP00090</v>
      </c>
      <c r="B95" s="36" t="str">
        <f>Claims!D91</f>
        <v>M2</v>
      </c>
      <c r="C95" s="36" t="str">
        <f>Claims!E91</f>
        <v>Train</v>
      </c>
      <c r="D95" s="36" t="str">
        <f>Claims!G91</f>
        <v>Non-metro</v>
      </c>
      <c r="E95" s="40">
        <f>Claims!H91</f>
        <v>4252</v>
      </c>
      <c r="F95" s="36" t="str">
        <f>Claims!K91</f>
        <v>Yes</v>
      </c>
      <c r="G95" s="36" t="str">
        <f>IF(Claims!M91="","",Claims!M91)</f>
        <v/>
      </c>
      <c r="H95" s="36" t="str">
        <f>IF(Claims!N91="","",Claims!N91)</f>
        <v/>
      </c>
      <c r="I95" s="41">
        <f>Claims!J91-Claims!I91</f>
        <v>2</v>
      </c>
      <c r="J95" s="42" t="str">
        <f t="shared" si="15"/>
        <v>n/a</v>
      </c>
      <c r="K95" s="42" t="str">
        <f t="shared" si="16"/>
        <v>n/a</v>
      </c>
      <c r="L95" s="42" t="str">
        <f t="shared" si="17"/>
        <v>n/a</v>
      </c>
      <c r="M95" s="42" t="str">
        <f t="shared" si="18"/>
        <v>n/a</v>
      </c>
      <c r="N95" s="42" t="str">
        <f t="shared" si="19"/>
        <v>n/a</v>
      </c>
      <c r="O95" s="42" t="str">
        <f t="shared" si="20"/>
        <v>n/a</v>
      </c>
      <c r="P95" s="42" t="str">
        <f t="shared" si="21"/>
        <v>Compliant</v>
      </c>
      <c r="Q95" s="42" t="str">
        <f t="shared" si="22"/>
        <v>Compliant</v>
      </c>
      <c r="R95" s="42" t="str">
        <f t="shared" si="23"/>
        <v>Compliant</v>
      </c>
      <c r="S95" s="36" t="str">
        <f t="shared" si="24"/>
        <v/>
      </c>
      <c r="T95" s="42" t="str">
        <f t="shared" si="25"/>
        <v/>
      </c>
      <c r="U95" s="42" t="str">
        <f t="shared" si="26"/>
        <v/>
      </c>
      <c r="V95" s="42" t="str">
        <f t="shared" si="27"/>
        <v/>
      </c>
      <c r="W95" s="42" t="str">
        <f t="shared" si="28"/>
        <v/>
      </c>
    </row>
    <row r="96" spans="1:23" ht="15" hidden="1" customHeight="1" x14ac:dyDescent="0.25">
      <c r="A96" s="36" t="str">
        <f>Claims!A92</f>
        <v>EXP00091</v>
      </c>
      <c r="B96" s="36" t="str">
        <f>Claims!D92</f>
        <v>M1</v>
      </c>
      <c r="C96" s="36" t="str">
        <f>Claims!E92</f>
        <v>Local Cab</v>
      </c>
      <c r="D96" s="36" t="str">
        <f>Claims!G92</f>
        <v>Metro</v>
      </c>
      <c r="E96" s="40">
        <f>Claims!H92</f>
        <v>1689</v>
      </c>
      <c r="F96" s="36" t="str">
        <f>Claims!K92</f>
        <v>Yes</v>
      </c>
      <c r="G96" s="36" t="str">
        <f>IF(Claims!M92="","",Claims!M92)</f>
        <v/>
      </c>
      <c r="H96" s="36" t="str">
        <f>IF(Claims!N92="","",Claims!N92)</f>
        <v/>
      </c>
      <c r="I96" s="41">
        <f>Claims!J92-Claims!I92</f>
        <v>5</v>
      </c>
      <c r="J96" s="42" t="str">
        <f t="shared" si="15"/>
        <v>n/a</v>
      </c>
      <c r="K96" s="42" t="str">
        <f t="shared" si="16"/>
        <v>n/a</v>
      </c>
      <c r="L96" s="42" t="str">
        <f t="shared" si="17"/>
        <v>n/a</v>
      </c>
      <c r="M96" s="42" t="str">
        <f t="shared" si="18"/>
        <v>n/a</v>
      </c>
      <c r="N96" s="42" t="str">
        <f t="shared" si="19"/>
        <v>n/a</v>
      </c>
      <c r="O96" s="42" t="str">
        <f t="shared" si="20"/>
        <v>n/a</v>
      </c>
      <c r="P96" s="42" t="str">
        <f t="shared" si="21"/>
        <v>Compliant</v>
      </c>
      <c r="Q96" s="42" t="str">
        <f t="shared" si="22"/>
        <v>Compliant</v>
      </c>
      <c r="R96" s="42" t="str">
        <f t="shared" si="23"/>
        <v>Compliant</v>
      </c>
      <c r="S96" s="36" t="str">
        <f t="shared" si="24"/>
        <v/>
      </c>
      <c r="T96" s="42" t="str">
        <f t="shared" si="25"/>
        <v/>
      </c>
      <c r="U96" s="42" t="str">
        <f t="shared" si="26"/>
        <v/>
      </c>
      <c r="V96" s="42" t="str">
        <f t="shared" si="27"/>
        <v/>
      </c>
      <c r="W96" s="42" t="str">
        <f t="shared" si="28"/>
        <v/>
      </c>
    </row>
    <row r="97" spans="1:23" ht="15" hidden="1" customHeight="1" x14ac:dyDescent="0.25">
      <c r="A97" s="36" t="str">
        <f>Claims!A93</f>
        <v>EXP00092</v>
      </c>
      <c r="B97" s="36" t="str">
        <f>Claims!D93</f>
        <v>M1</v>
      </c>
      <c r="C97" s="36" t="str">
        <f>Claims!E93</f>
        <v>Meals/DA</v>
      </c>
      <c r="D97" s="36" t="str">
        <f>Claims!G93</f>
        <v>Metro</v>
      </c>
      <c r="E97" s="40">
        <f>Claims!H93</f>
        <v>1155</v>
      </c>
      <c r="F97" s="36" t="str">
        <f>Claims!K93</f>
        <v>Yes</v>
      </c>
      <c r="G97" s="36" t="str">
        <f>IF(Claims!M93="","",Claims!M93)</f>
        <v/>
      </c>
      <c r="H97" s="36" t="str">
        <f>IF(Claims!N93="","",Claims!N93)</f>
        <v/>
      </c>
      <c r="I97" s="41">
        <f>Claims!J93-Claims!I93</f>
        <v>5</v>
      </c>
      <c r="J97" s="42" t="str">
        <f t="shared" si="15"/>
        <v>n/a</v>
      </c>
      <c r="K97" s="42" t="str">
        <f t="shared" si="16"/>
        <v>n/a</v>
      </c>
      <c r="L97" s="42" t="str">
        <f t="shared" si="17"/>
        <v>n/a</v>
      </c>
      <c r="M97" s="42" t="str">
        <f t="shared" si="18"/>
        <v>n/a</v>
      </c>
      <c r="N97" s="42" t="str">
        <f t="shared" si="19"/>
        <v>Compliant</v>
      </c>
      <c r="O97" s="42" t="str">
        <f t="shared" si="20"/>
        <v>n/a</v>
      </c>
      <c r="P97" s="42" t="str">
        <f t="shared" si="21"/>
        <v>Compliant</v>
      </c>
      <c r="Q97" s="42" t="str">
        <f t="shared" si="22"/>
        <v>Compliant</v>
      </c>
      <c r="R97" s="42" t="str">
        <f t="shared" si="23"/>
        <v>Compliant</v>
      </c>
      <c r="S97" s="36" t="str">
        <f t="shared" si="24"/>
        <v/>
      </c>
      <c r="T97" s="42" t="str">
        <f t="shared" si="25"/>
        <v/>
      </c>
      <c r="U97" s="42" t="str">
        <f t="shared" si="26"/>
        <v/>
      </c>
      <c r="V97" s="42" t="str">
        <f t="shared" si="27"/>
        <v/>
      </c>
      <c r="W97" s="42" t="str">
        <f t="shared" si="28"/>
        <v/>
      </c>
    </row>
    <row r="98" spans="1:23" ht="15" hidden="1" customHeight="1" x14ac:dyDescent="0.25">
      <c r="A98" s="36" t="str">
        <f>Claims!A94</f>
        <v>EXP00093</v>
      </c>
      <c r="B98" s="36" t="str">
        <f>Claims!D94</f>
        <v>M3</v>
      </c>
      <c r="C98" s="36" t="str">
        <f>Claims!E94</f>
        <v>Meals/DA</v>
      </c>
      <c r="D98" s="36" t="str">
        <f>Claims!G94</f>
        <v>Metro</v>
      </c>
      <c r="E98" s="40">
        <f>Claims!H94</f>
        <v>1464</v>
      </c>
      <c r="F98" s="36" t="str">
        <f>Claims!K94</f>
        <v>Yes</v>
      </c>
      <c r="G98" s="36" t="str">
        <f>IF(Claims!M94="","",Claims!M94)</f>
        <v/>
      </c>
      <c r="H98" s="36" t="str">
        <f>IF(Claims!N94="","",Claims!N94)</f>
        <v/>
      </c>
      <c r="I98" s="41">
        <f>Claims!J94-Claims!I94</f>
        <v>5</v>
      </c>
      <c r="J98" s="42" t="str">
        <f t="shared" si="15"/>
        <v>n/a</v>
      </c>
      <c r="K98" s="42" t="str">
        <f t="shared" si="16"/>
        <v>n/a</v>
      </c>
      <c r="L98" s="42" t="str">
        <f t="shared" si="17"/>
        <v>n/a</v>
      </c>
      <c r="M98" s="42" t="str">
        <f t="shared" si="18"/>
        <v>n/a</v>
      </c>
      <c r="N98" s="42" t="str">
        <f t="shared" si="19"/>
        <v>Violation</v>
      </c>
      <c r="O98" s="42" t="str">
        <f t="shared" si="20"/>
        <v>n/a</v>
      </c>
      <c r="P98" s="42" t="str">
        <f t="shared" si="21"/>
        <v>Compliant</v>
      </c>
      <c r="Q98" s="42" t="str">
        <f t="shared" si="22"/>
        <v>Compliant</v>
      </c>
      <c r="R98" s="42" t="str">
        <f t="shared" si="23"/>
        <v>Violation</v>
      </c>
      <c r="S98" s="36" t="str">
        <f t="shared" si="24"/>
        <v>TP-06</v>
      </c>
      <c r="T98" s="42" t="str">
        <f t="shared" si="25"/>
        <v/>
      </c>
      <c r="U98" s="42" t="str">
        <f t="shared" si="26"/>
        <v>Assumption-based</v>
      </c>
      <c r="V98" s="42">
        <f t="shared" si="27"/>
        <v>2</v>
      </c>
      <c r="W98" s="42" t="str">
        <f t="shared" si="28"/>
        <v>Needs days</v>
      </c>
    </row>
    <row r="99" spans="1:23" ht="15" hidden="1" customHeight="1" x14ac:dyDescent="0.25">
      <c r="A99" s="36" t="str">
        <f>Claims!A95</f>
        <v>EXP00094</v>
      </c>
      <c r="B99" s="36" t="str">
        <f>Claims!D95</f>
        <v>M2</v>
      </c>
      <c r="C99" s="36" t="str">
        <f>Claims!E95</f>
        <v>Hotel</v>
      </c>
      <c r="D99" s="36" t="str">
        <f>Claims!G95</f>
        <v>Non-metro</v>
      </c>
      <c r="E99" s="40">
        <f>Claims!H95</f>
        <v>12175</v>
      </c>
      <c r="F99" s="36" t="str">
        <f>Claims!K95</f>
        <v>Yes</v>
      </c>
      <c r="G99" s="36" t="str">
        <f>IF(Claims!M95="","",Claims!M95)</f>
        <v/>
      </c>
      <c r="H99" s="36" t="str">
        <f>IF(Claims!N95="","",Claims!N95)</f>
        <v/>
      </c>
      <c r="I99" s="41">
        <f>Claims!J95-Claims!I95</f>
        <v>9</v>
      </c>
      <c r="J99" s="42" t="str">
        <f t="shared" si="15"/>
        <v>n/a</v>
      </c>
      <c r="K99" s="42" t="str">
        <f t="shared" si="16"/>
        <v>n/a</v>
      </c>
      <c r="L99" s="42" t="str">
        <f t="shared" si="17"/>
        <v>n/a</v>
      </c>
      <c r="M99" s="42" t="str">
        <f t="shared" si="18"/>
        <v>Violation</v>
      </c>
      <c r="N99" s="42" t="str">
        <f t="shared" si="19"/>
        <v>n/a</v>
      </c>
      <c r="O99" s="42" t="str">
        <f t="shared" si="20"/>
        <v>n/a</v>
      </c>
      <c r="P99" s="42" t="str">
        <f t="shared" si="21"/>
        <v>Compliant</v>
      </c>
      <c r="Q99" s="42" t="str">
        <f t="shared" si="22"/>
        <v>Compliant</v>
      </c>
      <c r="R99" s="42" t="str">
        <f t="shared" si="23"/>
        <v>Violation</v>
      </c>
      <c r="S99" s="36" t="str">
        <f t="shared" si="24"/>
        <v>TP-05</v>
      </c>
      <c r="T99" s="42" t="str">
        <f t="shared" si="25"/>
        <v/>
      </c>
      <c r="U99" s="42" t="str">
        <f t="shared" si="26"/>
        <v>Assumption-based</v>
      </c>
      <c r="V99" s="42">
        <f t="shared" si="27"/>
        <v>3</v>
      </c>
      <c r="W99" s="42" t="str">
        <f t="shared" si="28"/>
        <v>Needs nights</v>
      </c>
    </row>
    <row r="100" spans="1:23" ht="15" hidden="1" customHeight="1" x14ac:dyDescent="0.25">
      <c r="A100" s="36" t="str">
        <f>Claims!A96</f>
        <v>EXP00095</v>
      </c>
      <c r="B100" s="36" t="str">
        <f>Claims!D96</f>
        <v>M2</v>
      </c>
      <c r="C100" s="36" t="str">
        <f>Claims!E96</f>
        <v>Local Cab</v>
      </c>
      <c r="D100" s="36" t="str">
        <f>Claims!G96</f>
        <v>Metro</v>
      </c>
      <c r="E100" s="40">
        <f>Claims!H96</f>
        <v>1410</v>
      </c>
      <c r="F100" s="36" t="str">
        <f>Claims!K96</f>
        <v>No</v>
      </c>
      <c r="G100" s="36" t="str">
        <f>IF(Claims!M96="","",Claims!M96)</f>
        <v/>
      </c>
      <c r="H100" s="36" t="str">
        <f>IF(Claims!N96="","",Claims!N96)</f>
        <v/>
      </c>
      <c r="I100" s="41">
        <f>Claims!J96-Claims!I96</f>
        <v>9</v>
      </c>
      <c r="J100" s="42" t="str">
        <f t="shared" si="15"/>
        <v>n/a</v>
      </c>
      <c r="K100" s="42" t="str">
        <f t="shared" si="16"/>
        <v>n/a</v>
      </c>
      <c r="L100" s="42" t="str">
        <f t="shared" si="17"/>
        <v>n/a</v>
      </c>
      <c r="M100" s="42" t="str">
        <f t="shared" si="18"/>
        <v>n/a</v>
      </c>
      <c r="N100" s="42" t="str">
        <f t="shared" si="19"/>
        <v>n/a</v>
      </c>
      <c r="O100" s="42" t="str">
        <f t="shared" si="20"/>
        <v>n/a</v>
      </c>
      <c r="P100" s="42" t="str">
        <f t="shared" si="21"/>
        <v>Violation</v>
      </c>
      <c r="Q100" s="42" t="str">
        <f t="shared" si="22"/>
        <v>Compliant</v>
      </c>
      <c r="R100" s="42" t="str">
        <f t="shared" si="23"/>
        <v>Violation</v>
      </c>
      <c r="S100" s="36" t="str">
        <f t="shared" si="24"/>
        <v>TP-09</v>
      </c>
      <c r="T100" s="42" t="str">
        <f t="shared" si="25"/>
        <v/>
      </c>
      <c r="U100" s="42" t="str">
        <f t="shared" si="26"/>
        <v>Definite</v>
      </c>
      <c r="V100" s="42" t="str">
        <f t="shared" si="27"/>
        <v/>
      </c>
      <c r="W100" s="42" t="str">
        <f t="shared" si="28"/>
        <v/>
      </c>
    </row>
    <row r="101" spans="1:23" ht="15" hidden="1" customHeight="1" x14ac:dyDescent="0.25">
      <c r="A101" s="36" t="str">
        <f>Claims!A97</f>
        <v>EXP00096</v>
      </c>
      <c r="B101" s="36" t="str">
        <f>Claims!D97</f>
        <v>M2</v>
      </c>
      <c r="C101" s="36" t="str">
        <f>Claims!E97</f>
        <v>Flight</v>
      </c>
      <c r="D101" s="36" t="str">
        <f>Claims!G97</f>
        <v>Metro</v>
      </c>
      <c r="E101" s="40">
        <f>Claims!H97</f>
        <v>7336</v>
      </c>
      <c r="F101" s="36" t="str">
        <f>Claims!K97</f>
        <v>Yes</v>
      </c>
      <c r="G101" s="36">
        <f>IF(Claims!M97="","",Claims!M97)</f>
        <v>11</v>
      </c>
      <c r="H101" s="36" t="str">
        <f>IF(Claims!N97="","",Claims!N97)</f>
        <v>Economy</v>
      </c>
      <c r="I101" s="41">
        <f>Claims!J97-Claims!I97</f>
        <v>14</v>
      </c>
      <c r="J101" s="42" t="str">
        <f t="shared" si="15"/>
        <v>Compliant</v>
      </c>
      <c r="K101" s="42" t="str">
        <f t="shared" si="16"/>
        <v>Compliant</v>
      </c>
      <c r="L101" s="42" t="str">
        <f t="shared" si="17"/>
        <v>n/a</v>
      </c>
      <c r="M101" s="42" t="str">
        <f t="shared" si="18"/>
        <v>n/a</v>
      </c>
      <c r="N101" s="42" t="str">
        <f t="shared" si="19"/>
        <v>n/a</v>
      </c>
      <c r="O101" s="42" t="str">
        <f t="shared" si="20"/>
        <v>n/a</v>
      </c>
      <c r="P101" s="42" t="str">
        <f t="shared" si="21"/>
        <v>Compliant</v>
      </c>
      <c r="Q101" s="42" t="str">
        <f t="shared" si="22"/>
        <v>Compliant</v>
      </c>
      <c r="R101" s="42" t="str">
        <f t="shared" si="23"/>
        <v>Compliant</v>
      </c>
      <c r="S101" s="36" t="str">
        <f t="shared" si="24"/>
        <v/>
      </c>
      <c r="T101" s="42" t="str">
        <f t="shared" si="25"/>
        <v/>
      </c>
      <c r="U101" s="42" t="str">
        <f t="shared" si="26"/>
        <v/>
      </c>
      <c r="V101" s="42" t="str">
        <f t="shared" si="27"/>
        <v/>
      </c>
      <c r="W101" s="42" t="str">
        <f t="shared" si="28"/>
        <v/>
      </c>
    </row>
    <row r="102" spans="1:23" ht="15" hidden="1" customHeight="1" x14ac:dyDescent="0.25">
      <c r="A102" s="36" t="str">
        <f>Claims!A98</f>
        <v>EXP00097</v>
      </c>
      <c r="B102" s="36" t="str">
        <f>Claims!D98</f>
        <v>M2</v>
      </c>
      <c r="C102" s="36" t="str">
        <f>Claims!E98</f>
        <v>Client Entertainment</v>
      </c>
      <c r="D102" s="36" t="str">
        <f>Claims!G98</f>
        <v>Non-metro</v>
      </c>
      <c r="E102" s="40">
        <f>Claims!H98</f>
        <v>11282</v>
      </c>
      <c r="F102" s="36" t="str">
        <f>Claims!K98</f>
        <v>No</v>
      </c>
      <c r="G102" s="36" t="str">
        <f>IF(Claims!M98="","",Claims!M98)</f>
        <v/>
      </c>
      <c r="H102" s="36" t="str">
        <f>IF(Claims!N98="","",Claims!N98)</f>
        <v/>
      </c>
      <c r="I102" s="41">
        <f>Claims!J98-Claims!I98</f>
        <v>9</v>
      </c>
      <c r="J102" s="42" t="str">
        <f t="shared" si="15"/>
        <v>n/a</v>
      </c>
      <c r="K102" s="42" t="str">
        <f t="shared" si="16"/>
        <v>n/a</v>
      </c>
      <c r="L102" s="42" t="str">
        <f t="shared" si="17"/>
        <v>n/a</v>
      </c>
      <c r="M102" s="42" t="str">
        <f t="shared" si="18"/>
        <v>n/a</v>
      </c>
      <c r="N102" s="42" t="str">
        <f t="shared" si="19"/>
        <v>n/a</v>
      </c>
      <c r="O102" s="42" t="str">
        <f t="shared" si="20"/>
        <v>n/a</v>
      </c>
      <c r="P102" s="42" t="str">
        <f t="shared" si="21"/>
        <v>Violation</v>
      </c>
      <c r="Q102" s="42" t="str">
        <f t="shared" si="22"/>
        <v>Compliant</v>
      </c>
      <c r="R102" s="42" t="str">
        <f t="shared" si="23"/>
        <v>Violation</v>
      </c>
      <c r="S102" s="36" t="str">
        <f t="shared" si="24"/>
        <v>TP-09</v>
      </c>
      <c r="T102" s="42" t="str">
        <f t="shared" si="25"/>
        <v/>
      </c>
      <c r="U102" s="42" t="str">
        <f t="shared" si="26"/>
        <v>Definite</v>
      </c>
      <c r="V102" s="42" t="str">
        <f t="shared" si="27"/>
        <v/>
      </c>
      <c r="W102" s="42" t="str">
        <f t="shared" si="28"/>
        <v/>
      </c>
    </row>
    <row r="103" spans="1:23" ht="15" hidden="1" customHeight="1" x14ac:dyDescent="0.25">
      <c r="A103" s="36" t="str">
        <f>Claims!A99</f>
        <v>EXP00098</v>
      </c>
      <c r="B103" s="36" t="str">
        <f>Claims!D99</f>
        <v>M2</v>
      </c>
      <c r="C103" s="36" t="str">
        <f>Claims!E99</f>
        <v>Client Entertainment</v>
      </c>
      <c r="D103" s="36" t="str">
        <f>Claims!G99</f>
        <v>Non-metro</v>
      </c>
      <c r="E103" s="40">
        <f>Claims!H99</f>
        <v>7601</v>
      </c>
      <c r="F103" s="36" t="str">
        <f>Claims!K99</f>
        <v>Yes</v>
      </c>
      <c r="G103" s="36" t="str">
        <f>IF(Claims!M99="","",Claims!M99)</f>
        <v/>
      </c>
      <c r="H103" s="36" t="str">
        <f>IF(Claims!N99="","",Claims!N99)</f>
        <v/>
      </c>
      <c r="I103" s="41">
        <f>Claims!J99-Claims!I99</f>
        <v>9</v>
      </c>
      <c r="J103" s="42" t="str">
        <f t="shared" si="15"/>
        <v>n/a</v>
      </c>
      <c r="K103" s="42" t="str">
        <f t="shared" si="16"/>
        <v>n/a</v>
      </c>
      <c r="L103" s="42" t="str">
        <f t="shared" si="17"/>
        <v>n/a</v>
      </c>
      <c r="M103" s="42" t="str">
        <f t="shared" si="18"/>
        <v>n/a</v>
      </c>
      <c r="N103" s="42" t="str">
        <f t="shared" si="19"/>
        <v>n/a</v>
      </c>
      <c r="O103" s="42" t="str">
        <f t="shared" si="20"/>
        <v>n/a</v>
      </c>
      <c r="P103" s="42" t="str">
        <f t="shared" si="21"/>
        <v>Compliant</v>
      </c>
      <c r="Q103" s="42" t="str">
        <f t="shared" si="22"/>
        <v>Compliant</v>
      </c>
      <c r="R103" s="42" t="str">
        <f t="shared" si="23"/>
        <v>Compliant</v>
      </c>
      <c r="S103" s="36" t="str">
        <f t="shared" si="24"/>
        <v/>
      </c>
      <c r="T103" s="42" t="str">
        <f t="shared" si="25"/>
        <v/>
      </c>
      <c r="U103" s="42" t="str">
        <f t="shared" si="26"/>
        <v/>
      </c>
      <c r="V103" s="42" t="str">
        <f t="shared" si="27"/>
        <v/>
      </c>
      <c r="W103" s="42" t="str">
        <f t="shared" si="28"/>
        <v/>
      </c>
    </row>
    <row r="104" spans="1:23" ht="15" hidden="1" customHeight="1" x14ac:dyDescent="0.25">
      <c r="A104" s="36" t="str">
        <f>Claims!A100</f>
        <v>EXP00099</v>
      </c>
      <c r="B104" s="36" t="str">
        <f>Claims!D100</f>
        <v>M1</v>
      </c>
      <c r="C104" s="36" t="str">
        <f>Claims!E100</f>
        <v>Train</v>
      </c>
      <c r="D104" s="36" t="str">
        <f>Claims!G100</f>
        <v>Metro</v>
      </c>
      <c r="E104" s="40">
        <f>Claims!H100</f>
        <v>1196</v>
      </c>
      <c r="F104" s="36" t="str">
        <f>Claims!K100</f>
        <v>Yes</v>
      </c>
      <c r="G104" s="36" t="str">
        <f>IF(Claims!M100="","",Claims!M100)</f>
        <v/>
      </c>
      <c r="H104" s="36" t="str">
        <f>IF(Claims!N100="","",Claims!N100)</f>
        <v/>
      </c>
      <c r="I104" s="41">
        <f>Claims!J100-Claims!I100</f>
        <v>20</v>
      </c>
      <c r="J104" s="42" t="str">
        <f t="shared" si="15"/>
        <v>n/a</v>
      </c>
      <c r="K104" s="42" t="str">
        <f t="shared" si="16"/>
        <v>n/a</v>
      </c>
      <c r="L104" s="42" t="str">
        <f t="shared" si="17"/>
        <v>n/a</v>
      </c>
      <c r="M104" s="42" t="str">
        <f t="shared" si="18"/>
        <v>n/a</v>
      </c>
      <c r="N104" s="42" t="str">
        <f t="shared" si="19"/>
        <v>n/a</v>
      </c>
      <c r="O104" s="42" t="str">
        <f t="shared" si="20"/>
        <v>n/a</v>
      </c>
      <c r="P104" s="42" t="str">
        <f t="shared" si="21"/>
        <v>Compliant</v>
      </c>
      <c r="Q104" s="42" t="str">
        <f t="shared" si="22"/>
        <v>Violation</v>
      </c>
      <c r="R104" s="42" t="str">
        <f t="shared" si="23"/>
        <v>Violation</v>
      </c>
      <c r="S104" s="36" t="str">
        <f t="shared" si="24"/>
        <v>TP-10</v>
      </c>
      <c r="T104" s="42" t="str">
        <f t="shared" si="25"/>
        <v>Late</v>
      </c>
      <c r="U104" s="42" t="str">
        <f t="shared" si="26"/>
        <v>Definite</v>
      </c>
      <c r="V104" s="42" t="str">
        <f t="shared" si="27"/>
        <v/>
      </c>
      <c r="W104" s="42" t="str">
        <f t="shared" si="28"/>
        <v/>
      </c>
    </row>
    <row r="105" spans="1:23" ht="15" hidden="1" customHeight="1" x14ac:dyDescent="0.25">
      <c r="A105" s="36" t="str">
        <f>Claims!A101</f>
        <v>EXP00100</v>
      </c>
      <c r="B105" s="36" t="str">
        <f>Claims!D101</f>
        <v>M2</v>
      </c>
      <c r="C105" s="36" t="str">
        <f>Claims!E101</f>
        <v>Hotel</v>
      </c>
      <c r="D105" s="36" t="str">
        <f>Claims!G101</f>
        <v>Metro</v>
      </c>
      <c r="E105" s="40">
        <f>Claims!H101</f>
        <v>6360</v>
      </c>
      <c r="F105" s="36" t="str">
        <f>Claims!K101</f>
        <v>No</v>
      </c>
      <c r="G105" s="36" t="str">
        <f>IF(Claims!M101="","",Claims!M101)</f>
        <v/>
      </c>
      <c r="H105" s="36" t="str">
        <f>IF(Claims!N101="","",Claims!N101)</f>
        <v/>
      </c>
      <c r="I105" s="41">
        <f>Claims!J101-Claims!I101</f>
        <v>9</v>
      </c>
      <c r="J105" s="42" t="str">
        <f t="shared" si="15"/>
        <v>n/a</v>
      </c>
      <c r="K105" s="42" t="str">
        <f t="shared" si="16"/>
        <v>n/a</v>
      </c>
      <c r="L105" s="42" t="str">
        <f t="shared" si="17"/>
        <v>Compliant</v>
      </c>
      <c r="M105" s="42" t="str">
        <f t="shared" si="18"/>
        <v>n/a</v>
      </c>
      <c r="N105" s="42" t="str">
        <f t="shared" si="19"/>
        <v>n/a</v>
      </c>
      <c r="O105" s="42" t="str">
        <f t="shared" si="20"/>
        <v>n/a</v>
      </c>
      <c r="P105" s="42" t="str">
        <f t="shared" si="21"/>
        <v>Violation</v>
      </c>
      <c r="Q105" s="42" t="str">
        <f t="shared" si="22"/>
        <v>Compliant</v>
      </c>
      <c r="R105" s="42" t="str">
        <f t="shared" si="23"/>
        <v>Violation</v>
      </c>
      <c r="S105" s="36" t="str">
        <f t="shared" si="24"/>
        <v>TP-09</v>
      </c>
      <c r="T105" s="42" t="str">
        <f t="shared" si="25"/>
        <v/>
      </c>
      <c r="U105" s="42" t="str">
        <f t="shared" si="26"/>
        <v>Definite</v>
      </c>
      <c r="V105" s="42" t="str">
        <f t="shared" si="27"/>
        <v/>
      </c>
      <c r="W105" s="42" t="str">
        <f t="shared" si="28"/>
        <v/>
      </c>
    </row>
    <row r="106" spans="1:23" ht="15" hidden="1" customHeight="1" x14ac:dyDescent="0.25">
      <c r="A106" s="36" t="str">
        <f>Claims!A102</f>
        <v>EXP00101</v>
      </c>
      <c r="B106" s="36" t="str">
        <f>Claims!D102</f>
        <v>M1</v>
      </c>
      <c r="C106" s="36" t="str">
        <f>Claims!E102</f>
        <v>Local Cab</v>
      </c>
      <c r="D106" s="36" t="str">
        <f>Claims!G102</f>
        <v>Non-metro</v>
      </c>
      <c r="E106" s="40">
        <f>Claims!H102</f>
        <v>556</v>
      </c>
      <c r="F106" s="36" t="str">
        <f>Claims!K102</f>
        <v>Yes</v>
      </c>
      <c r="G106" s="36" t="str">
        <f>IF(Claims!M102="","",Claims!M102)</f>
        <v/>
      </c>
      <c r="H106" s="36" t="str">
        <f>IF(Claims!N102="","",Claims!N102)</f>
        <v/>
      </c>
      <c r="I106" s="41">
        <f>Claims!J102-Claims!I102</f>
        <v>2</v>
      </c>
      <c r="J106" s="42" t="str">
        <f t="shared" si="15"/>
        <v>n/a</v>
      </c>
      <c r="K106" s="42" t="str">
        <f t="shared" si="16"/>
        <v>n/a</v>
      </c>
      <c r="L106" s="42" t="str">
        <f t="shared" si="17"/>
        <v>n/a</v>
      </c>
      <c r="M106" s="42" t="str">
        <f t="shared" si="18"/>
        <v>n/a</v>
      </c>
      <c r="N106" s="42" t="str">
        <f t="shared" si="19"/>
        <v>n/a</v>
      </c>
      <c r="O106" s="42" t="str">
        <f t="shared" si="20"/>
        <v>n/a</v>
      </c>
      <c r="P106" s="42" t="str">
        <f t="shared" si="21"/>
        <v>Compliant</v>
      </c>
      <c r="Q106" s="42" t="str">
        <f t="shared" si="22"/>
        <v>Compliant</v>
      </c>
      <c r="R106" s="42" t="str">
        <f t="shared" si="23"/>
        <v>Compliant</v>
      </c>
      <c r="S106" s="36" t="str">
        <f t="shared" si="24"/>
        <v/>
      </c>
      <c r="T106" s="42" t="str">
        <f t="shared" si="25"/>
        <v/>
      </c>
      <c r="U106" s="42" t="str">
        <f t="shared" si="26"/>
        <v/>
      </c>
      <c r="V106" s="42" t="str">
        <f t="shared" si="27"/>
        <v/>
      </c>
      <c r="W106" s="42" t="str">
        <f t="shared" si="28"/>
        <v/>
      </c>
    </row>
    <row r="107" spans="1:23" ht="15" hidden="1" customHeight="1" x14ac:dyDescent="0.25">
      <c r="A107" s="36" t="str">
        <f>Claims!A103</f>
        <v>EXP00102</v>
      </c>
      <c r="B107" s="36" t="str">
        <f>Claims!D103</f>
        <v>M1</v>
      </c>
      <c r="C107" s="36" t="str">
        <f>Claims!E103</f>
        <v>Local Cab</v>
      </c>
      <c r="D107" s="36" t="str">
        <f>Claims!G103</f>
        <v>Non-metro</v>
      </c>
      <c r="E107" s="40">
        <f>Claims!H103</f>
        <v>1302</v>
      </c>
      <c r="F107" s="36" t="str">
        <f>Claims!K103</f>
        <v>Yes</v>
      </c>
      <c r="G107" s="36" t="str">
        <f>IF(Claims!M103="","",Claims!M103)</f>
        <v/>
      </c>
      <c r="H107" s="36" t="str">
        <f>IF(Claims!N103="","",Claims!N103)</f>
        <v/>
      </c>
      <c r="I107" s="41">
        <f>Claims!J103-Claims!I103</f>
        <v>9</v>
      </c>
      <c r="J107" s="42" t="str">
        <f t="shared" si="15"/>
        <v>n/a</v>
      </c>
      <c r="K107" s="42" t="str">
        <f t="shared" si="16"/>
        <v>n/a</v>
      </c>
      <c r="L107" s="42" t="str">
        <f t="shared" si="17"/>
        <v>n/a</v>
      </c>
      <c r="M107" s="42" t="str">
        <f t="shared" si="18"/>
        <v>n/a</v>
      </c>
      <c r="N107" s="42" t="str">
        <f t="shared" si="19"/>
        <v>n/a</v>
      </c>
      <c r="O107" s="42" t="str">
        <f t="shared" si="20"/>
        <v>n/a</v>
      </c>
      <c r="P107" s="42" t="str">
        <f t="shared" si="21"/>
        <v>Compliant</v>
      </c>
      <c r="Q107" s="42" t="str">
        <f t="shared" si="22"/>
        <v>Compliant</v>
      </c>
      <c r="R107" s="42" t="str">
        <f t="shared" si="23"/>
        <v>Compliant</v>
      </c>
      <c r="S107" s="36" t="str">
        <f t="shared" si="24"/>
        <v/>
      </c>
      <c r="T107" s="42" t="str">
        <f t="shared" si="25"/>
        <v/>
      </c>
      <c r="U107" s="42" t="str">
        <f t="shared" si="26"/>
        <v/>
      </c>
      <c r="V107" s="42" t="str">
        <f t="shared" si="27"/>
        <v/>
      </c>
      <c r="W107" s="42" t="str">
        <f t="shared" si="28"/>
        <v/>
      </c>
    </row>
    <row r="108" spans="1:23" ht="15" hidden="1" customHeight="1" x14ac:dyDescent="0.25">
      <c r="A108" s="36" t="str">
        <f>Claims!A104</f>
        <v>EXP00103</v>
      </c>
      <c r="B108" s="36" t="str">
        <f>Claims!D104</f>
        <v>M3</v>
      </c>
      <c r="C108" s="36" t="str">
        <f>Claims!E104</f>
        <v>Meals/DA</v>
      </c>
      <c r="D108" s="36" t="str">
        <f>Claims!G104</f>
        <v>Non-metro</v>
      </c>
      <c r="E108" s="40">
        <f>Claims!H104</f>
        <v>1637</v>
      </c>
      <c r="F108" s="36" t="str">
        <f>Claims!K104</f>
        <v>Yes</v>
      </c>
      <c r="G108" s="36" t="str">
        <f>IF(Claims!M104="","",Claims!M104)</f>
        <v/>
      </c>
      <c r="H108" s="36" t="str">
        <f>IF(Claims!N104="","",Claims!N104)</f>
        <v/>
      </c>
      <c r="I108" s="41">
        <f>Claims!J104-Claims!I104</f>
        <v>5</v>
      </c>
      <c r="J108" s="42" t="str">
        <f t="shared" si="15"/>
        <v>n/a</v>
      </c>
      <c r="K108" s="42" t="str">
        <f t="shared" si="16"/>
        <v>n/a</v>
      </c>
      <c r="L108" s="42" t="str">
        <f t="shared" si="17"/>
        <v>n/a</v>
      </c>
      <c r="M108" s="42" t="str">
        <f t="shared" si="18"/>
        <v>n/a</v>
      </c>
      <c r="N108" s="42" t="str">
        <f t="shared" si="19"/>
        <v>Violation</v>
      </c>
      <c r="O108" s="42" t="str">
        <f t="shared" si="20"/>
        <v>n/a</v>
      </c>
      <c r="P108" s="42" t="str">
        <f t="shared" si="21"/>
        <v>Compliant</v>
      </c>
      <c r="Q108" s="42" t="str">
        <f t="shared" si="22"/>
        <v>Compliant</v>
      </c>
      <c r="R108" s="42" t="str">
        <f t="shared" si="23"/>
        <v>Violation</v>
      </c>
      <c r="S108" s="36" t="str">
        <f t="shared" si="24"/>
        <v>TP-06</v>
      </c>
      <c r="T108" s="42" t="str">
        <f t="shared" si="25"/>
        <v/>
      </c>
      <c r="U108" s="42" t="str">
        <f t="shared" si="26"/>
        <v>Assumption-based</v>
      </c>
      <c r="V108" s="42">
        <f t="shared" si="27"/>
        <v>2</v>
      </c>
      <c r="W108" s="42" t="str">
        <f t="shared" si="28"/>
        <v>Needs days</v>
      </c>
    </row>
    <row r="109" spans="1:23" ht="15" hidden="1" customHeight="1" x14ac:dyDescent="0.25">
      <c r="A109" s="36" t="str">
        <f>Claims!A105</f>
        <v>EXP00104</v>
      </c>
      <c r="B109" s="36" t="str">
        <f>Claims!D105</f>
        <v>M2</v>
      </c>
      <c r="C109" s="36" t="str">
        <f>Claims!E105</f>
        <v>Meals/DA</v>
      </c>
      <c r="D109" s="36" t="str">
        <f>Claims!G105</f>
        <v>Non-metro</v>
      </c>
      <c r="E109" s="40">
        <f>Claims!H105</f>
        <v>783</v>
      </c>
      <c r="F109" s="36" t="str">
        <f>Claims!K105</f>
        <v>Yes</v>
      </c>
      <c r="G109" s="36" t="str">
        <f>IF(Claims!M105="","",Claims!M105)</f>
        <v/>
      </c>
      <c r="H109" s="36" t="str">
        <f>IF(Claims!N105="","",Claims!N105)</f>
        <v/>
      </c>
      <c r="I109" s="41">
        <f>Claims!J105-Claims!I105</f>
        <v>2</v>
      </c>
      <c r="J109" s="42" t="str">
        <f t="shared" si="15"/>
        <v>n/a</v>
      </c>
      <c r="K109" s="42" t="str">
        <f t="shared" si="16"/>
        <v>n/a</v>
      </c>
      <c r="L109" s="42" t="str">
        <f t="shared" si="17"/>
        <v>n/a</v>
      </c>
      <c r="M109" s="42" t="str">
        <f t="shared" si="18"/>
        <v>n/a</v>
      </c>
      <c r="N109" s="42" t="str">
        <f t="shared" si="19"/>
        <v>Compliant</v>
      </c>
      <c r="O109" s="42" t="str">
        <f t="shared" si="20"/>
        <v>n/a</v>
      </c>
      <c r="P109" s="42" t="str">
        <f t="shared" si="21"/>
        <v>Compliant</v>
      </c>
      <c r="Q109" s="42" t="str">
        <f t="shared" si="22"/>
        <v>Compliant</v>
      </c>
      <c r="R109" s="42" t="str">
        <f t="shared" si="23"/>
        <v>Compliant</v>
      </c>
      <c r="S109" s="36" t="str">
        <f t="shared" si="24"/>
        <v/>
      </c>
      <c r="T109" s="42" t="str">
        <f t="shared" si="25"/>
        <v/>
      </c>
      <c r="U109" s="42" t="str">
        <f t="shared" si="26"/>
        <v/>
      </c>
      <c r="V109" s="42" t="str">
        <f t="shared" si="27"/>
        <v/>
      </c>
      <c r="W109" s="42" t="str">
        <f t="shared" si="28"/>
        <v/>
      </c>
    </row>
    <row r="110" spans="1:23" ht="15" hidden="1" customHeight="1" x14ac:dyDescent="0.25">
      <c r="A110" s="36" t="str">
        <f>Claims!A106</f>
        <v>EXP00105</v>
      </c>
      <c r="B110" s="36" t="str">
        <f>Claims!D106</f>
        <v>M2</v>
      </c>
      <c r="C110" s="36" t="str">
        <f>Claims!E106</f>
        <v>Train</v>
      </c>
      <c r="D110" s="36" t="str">
        <f>Claims!G106</f>
        <v>Metro</v>
      </c>
      <c r="E110" s="40">
        <f>Claims!H106</f>
        <v>1957</v>
      </c>
      <c r="F110" s="36" t="str">
        <f>Claims!K106</f>
        <v>Yes</v>
      </c>
      <c r="G110" s="36" t="str">
        <f>IF(Claims!M106="","",Claims!M106)</f>
        <v/>
      </c>
      <c r="H110" s="36" t="str">
        <f>IF(Claims!N106="","",Claims!N106)</f>
        <v/>
      </c>
      <c r="I110" s="41">
        <f>Claims!J106-Claims!I106</f>
        <v>5</v>
      </c>
      <c r="J110" s="42" t="str">
        <f t="shared" si="15"/>
        <v>n/a</v>
      </c>
      <c r="K110" s="42" t="str">
        <f t="shared" si="16"/>
        <v>n/a</v>
      </c>
      <c r="L110" s="42" t="str">
        <f t="shared" si="17"/>
        <v>n/a</v>
      </c>
      <c r="M110" s="42" t="str">
        <f t="shared" si="18"/>
        <v>n/a</v>
      </c>
      <c r="N110" s="42" t="str">
        <f t="shared" si="19"/>
        <v>n/a</v>
      </c>
      <c r="O110" s="42" t="str">
        <f t="shared" si="20"/>
        <v>n/a</v>
      </c>
      <c r="P110" s="42" t="str">
        <f t="shared" si="21"/>
        <v>Compliant</v>
      </c>
      <c r="Q110" s="42" t="str">
        <f t="shared" si="22"/>
        <v>Compliant</v>
      </c>
      <c r="R110" s="42" t="str">
        <f t="shared" si="23"/>
        <v>Compliant</v>
      </c>
      <c r="S110" s="36" t="str">
        <f t="shared" si="24"/>
        <v/>
      </c>
      <c r="T110" s="42" t="str">
        <f t="shared" si="25"/>
        <v/>
      </c>
      <c r="U110" s="42" t="str">
        <f t="shared" si="26"/>
        <v/>
      </c>
      <c r="V110" s="42" t="str">
        <f t="shared" si="27"/>
        <v/>
      </c>
      <c r="W110" s="42" t="str">
        <f t="shared" si="28"/>
        <v/>
      </c>
    </row>
    <row r="111" spans="1:23" ht="15" hidden="1" customHeight="1" x14ac:dyDescent="0.25">
      <c r="A111" s="36" t="str">
        <f>Claims!A107</f>
        <v>EXP00106</v>
      </c>
      <c r="B111" s="36" t="str">
        <f>Claims!D107</f>
        <v>M2</v>
      </c>
      <c r="C111" s="36" t="str">
        <f>Claims!E107</f>
        <v>Flight</v>
      </c>
      <c r="D111" s="36" t="str">
        <f>Claims!G107</f>
        <v>Metro</v>
      </c>
      <c r="E111" s="40">
        <f>Claims!H107</f>
        <v>3662</v>
      </c>
      <c r="F111" s="36" t="str">
        <f>Claims!K107</f>
        <v>Yes</v>
      </c>
      <c r="G111" s="36">
        <f>IF(Claims!M107="","",Claims!M107)</f>
        <v>4</v>
      </c>
      <c r="H111" s="36" t="str">
        <f>IF(Claims!N107="","",Claims!N107)</f>
        <v>Economy</v>
      </c>
      <c r="I111" s="41">
        <f>Claims!J107-Claims!I107</f>
        <v>20</v>
      </c>
      <c r="J111" s="42" t="str">
        <f t="shared" si="15"/>
        <v>Compliant</v>
      </c>
      <c r="K111" s="42" t="str">
        <f t="shared" si="16"/>
        <v>Violation</v>
      </c>
      <c r="L111" s="42" t="str">
        <f t="shared" si="17"/>
        <v>n/a</v>
      </c>
      <c r="M111" s="42" t="str">
        <f t="shared" si="18"/>
        <v>n/a</v>
      </c>
      <c r="N111" s="42" t="str">
        <f t="shared" si="19"/>
        <v>n/a</v>
      </c>
      <c r="O111" s="42" t="str">
        <f t="shared" si="20"/>
        <v>n/a</v>
      </c>
      <c r="P111" s="42" t="str">
        <f t="shared" si="21"/>
        <v>Compliant</v>
      </c>
      <c r="Q111" s="42" t="str">
        <f t="shared" si="22"/>
        <v>Violation</v>
      </c>
      <c r="R111" s="42" t="str">
        <f t="shared" si="23"/>
        <v>Violation</v>
      </c>
      <c r="S111" s="36" t="str">
        <f t="shared" si="24"/>
        <v>TP-02, TP-10</v>
      </c>
      <c r="T111" s="42" t="str">
        <f t="shared" si="25"/>
        <v>Late</v>
      </c>
      <c r="U111" s="42" t="str">
        <f t="shared" si="26"/>
        <v>Definite</v>
      </c>
      <c r="V111" s="42" t="str">
        <f t="shared" si="27"/>
        <v/>
      </c>
      <c r="W111" s="42" t="str">
        <f t="shared" si="28"/>
        <v>Needs approval</v>
      </c>
    </row>
    <row r="112" spans="1:23" ht="15" hidden="1" customHeight="1" x14ac:dyDescent="0.25">
      <c r="A112" s="36" t="str">
        <f>Claims!A108</f>
        <v>EXP00107</v>
      </c>
      <c r="B112" s="36" t="str">
        <f>Claims!D108</f>
        <v>M1</v>
      </c>
      <c r="C112" s="36" t="str">
        <f>Claims!E108</f>
        <v>Flight</v>
      </c>
      <c r="D112" s="36" t="str">
        <f>Claims!G108</f>
        <v>Metro</v>
      </c>
      <c r="E112" s="40">
        <f>Claims!H108</f>
        <v>10475</v>
      </c>
      <c r="F112" s="36" t="str">
        <f>Claims!K108</f>
        <v>No</v>
      </c>
      <c r="G112" s="36">
        <f>IF(Claims!M108="","",Claims!M108)</f>
        <v>4</v>
      </c>
      <c r="H112" s="36" t="str">
        <f>IF(Claims!N108="","",Claims!N108)</f>
        <v>Economy</v>
      </c>
      <c r="I112" s="41">
        <f>Claims!J108-Claims!I108</f>
        <v>5</v>
      </c>
      <c r="J112" s="42" t="str">
        <f t="shared" si="15"/>
        <v>Compliant</v>
      </c>
      <c r="K112" s="42" t="str">
        <f t="shared" si="16"/>
        <v>Violation</v>
      </c>
      <c r="L112" s="42" t="str">
        <f t="shared" si="17"/>
        <v>n/a</v>
      </c>
      <c r="M112" s="42" t="str">
        <f t="shared" si="18"/>
        <v>n/a</v>
      </c>
      <c r="N112" s="42" t="str">
        <f t="shared" si="19"/>
        <v>n/a</v>
      </c>
      <c r="O112" s="42" t="str">
        <f t="shared" si="20"/>
        <v>n/a</v>
      </c>
      <c r="P112" s="42" t="str">
        <f t="shared" si="21"/>
        <v>Violation</v>
      </c>
      <c r="Q112" s="42" t="str">
        <f t="shared" si="22"/>
        <v>Compliant</v>
      </c>
      <c r="R112" s="42" t="str">
        <f t="shared" si="23"/>
        <v>Violation</v>
      </c>
      <c r="S112" s="36" t="str">
        <f t="shared" si="24"/>
        <v>TP-02, TP-09</v>
      </c>
      <c r="T112" s="42" t="str">
        <f t="shared" si="25"/>
        <v/>
      </c>
      <c r="U112" s="42" t="str">
        <f t="shared" si="26"/>
        <v>Definite</v>
      </c>
      <c r="V112" s="42" t="str">
        <f t="shared" si="27"/>
        <v/>
      </c>
      <c r="W112" s="42" t="str">
        <f t="shared" si="28"/>
        <v>Needs approval</v>
      </c>
    </row>
    <row r="113" spans="1:23" ht="15" hidden="1" customHeight="1" x14ac:dyDescent="0.25">
      <c r="A113" s="36" t="str">
        <f>Claims!A109</f>
        <v>EXP00108</v>
      </c>
      <c r="B113" s="36" t="str">
        <f>Claims!D109</f>
        <v>M2</v>
      </c>
      <c r="C113" s="36" t="str">
        <f>Claims!E109</f>
        <v>Stationery</v>
      </c>
      <c r="D113" s="36" t="str">
        <f>Claims!G109</f>
        <v>Metro</v>
      </c>
      <c r="E113" s="40">
        <f>Claims!H109</f>
        <v>1368</v>
      </c>
      <c r="F113" s="36" t="str">
        <f>Claims!K109</f>
        <v>Yes</v>
      </c>
      <c r="G113" s="36" t="str">
        <f>IF(Claims!M109="","",Claims!M109)</f>
        <v/>
      </c>
      <c r="H113" s="36" t="str">
        <f>IF(Claims!N109="","",Claims!N109)</f>
        <v/>
      </c>
      <c r="I113" s="41">
        <f>Claims!J109-Claims!I109</f>
        <v>2</v>
      </c>
      <c r="J113" s="42" t="str">
        <f t="shared" si="15"/>
        <v>n/a</v>
      </c>
      <c r="K113" s="42" t="str">
        <f t="shared" si="16"/>
        <v>n/a</v>
      </c>
      <c r="L113" s="42" t="str">
        <f t="shared" si="17"/>
        <v>n/a</v>
      </c>
      <c r="M113" s="42" t="str">
        <f t="shared" si="18"/>
        <v>n/a</v>
      </c>
      <c r="N113" s="42" t="str">
        <f t="shared" si="19"/>
        <v>n/a</v>
      </c>
      <c r="O113" s="42" t="str">
        <f t="shared" si="20"/>
        <v>n/a</v>
      </c>
      <c r="P113" s="42" t="str">
        <f t="shared" si="21"/>
        <v>Compliant</v>
      </c>
      <c r="Q113" s="42" t="str">
        <f t="shared" si="22"/>
        <v>Compliant</v>
      </c>
      <c r="R113" s="42" t="str">
        <f t="shared" si="23"/>
        <v>Compliant</v>
      </c>
      <c r="S113" s="36" t="str">
        <f t="shared" si="24"/>
        <v/>
      </c>
      <c r="T113" s="42" t="str">
        <f t="shared" si="25"/>
        <v/>
      </c>
      <c r="U113" s="42" t="str">
        <f t="shared" si="26"/>
        <v/>
      </c>
      <c r="V113" s="42" t="str">
        <f t="shared" si="27"/>
        <v/>
      </c>
      <c r="W113" s="42" t="str">
        <f t="shared" si="28"/>
        <v/>
      </c>
    </row>
    <row r="114" spans="1:23" ht="15" hidden="1" customHeight="1" x14ac:dyDescent="0.25">
      <c r="A114" s="36" t="str">
        <f>Claims!A110</f>
        <v>EXP00109</v>
      </c>
      <c r="B114" s="36" t="str">
        <f>Claims!D110</f>
        <v>M1</v>
      </c>
      <c r="C114" s="36" t="str">
        <f>Claims!E110</f>
        <v>Meals/DA</v>
      </c>
      <c r="D114" s="36" t="str">
        <f>Claims!G110</f>
        <v>Non-metro</v>
      </c>
      <c r="E114" s="40">
        <f>Claims!H110</f>
        <v>1393</v>
      </c>
      <c r="F114" s="36" t="str">
        <f>Claims!K110</f>
        <v>Yes</v>
      </c>
      <c r="G114" s="36" t="str">
        <f>IF(Claims!M110="","",Claims!M110)</f>
        <v/>
      </c>
      <c r="H114" s="36" t="str">
        <f>IF(Claims!N110="","",Claims!N110)</f>
        <v/>
      </c>
      <c r="I114" s="41">
        <f>Claims!J110-Claims!I110</f>
        <v>5</v>
      </c>
      <c r="J114" s="42" t="str">
        <f t="shared" si="15"/>
        <v>n/a</v>
      </c>
      <c r="K114" s="42" t="str">
        <f t="shared" si="16"/>
        <v>n/a</v>
      </c>
      <c r="L114" s="42" t="str">
        <f t="shared" si="17"/>
        <v>n/a</v>
      </c>
      <c r="M114" s="42" t="str">
        <f t="shared" si="18"/>
        <v>n/a</v>
      </c>
      <c r="N114" s="42" t="str">
        <f t="shared" si="19"/>
        <v>Violation</v>
      </c>
      <c r="O114" s="42" t="str">
        <f t="shared" si="20"/>
        <v>n/a</v>
      </c>
      <c r="P114" s="42" t="str">
        <f t="shared" si="21"/>
        <v>Compliant</v>
      </c>
      <c r="Q114" s="42" t="str">
        <f t="shared" si="22"/>
        <v>Compliant</v>
      </c>
      <c r="R114" s="42" t="str">
        <f t="shared" si="23"/>
        <v>Violation</v>
      </c>
      <c r="S114" s="36" t="str">
        <f t="shared" si="24"/>
        <v>TP-06</v>
      </c>
      <c r="T114" s="42" t="str">
        <f t="shared" si="25"/>
        <v/>
      </c>
      <c r="U114" s="42" t="str">
        <f t="shared" si="26"/>
        <v>Assumption-based</v>
      </c>
      <c r="V114" s="42">
        <f t="shared" si="27"/>
        <v>2</v>
      </c>
      <c r="W114" s="42" t="str">
        <f t="shared" si="28"/>
        <v>Needs days</v>
      </c>
    </row>
    <row r="115" spans="1:23" ht="15" hidden="1" customHeight="1" x14ac:dyDescent="0.25">
      <c r="A115" s="36" t="str">
        <f>Claims!A111</f>
        <v>EXP00110</v>
      </c>
      <c r="B115" s="36" t="str">
        <f>Claims!D111</f>
        <v>M2</v>
      </c>
      <c r="C115" s="36" t="str">
        <f>Claims!E111</f>
        <v>Meals/DA</v>
      </c>
      <c r="D115" s="36" t="str">
        <f>Claims!G111</f>
        <v>Metro</v>
      </c>
      <c r="E115" s="40">
        <f>Claims!H111</f>
        <v>612</v>
      </c>
      <c r="F115" s="36" t="str">
        <f>Claims!K111</f>
        <v>No</v>
      </c>
      <c r="G115" s="36" t="str">
        <f>IF(Claims!M111="","",Claims!M111)</f>
        <v/>
      </c>
      <c r="H115" s="36" t="str">
        <f>IF(Claims!N111="","",Claims!N111)</f>
        <v/>
      </c>
      <c r="I115" s="41">
        <f>Claims!J111-Claims!I111</f>
        <v>9</v>
      </c>
      <c r="J115" s="42" t="str">
        <f t="shared" si="15"/>
        <v>n/a</v>
      </c>
      <c r="K115" s="42" t="str">
        <f t="shared" si="16"/>
        <v>n/a</v>
      </c>
      <c r="L115" s="42" t="str">
        <f t="shared" si="17"/>
        <v>n/a</v>
      </c>
      <c r="M115" s="42" t="str">
        <f t="shared" si="18"/>
        <v>n/a</v>
      </c>
      <c r="N115" s="42" t="str">
        <f t="shared" si="19"/>
        <v>Compliant</v>
      </c>
      <c r="O115" s="42" t="str">
        <f t="shared" si="20"/>
        <v>n/a</v>
      </c>
      <c r="P115" s="42" t="str">
        <f t="shared" si="21"/>
        <v>Violation</v>
      </c>
      <c r="Q115" s="42" t="str">
        <f t="shared" si="22"/>
        <v>Compliant</v>
      </c>
      <c r="R115" s="42" t="str">
        <f t="shared" si="23"/>
        <v>Violation</v>
      </c>
      <c r="S115" s="36" t="str">
        <f t="shared" si="24"/>
        <v>TP-09</v>
      </c>
      <c r="T115" s="42" t="str">
        <f t="shared" si="25"/>
        <v/>
      </c>
      <c r="U115" s="42" t="str">
        <f t="shared" si="26"/>
        <v>Definite</v>
      </c>
      <c r="V115" s="42" t="str">
        <f t="shared" si="27"/>
        <v/>
      </c>
      <c r="W115" s="42" t="str">
        <f t="shared" si="28"/>
        <v/>
      </c>
    </row>
    <row r="116" spans="1:23" ht="15" hidden="1" customHeight="1" x14ac:dyDescent="0.25">
      <c r="A116" s="36" t="str">
        <f>Claims!A112</f>
        <v>EXP00111</v>
      </c>
      <c r="B116" s="36" t="str">
        <f>Claims!D112</f>
        <v>M2</v>
      </c>
      <c r="C116" s="36" t="str">
        <f>Claims!E112</f>
        <v>Hotel</v>
      </c>
      <c r="D116" s="36" t="str">
        <f>Claims!G112</f>
        <v>Non-metro</v>
      </c>
      <c r="E116" s="40">
        <f>Claims!H112</f>
        <v>10179</v>
      </c>
      <c r="F116" s="36" t="str">
        <f>Claims!K112</f>
        <v>Yes</v>
      </c>
      <c r="G116" s="36" t="str">
        <f>IF(Claims!M112="","",Claims!M112)</f>
        <v/>
      </c>
      <c r="H116" s="36" t="str">
        <f>IF(Claims!N112="","",Claims!N112)</f>
        <v/>
      </c>
      <c r="I116" s="41">
        <f>Claims!J112-Claims!I112</f>
        <v>5</v>
      </c>
      <c r="J116" s="42" t="str">
        <f t="shared" si="15"/>
        <v>n/a</v>
      </c>
      <c r="K116" s="42" t="str">
        <f t="shared" si="16"/>
        <v>n/a</v>
      </c>
      <c r="L116" s="42" t="str">
        <f t="shared" si="17"/>
        <v>n/a</v>
      </c>
      <c r="M116" s="42" t="str">
        <f t="shared" si="18"/>
        <v>Violation</v>
      </c>
      <c r="N116" s="42" t="str">
        <f t="shared" si="19"/>
        <v>n/a</v>
      </c>
      <c r="O116" s="42" t="str">
        <f t="shared" si="20"/>
        <v>n/a</v>
      </c>
      <c r="P116" s="42" t="str">
        <f t="shared" si="21"/>
        <v>Compliant</v>
      </c>
      <c r="Q116" s="42" t="str">
        <f t="shared" si="22"/>
        <v>Compliant</v>
      </c>
      <c r="R116" s="42" t="str">
        <f t="shared" si="23"/>
        <v>Violation</v>
      </c>
      <c r="S116" s="36" t="str">
        <f t="shared" si="24"/>
        <v>TP-05</v>
      </c>
      <c r="T116" s="42" t="str">
        <f t="shared" si="25"/>
        <v/>
      </c>
      <c r="U116" s="42" t="str">
        <f t="shared" si="26"/>
        <v>Assumption-based</v>
      </c>
      <c r="V116" s="42">
        <f t="shared" si="27"/>
        <v>3</v>
      </c>
      <c r="W116" s="42" t="str">
        <f t="shared" si="28"/>
        <v>Needs nights</v>
      </c>
    </row>
    <row r="117" spans="1:23" ht="15" hidden="1" customHeight="1" x14ac:dyDescent="0.25">
      <c r="A117" s="36" t="str">
        <f>Claims!A113</f>
        <v>EXP00112</v>
      </c>
      <c r="B117" s="36" t="str">
        <f>Claims!D113</f>
        <v>M4</v>
      </c>
      <c r="C117" s="36" t="str">
        <f>Claims!E113</f>
        <v>Stationery</v>
      </c>
      <c r="D117" s="36" t="str">
        <f>Claims!G113</f>
        <v>Metro</v>
      </c>
      <c r="E117" s="40">
        <f>Claims!H113</f>
        <v>843</v>
      </c>
      <c r="F117" s="36" t="str">
        <f>Claims!K113</f>
        <v>Yes</v>
      </c>
      <c r="G117" s="36" t="str">
        <f>IF(Claims!M113="","",Claims!M113)</f>
        <v/>
      </c>
      <c r="H117" s="36" t="str">
        <f>IF(Claims!N113="","",Claims!N113)</f>
        <v/>
      </c>
      <c r="I117" s="41">
        <f>Claims!J113-Claims!I113</f>
        <v>9</v>
      </c>
      <c r="J117" s="42" t="str">
        <f t="shared" si="15"/>
        <v>n/a</v>
      </c>
      <c r="K117" s="42" t="str">
        <f t="shared" si="16"/>
        <v>n/a</v>
      </c>
      <c r="L117" s="42" t="str">
        <f t="shared" si="17"/>
        <v>n/a</v>
      </c>
      <c r="M117" s="42" t="str">
        <f t="shared" si="18"/>
        <v>n/a</v>
      </c>
      <c r="N117" s="42" t="str">
        <f t="shared" si="19"/>
        <v>n/a</v>
      </c>
      <c r="O117" s="42" t="str">
        <f t="shared" si="20"/>
        <v>n/a</v>
      </c>
      <c r="P117" s="42" t="str">
        <f t="shared" si="21"/>
        <v>Compliant</v>
      </c>
      <c r="Q117" s="42" t="str">
        <f t="shared" si="22"/>
        <v>Compliant</v>
      </c>
      <c r="R117" s="42" t="str">
        <f t="shared" si="23"/>
        <v>Compliant</v>
      </c>
      <c r="S117" s="36" t="str">
        <f t="shared" si="24"/>
        <v/>
      </c>
      <c r="T117" s="42" t="str">
        <f t="shared" si="25"/>
        <v/>
      </c>
      <c r="U117" s="42" t="str">
        <f t="shared" si="26"/>
        <v/>
      </c>
      <c r="V117" s="42" t="str">
        <f t="shared" si="27"/>
        <v/>
      </c>
      <c r="W117" s="42" t="str">
        <f t="shared" si="28"/>
        <v/>
      </c>
    </row>
    <row r="118" spans="1:23" ht="15" hidden="1" customHeight="1" x14ac:dyDescent="0.25">
      <c r="A118" s="36" t="str">
        <f>Claims!A114</f>
        <v>EXP00113</v>
      </c>
      <c r="B118" s="36" t="str">
        <f>Claims!D114</f>
        <v>M2</v>
      </c>
      <c r="C118" s="36" t="str">
        <f>Claims!E114</f>
        <v>Meals/DA</v>
      </c>
      <c r="D118" s="36" t="str">
        <f>Claims!G114</f>
        <v>Non-metro</v>
      </c>
      <c r="E118" s="40">
        <f>Claims!H114</f>
        <v>1550</v>
      </c>
      <c r="F118" s="36" t="str">
        <f>Claims!K114</f>
        <v>Yes</v>
      </c>
      <c r="G118" s="36" t="str">
        <f>IF(Claims!M114="","",Claims!M114)</f>
        <v/>
      </c>
      <c r="H118" s="36" t="str">
        <f>IF(Claims!N114="","",Claims!N114)</f>
        <v/>
      </c>
      <c r="I118" s="41">
        <f>Claims!J114-Claims!I114</f>
        <v>2</v>
      </c>
      <c r="J118" s="42" t="str">
        <f t="shared" si="15"/>
        <v>n/a</v>
      </c>
      <c r="K118" s="42" t="str">
        <f t="shared" si="16"/>
        <v>n/a</v>
      </c>
      <c r="L118" s="42" t="str">
        <f t="shared" si="17"/>
        <v>n/a</v>
      </c>
      <c r="M118" s="42" t="str">
        <f t="shared" si="18"/>
        <v>n/a</v>
      </c>
      <c r="N118" s="42" t="str">
        <f t="shared" si="19"/>
        <v>Violation</v>
      </c>
      <c r="O118" s="42" t="str">
        <f t="shared" si="20"/>
        <v>n/a</v>
      </c>
      <c r="P118" s="42" t="str">
        <f t="shared" si="21"/>
        <v>Compliant</v>
      </c>
      <c r="Q118" s="42" t="str">
        <f t="shared" si="22"/>
        <v>Compliant</v>
      </c>
      <c r="R118" s="42" t="str">
        <f t="shared" si="23"/>
        <v>Violation</v>
      </c>
      <c r="S118" s="36" t="str">
        <f t="shared" si="24"/>
        <v>TP-06</v>
      </c>
      <c r="T118" s="42" t="str">
        <f t="shared" si="25"/>
        <v/>
      </c>
      <c r="U118" s="42" t="str">
        <f t="shared" si="26"/>
        <v>Assumption-based</v>
      </c>
      <c r="V118" s="42">
        <f t="shared" si="27"/>
        <v>2</v>
      </c>
      <c r="W118" s="42" t="str">
        <f t="shared" si="28"/>
        <v>Needs days</v>
      </c>
    </row>
    <row r="119" spans="1:23" ht="15" hidden="1" customHeight="1" x14ac:dyDescent="0.25">
      <c r="A119" s="36" t="str">
        <f>Claims!A115</f>
        <v>EXP00114</v>
      </c>
      <c r="B119" s="36" t="str">
        <f>Claims!D115</f>
        <v>M2</v>
      </c>
      <c r="C119" s="36" t="str">
        <f>Claims!E115</f>
        <v>Local Cab</v>
      </c>
      <c r="D119" s="36" t="str">
        <f>Claims!G115</f>
        <v>Non-metro</v>
      </c>
      <c r="E119" s="40">
        <f>Claims!H115</f>
        <v>880</v>
      </c>
      <c r="F119" s="36" t="str">
        <f>Claims!K115</f>
        <v>No</v>
      </c>
      <c r="G119" s="36" t="str">
        <f>IF(Claims!M115="","",Claims!M115)</f>
        <v/>
      </c>
      <c r="H119" s="36" t="str">
        <f>IF(Claims!N115="","",Claims!N115)</f>
        <v/>
      </c>
      <c r="I119" s="41">
        <f>Claims!J115-Claims!I115</f>
        <v>2</v>
      </c>
      <c r="J119" s="42" t="str">
        <f t="shared" si="15"/>
        <v>n/a</v>
      </c>
      <c r="K119" s="42" t="str">
        <f t="shared" si="16"/>
        <v>n/a</v>
      </c>
      <c r="L119" s="42" t="str">
        <f t="shared" si="17"/>
        <v>n/a</v>
      </c>
      <c r="M119" s="42" t="str">
        <f t="shared" si="18"/>
        <v>n/a</v>
      </c>
      <c r="N119" s="42" t="str">
        <f t="shared" si="19"/>
        <v>n/a</v>
      </c>
      <c r="O119" s="42" t="str">
        <f t="shared" si="20"/>
        <v>n/a</v>
      </c>
      <c r="P119" s="42" t="str">
        <f t="shared" si="21"/>
        <v>Violation</v>
      </c>
      <c r="Q119" s="42" t="str">
        <f t="shared" si="22"/>
        <v>Compliant</v>
      </c>
      <c r="R119" s="42" t="str">
        <f t="shared" si="23"/>
        <v>Violation</v>
      </c>
      <c r="S119" s="36" t="str">
        <f t="shared" si="24"/>
        <v>TP-09</v>
      </c>
      <c r="T119" s="42" t="str">
        <f t="shared" si="25"/>
        <v/>
      </c>
      <c r="U119" s="42" t="str">
        <f t="shared" si="26"/>
        <v>Definite</v>
      </c>
      <c r="V119" s="42" t="str">
        <f t="shared" si="27"/>
        <v/>
      </c>
      <c r="W119" s="42" t="str">
        <f t="shared" si="28"/>
        <v/>
      </c>
    </row>
    <row r="120" spans="1:23" ht="15" hidden="1" customHeight="1" x14ac:dyDescent="0.25">
      <c r="A120" s="36" t="str">
        <f>Claims!A116</f>
        <v>EXP00115</v>
      </c>
      <c r="B120" s="36" t="str">
        <f>Claims!D116</f>
        <v>M3</v>
      </c>
      <c r="C120" s="36" t="str">
        <f>Claims!E116</f>
        <v>Alcohol</v>
      </c>
      <c r="D120" s="36" t="str">
        <f>Claims!G116</f>
        <v>Metro</v>
      </c>
      <c r="E120" s="40">
        <f>Claims!H116</f>
        <v>2712</v>
      </c>
      <c r="F120" s="36" t="str">
        <f>Claims!K116</f>
        <v>Yes</v>
      </c>
      <c r="G120" s="36" t="str">
        <f>IF(Claims!M116="","",Claims!M116)</f>
        <v/>
      </c>
      <c r="H120" s="36" t="str">
        <f>IF(Claims!N116="","",Claims!N116)</f>
        <v/>
      </c>
      <c r="I120" s="41">
        <f>Claims!J116-Claims!I116</f>
        <v>14</v>
      </c>
      <c r="J120" s="42" t="str">
        <f t="shared" si="15"/>
        <v>n/a</v>
      </c>
      <c r="K120" s="42" t="str">
        <f t="shared" si="16"/>
        <v>n/a</v>
      </c>
      <c r="L120" s="42" t="str">
        <f t="shared" si="17"/>
        <v>n/a</v>
      </c>
      <c r="M120" s="42" t="str">
        <f t="shared" si="18"/>
        <v>n/a</v>
      </c>
      <c r="N120" s="42" t="str">
        <f t="shared" si="19"/>
        <v>n/a</v>
      </c>
      <c r="O120" s="42" t="str">
        <f t="shared" si="20"/>
        <v>Violation</v>
      </c>
      <c r="P120" s="42" t="str">
        <f t="shared" si="21"/>
        <v>Compliant</v>
      </c>
      <c r="Q120" s="42" t="str">
        <f t="shared" si="22"/>
        <v>Compliant</v>
      </c>
      <c r="R120" s="42" t="str">
        <f t="shared" si="23"/>
        <v>Violation</v>
      </c>
      <c r="S120" s="36" t="str">
        <f t="shared" si="24"/>
        <v>TP-08</v>
      </c>
      <c r="T120" s="42" t="str">
        <f t="shared" si="25"/>
        <v/>
      </c>
      <c r="U120" s="42" t="str">
        <f t="shared" si="26"/>
        <v>Definite</v>
      </c>
      <c r="V120" s="42" t="str">
        <f t="shared" si="27"/>
        <v/>
      </c>
      <c r="W120" s="42" t="str">
        <f t="shared" si="28"/>
        <v/>
      </c>
    </row>
    <row r="121" spans="1:23" ht="15" hidden="1" customHeight="1" x14ac:dyDescent="0.25">
      <c r="A121" s="36" t="str">
        <f>Claims!A117</f>
        <v>EXP00116</v>
      </c>
      <c r="B121" s="36" t="str">
        <f>Claims!D117</f>
        <v>M3</v>
      </c>
      <c r="C121" s="36" t="str">
        <f>Claims!E117</f>
        <v>Local Cab</v>
      </c>
      <c r="D121" s="36" t="str">
        <f>Claims!G117</f>
        <v>Non-metro</v>
      </c>
      <c r="E121" s="40">
        <f>Claims!H117</f>
        <v>604</v>
      </c>
      <c r="F121" s="36" t="str">
        <f>Claims!K117</f>
        <v>Yes</v>
      </c>
      <c r="G121" s="36" t="str">
        <f>IF(Claims!M117="","",Claims!M117)</f>
        <v/>
      </c>
      <c r="H121" s="36" t="str">
        <f>IF(Claims!N117="","",Claims!N117)</f>
        <v/>
      </c>
      <c r="I121" s="41">
        <f>Claims!J117-Claims!I117</f>
        <v>35</v>
      </c>
      <c r="J121" s="42" t="str">
        <f t="shared" si="15"/>
        <v>n/a</v>
      </c>
      <c r="K121" s="42" t="str">
        <f t="shared" si="16"/>
        <v>n/a</v>
      </c>
      <c r="L121" s="42" t="str">
        <f t="shared" si="17"/>
        <v>n/a</v>
      </c>
      <c r="M121" s="42" t="str">
        <f t="shared" si="18"/>
        <v>n/a</v>
      </c>
      <c r="N121" s="42" t="str">
        <f t="shared" si="19"/>
        <v>n/a</v>
      </c>
      <c r="O121" s="42" t="str">
        <f t="shared" si="20"/>
        <v>n/a</v>
      </c>
      <c r="P121" s="42" t="str">
        <f t="shared" si="21"/>
        <v>Compliant</v>
      </c>
      <c r="Q121" s="42" t="str">
        <f t="shared" si="22"/>
        <v>Violation</v>
      </c>
      <c r="R121" s="42" t="str">
        <f t="shared" si="23"/>
        <v>Violation</v>
      </c>
      <c r="S121" s="36" t="str">
        <f t="shared" si="24"/>
        <v>TP-10</v>
      </c>
      <c r="T121" s="42" t="str">
        <f t="shared" si="25"/>
        <v>Late</v>
      </c>
      <c r="U121" s="42" t="str">
        <f t="shared" si="26"/>
        <v>Definite</v>
      </c>
      <c r="V121" s="42" t="str">
        <f t="shared" si="27"/>
        <v/>
      </c>
      <c r="W121" s="42" t="str">
        <f t="shared" si="28"/>
        <v/>
      </c>
    </row>
    <row r="122" spans="1:23" ht="15" hidden="1" customHeight="1" x14ac:dyDescent="0.25">
      <c r="A122" s="36" t="str">
        <f>Claims!A118</f>
        <v>EXP00117</v>
      </c>
      <c r="B122" s="36" t="str">
        <f>Claims!D118</f>
        <v>M1</v>
      </c>
      <c r="C122" s="36" t="str">
        <f>Claims!E118</f>
        <v>Hotel</v>
      </c>
      <c r="D122" s="36" t="str">
        <f>Claims!G118</f>
        <v>Metro</v>
      </c>
      <c r="E122" s="40">
        <f>Claims!H118</f>
        <v>13285</v>
      </c>
      <c r="F122" s="36" t="str">
        <f>Claims!K118</f>
        <v>Yes</v>
      </c>
      <c r="G122" s="36" t="str">
        <f>IF(Claims!M118="","",Claims!M118)</f>
        <v/>
      </c>
      <c r="H122" s="36" t="str">
        <f>IF(Claims!N118="","",Claims!N118)</f>
        <v/>
      </c>
      <c r="I122" s="41">
        <f>Claims!J118-Claims!I118</f>
        <v>5</v>
      </c>
      <c r="J122" s="42" t="str">
        <f t="shared" si="15"/>
        <v>n/a</v>
      </c>
      <c r="K122" s="42" t="str">
        <f t="shared" si="16"/>
        <v>n/a</v>
      </c>
      <c r="L122" s="42" t="str">
        <f t="shared" si="17"/>
        <v>Violation</v>
      </c>
      <c r="M122" s="42" t="str">
        <f t="shared" si="18"/>
        <v>n/a</v>
      </c>
      <c r="N122" s="42" t="str">
        <f t="shared" si="19"/>
        <v>n/a</v>
      </c>
      <c r="O122" s="42" t="str">
        <f t="shared" si="20"/>
        <v>n/a</v>
      </c>
      <c r="P122" s="42" t="str">
        <f t="shared" si="21"/>
        <v>Compliant</v>
      </c>
      <c r="Q122" s="42" t="str">
        <f t="shared" si="22"/>
        <v>Compliant</v>
      </c>
      <c r="R122" s="42" t="str">
        <f t="shared" si="23"/>
        <v>Violation</v>
      </c>
      <c r="S122" s="36" t="str">
        <f t="shared" si="24"/>
        <v>TP-04</v>
      </c>
      <c r="T122" s="42" t="str">
        <f t="shared" si="25"/>
        <v/>
      </c>
      <c r="U122" s="42" t="str">
        <f t="shared" si="26"/>
        <v>Assumption-based</v>
      </c>
      <c r="V122" s="42">
        <f t="shared" si="27"/>
        <v>2</v>
      </c>
      <c r="W122" s="42" t="str">
        <f t="shared" si="28"/>
        <v>Needs nights</v>
      </c>
    </row>
    <row r="123" spans="1:23" ht="15" hidden="1" customHeight="1" x14ac:dyDescent="0.25">
      <c r="A123" s="36" t="str">
        <f>Claims!A119</f>
        <v>EXP00118</v>
      </c>
      <c r="B123" s="36" t="str">
        <f>Claims!D119</f>
        <v>M5</v>
      </c>
      <c r="C123" s="36" t="str">
        <f>Claims!E119</f>
        <v>Meals/DA</v>
      </c>
      <c r="D123" s="36" t="str">
        <f>Claims!G119</f>
        <v>Non-metro</v>
      </c>
      <c r="E123" s="40">
        <f>Claims!H119</f>
        <v>747</v>
      </c>
      <c r="F123" s="36" t="str">
        <f>Claims!K119</f>
        <v>Yes</v>
      </c>
      <c r="G123" s="36" t="str">
        <f>IF(Claims!M119="","",Claims!M119)</f>
        <v/>
      </c>
      <c r="H123" s="36" t="str">
        <f>IF(Claims!N119="","",Claims!N119)</f>
        <v/>
      </c>
      <c r="I123" s="41">
        <f>Claims!J119-Claims!I119</f>
        <v>5</v>
      </c>
      <c r="J123" s="42" t="str">
        <f t="shared" si="15"/>
        <v>n/a</v>
      </c>
      <c r="K123" s="42" t="str">
        <f t="shared" si="16"/>
        <v>n/a</v>
      </c>
      <c r="L123" s="42" t="str">
        <f t="shared" si="17"/>
        <v>n/a</v>
      </c>
      <c r="M123" s="42" t="str">
        <f t="shared" si="18"/>
        <v>n/a</v>
      </c>
      <c r="N123" s="42" t="str">
        <f t="shared" si="19"/>
        <v>Compliant</v>
      </c>
      <c r="O123" s="42" t="str">
        <f t="shared" si="20"/>
        <v>n/a</v>
      </c>
      <c r="P123" s="42" t="str">
        <f t="shared" si="21"/>
        <v>Compliant</v>
      </c>
      <c r="Q123" s="42" t="str">
        <f t="shared" si="22"/>
        <v>Compliant</v>
      </c>
      <c r="R123" s="42" t="str">
        <f t="shared" si="23"/>
        <v>Compliant</v>
      </c>
      <c r="S123" s="36" t="str">
        <f t="shared" si="24"/>
        <v/>
      </c>
      <c r="T123" s="42" t="str">
        <f t="shared" si="25"/>
        <v/>
      </c>
      <c r="U123" s="42" t="str">
        <f t="shared" si="26"/>
        <v/>
      </c>
      <c r="V123" s="42" t="str">
        <f t="shared" si="27"/>
        <v/>
      </c>
      <c r="W123" s="42" t="str">
        <f t="shared" si="28"/>
        <v/>
      </c>
    </row>
    <row r="124" spans="1:23" ht="15" hidden="1" customHeight="1" x14ac:dyDescent="0.25">
      <c r="A124" s="36" t="str">
        <f>Claims!A120</f>
        <v>EXP00119</v>
      </c>
      <c r="B124" s="36" t="str">
        <f>Claims!D120</f>
        <v>M3</v>
      </c>
      <c r="C124" s="36" t="str">
        <f>Claims!E120</f>
        <v>Flight</v>
      </c>
      <c r="D124" s="36" t="str">
        <f>Claims!G120</f>
        <v>Metro</v>
      </c>
      <c r="E124" s="40">
        <f>Claims!H120</f>
        <v>11905</v>
      </c>
      <c r="F124" s="36" t="str">
        <f>Claims!K120</f>
        <v>Yes</v>
      </c>
      <c r="G124" s="36">
        <f>IF(Claims!M120="","",Claims!M120)</f>
        <v>12</v>
      </c>
      <c r="H124" s="36" t="str">
        <f>IF(Claims!N120="","",Claims!N120)</f>
        <v>Economy</v>
      </c>
      <c r="I124" s="41">
        <f>Claims!J120-Claims!I120</f>
        <v>5</v>
      </c>
      <c r="J124" s="42" t="str">
        <f t="shared" si="15"/>
        <v>Compliant</v>
      </c>
      <c r="K124" s="42" t="str">
        <f t="shared" si="16"/>
        <v>Compliant</v>
      </c>
      <c r="L124" s="42" t="str">
        <f t="shared" si="17"/>
        <v>n/a</v>
      </c>
      <c r="M124" s="42" t="str">
        <f t="shared" si="18"/>
        <v>n/a</v>
      </c>
      <c r="N124" s="42" t="str">
        <f t="shared" si="19"/>
        <v>n/a</v>
      </c>
      <c r="O124" s="42" t="str">
        <f t="shared" si="20"/>
        <v>n/a</v>
      </c>
      <c r="P124" s="42" t="str">
        <f t="shared" si="21"/>
        <v>Compliant</v>
      </c>
      <c r="Q124" s="42" t="str">
        <f t="shared" si="22"/>
        <v>Compliant</v>
      </c>
      <c r="R124" s="42" t="str">
        <f t="shared" si="23"/>
        <v>Compliant</v>
      </c>
      <c r="S124" s="36" t="str">
        <f t="shared" si="24"/>
        <v/>
      </c>
      <c r="T124" s="42" t="str">
        <f t="shared" si="25"/>
        <v/>
      </c>
      <c r="U124" s="42" t="str">
        <f t="shared" si="26"/>
        <v/>
      </c>
      <c r="V124" s="42" t="str">
        <f t="shared" si="27"/>
        <v/>
      </c>
      <c r="W124" s="42" t="str">
        <f t="shared" si="28"/>
        <v/>
      </c>
    </row>
    <row r="125" spans="1:23" ht="15" hidden="1" customHeight="1" x14ac:dyDescent="0.25">
      <c r="A125" s="36" t="str">
        <f>Claims!A121</f>
        <v>EXP00120</v>
      </c>
      <c r="B125" s="36" t="str">
        <f>Claims!D121</f>
        <v>M3</v>
      </c>
      <c r="C125" s="36" t="str">
        <f>Claims!E121</f>
        <v>Train</v>
      </c>
      <c r="D125" s="36" t="str">
        <f>Claims!G121</f>
        <v>Non-metro</v>
      </c>
      <c r="E125" s="40">
        <f>Claims!H121</f>
        <v>2430</v>
      </c>
      <c r="F125" s="36" t="str">
        <f>Claims!K121</f>
        <v>No</v>
      </c>
      <c r="G125" s="36" t="str">
        <f>IF(Claims!M121="","",Claims!M121)</f>
        <v/>
      </c>
      <c r="H125" s="36" t="str">
        <f>IF(Claims!N121="","",Claims!N121)</f>
        <v/>
      </c>
      <c r="I125" s="41">
        <f>Claims!J121-Claims!I121</f>
        <v>20</v>
      </c>
      <c r="J125" s="42" t="str">
        <f t="shared" si="15"/>
        <v>n/a</v>
      </c>
      <c r="K125" s="42" t="str">
        <f t="shared" si="16"/>
        <v>n/a</v>
      </c>
      <c r="L125" s="42" t="str">
        <f t="shared" si="17"/>
        <v>n/a</v>
      </c>
      <c r="M125" s="42" t="str">
        <f t="shared" si="18"/>
        <v>n/a</v>
      </c>
      <c r="N125" s="42" t="str">
        <f t="shared" si="19"/>
        <v>n/a</v>
      </c>
      <c r="O125" s="42" t="str">
        <f t="shared" si="20"/>
        <v>n/a</v>
      </c>
      <c r="P125" s="42" t="str">
        <f t="shared" si="21"/>
        <v>Violation</v>
      </c>
      <c r="Q125" s="42" t="str">
        <f t="shared" si="22"/>
        <v>Violation</v>
      </c>
      <c r="R125" s="42" t="str">
        <f t="shared" si="23"/>
        <v>Violation</v>
      </c>
      <c r="S125" s="36" t="str">
        <f t="shared" si="24"/>
        <v>TP-09, TP-10</v>
      </c>
      <c r="T125" s="42" t="str">
        <f t="shared" si="25"/>
        <v>Late</v>
      </c>
      <c r="U125" s="42" t="str">
        <f t="shared" si="26"/>
        <v>Definite</v>
      </c>
      <c r="V125" s="42" t="str">
        <f t="shared" si="27"/>
        <v/>
      </c>
      <c r="W125" s="42" t="str">
        <f t="shared" si="28"/>
        <v/>
      </c>
    </row>
    <row r="126" spans="1:23" ht="15" hidden="1" customHeight="1" x14ac:dyDescent="0.25">
      <c r="A126" s="36" t="str">
        <f>Claims!A122</f>
        <v>EXP00121</v>
      </c>
      <c r="B126" s="36" t="str">
        <f>Claims!D122</f>
        <v>M1</v>
      </c>
      <c r="C126" s="36" t="str">
        <f>Claims!E122</f>
        <v>Local Cab</v>
      </c>
      <c r="D126" s="36" t="str">
        <f>Claims!G122</f>
        <v>Metro</v>
      </c>
      <c r="E126" s="40">
        <f>Claims!H122</f>
        <v>774</v>
      </c>
      <c r="F126" s="36" t="str">
        <f>Claims!K122</f>
        <v>No</v>
      </c>
      <c r="G126" s="36" t="str">
        <f>IF(Claims!M122="","",Claims!M122)</f>
        <v/>
      </c>
      <c r="H126" s="36" t="str">
        <f>IF(Claims!N122="","",Claims!N122)</f>
        <v/>
      </c>
      <c r="I126" s="41">
        <f>Claims!J122-Claims!I122</f>
        <v>35</v>
      </c>
      <c r="J126" s="42" t="str">
        <f t="shared" si="15"/>
        <v>n/a</v>
      </c>
      <c r="K126" s="42" t="str">
        <f t="shared" si="16"/>
        <v>n/a</v>
      </c>
      <c r="L126" s="42" t="str">
        <f t="shared" si="17"/>
        <v>n/a</v>
      </c>
      <c r="M126" s="42" t="str">
        <f t="shared" si="18"/>
        <v>n/a</v>
      </c>
      <c r="N126" s="42" t="str">
        <f t="shared" si="19"/>
        <v>n/a</v>
      </c>
      <c r="O126" s="42" t="str">
        <f t="shared" si="20"/>
        <v>n/a</v>
      </c>
      <c r="P126" s="42" t="str">
        <f t="shared" si="21"/>
        <v>Violation</v>
      </c>
      <c r="Q126" s="42" t="str">
        <f t="shared" si="22"/>
        <v>Violation</v>
      </c>
      <c r="R126" s="42" t="str">
        <f t="shared" si="23"/>
        <v>Violation</v>
      </c>
      <c r="S126" s="36" t="str">
        <f t="shared" si="24"/>
        <v>TP-09, TP-10</v>
      </c>
      <c r="T126" s="42" t="str">
        <f t="shared" si="25"/>
        <v>Late</v>
      </c>
      <c r="U126" s="42" t="str">
        <f t="shared" si="26"/>
        <v>Definite</v>
      </c>
      <c r="V126" s="42" t="str">
        <f t="shared" si="27"/>
        <v/>
      </c>
      <c r="W126" s="42" t="str">
        <f t="shared" si="28"/>
        <v/>
      </c>
    </row>
    <row r="127" spans="1:23" ht="15" hidden="1" customHeight="1" x14ac:dyDescent="0.25">
      <c r="A127" s="36" t="str">
        <f>Claims!A123</f>
        <v>EXP00122</v>
      </c>
      <c r="B127" s="36" t="str">
        <f>Claims!D123</f>
        <v>M2</v>
      </c>
      <c r="C127" s="36" t="str">
        <f>Claims!E123</f>
        <v>Hotel</v>
      </c>
      <c r="D127" s="36" t="str">
        <f>Claims!G123</f>
        <v>Metro</v>
      </c>
      <c r="E127" s="40">
        <f>Claims!H123</f>
        <v>5989</v>
      </c>
      <c r="F127" s="36" t="str">
        <f>Claims!K123</f>
        <v>Yes</v>
      </c>
      <c r="G127" s="36" t="str">
        <f>IF(Claims!M123="","",Claims!M123)</f>
        <v/>
      </c>
      <c r="H127" s="36" t="str">
        <f>IF(Claims!N123="","",Claims!N123)</f>
        <v/>
      </c>
      <c r="I127" s="41">
        <f>Claims!J123-Claims!I123</f>
        <v>2</v>
      </c>
      <c r="J127" s="42" t="str">
        <f t="shared" si="15"/>
        <v>n/a</v>
      </c>
      <c r="K127" s="42" t="str">
        <f t="shared" si="16"/>
        <v>n/a</v>
      </c>
      <c r="L127" s="42" t="str">
        <f t="shared" si="17"/>
        <v>Compliant</v>
      </c>
      <c r="M127" s="42" t="str">
        <f t="shared" si="18"/>
        <v>n/a</v>
      </c>
      <c r="N127" s="42" t="str">
        <f t="shared" si="19"/>
        <v>n/a</v>
      </c>
      <c r="O127" s="42" t="str">
        <f t="shared" si="20"/>
        <v>n/a</v>
      </c>
      <c r="P127" s="42" t="str">
        <f t="shared" si="21"/>
        <v>Compliant</v>
      </c>
      <c r="Q127" s="42" t="str">
        <f t="shared" si="22"/>
        <v>Compliant</v>
      </c>
      <c r="R127" s="42" t="str">
        <f t="shared" si="23"/>
        <v>Compliant</v>
      </c>
      <c r="S127" s="36" t="str">
        <f t="shared" si="24"/>
        <v/>
      </c>
      <c r="T127" s="42" t="str">
        <f t="shared" si="25"/>
        <v/>
      </c>
      <c r="U127" s="42" t="str">
        <f t="shared" si="26"/>
        <v/>
      </c>
      <c r="V127" s="42" t="str">
        <f t="shared" si="27"/>
        <v/>
      </c>
      <c r="W127" s="42" t="str">
        <f t="shared" si="28"/>
        <v/>
      </c>
    </row>
    <row r="128" spans="1:23" ht="15" hidden="1" customHeight="1" x14ac:dyDescent="0.25">
      <c r="A128" s="36" t="str">
        <f>Claims!A124</f>
        <v>EXP00123</v>
      </c>
      <c r="B128" s="36" t="str">
        <f>Claims!D124</f>
        <v>M4</v>
      </c>
      <c r="C128" s="36" t="str">
        <f>Claims!E124</f>
        <v>Hotel</v>
      </c>
      <c r="D128" s="36" t="str">
        <f>Claims!G124</f>
        <v>Metro</v>
      </c>
      <c r="E128" s="40">
        <f>Claims!H124</f>
        <v>9697</v>
      </c>
      <c r="F128" s="36" t="str">
        <f>Claims!K124</f>
        <v>Yes</v>
      </c>
      <c r="G128" s="36" t="str">
        <f>IF(Claims!M124="","",Claims!M124)</f>
        <v/>
      </c>
      <c r="H128" s="36" t="str">
        <f>IF(Claims!N124="","",Claims!N124)</f>
        <v/>
      </c>
      <c r="I128" s="41">
        <f>Claims!J124-Claims!I124</f>
        <v>9</v>
      </c>
      <c r="J128" s="42" t="str">
        <f t="shared" si="15"/>
        <v>n/a</v>
      </c>
      <c r="K128" s="42" t="str">
        <f t="shared" si="16"/>
        <v>n/a</v>
      </c>
      <c r="L128" s="42" t="str">
        <f t="shared" si="17"/>
        <v>Compliant</v>
      </c>
      <c r="M128" s="42" t="str">
        <f t="shared" si="18"/>
        <v>n/a</v>
      </c>
      <c r="N128" s="42" t="str">
        <f t="shared" si="19"/>
        <v>n/a</v>
      </c>
      <c r="O128" s="42" t="str">
        <f t="shared" si="20"/>
        <v>n/a</v>
      </c>
      <c r="P128" s="42" t="str">
        <f t="shared" si="21"/>
        <v>Compliant</v>
      </c>
      <c r="Q128" s="42" t="str">
        <f t="shared" si="22"/>
        <v>Compliant</v>
      </c>
      <c r="R128" s="42" t="str">
        <f t="shared" si="23"/>
        <v>Compliant</v>
      </c>
      <c r="S128" s="36" t="str">
        <f t="shared" si="24"/>
        <v/>
      </c>
      <c r="T128" s="42" t="str">
        <f t="shared" si="25"/>
        <v/>
      </c>
      <c r="U128" s="42" t="str">
        <f t="shared" si="26"/>
        <v/>
      </c>
      <c r="V128" s="42" t="str">
        <f t="shared" si="27"/>
        <v/>
      </c>
      <c r="W128" s="42" t="str">
        <f t="shared" si="28"/>
        <v/>
      </c>
    </row>
    <row r="129" spans="1:23" ht="15" hidden="1" customHeight="1" x14ac:dyDescent="0.25">
      <c r="A129" s="36" t="str">
        <f>Claims!A125</f>
        <v>EXP00124</v>
      </c>
      <c r="B129" s="36" t="str">
        <f>Claims!D125</f>
        <v>M1</v>
      </c>
      <c r="C129" s="36" t="str">
        <f>Claims!E125</f>
        <v>Hotel</v>
      </c>
      <c r="D129" s="36" t="str">
        <f>Claims!G125</f>
        <v>Non-metro</v>
      </c>
      <c r="E129" s="40">
        <f>Claims!H125</f>
        <v>13692</v>
      </c>
      <c r="F129" s="36" t="str">
        <f>Claims!K125</f>
        <v>Yes</v>
      </c>
      <c r="G129" s="36" t="str">
        <f>IF(Claims!M125="","",Claims!M125)</f>
        <v/>
      </c>
      <c r="H129" s="36" t="str">
        <f>IF(Claims!N125="","",Claims!N125)</f>
        <v/>
      </c>
      <c r="I129" s="41">
        <f>Claims!J125-Claims!I125</f>
        <v>9</v>
      </c>
      <c r="J129" s="42" t="str">
        <f t="shared" si="15"/>
        <v>n/a</v>
      </c>
      <c r="K129" s="42" t="str">
        <f t="shared" si="16"/>
        <v>n/a</v>
      </c>
      <c r="L129" s="42" t="str">
        <f t="shared" si="17"/>
        <v>n/a</v>
      </c>
      <c r="M129" s="42" t="str">
        <f t="shared" si="18"/>
        <v>Violation</v>
      </c>
      <c r="N129" s="42" t="str">
        <f t="shared" si="19"/>
        <v>n/a</v>
      </c>
      <c r="O129" s="42" t="str">
        <f t="shared" si="20"/>
        <v>n/a</v>
      </c>
      <c r="P129" s="42" t="str">
        <f t="shared" si="21"/>
        <v>Compliant</v>
      </c>
      <c r="Q129" s="42" t="str">
        <f t="shared" si="22"/>
        <v>Compliant</v>
      </c>
      <c r="R129" s="42" t="str">
        <f t="shared" si="23"/>
        <v>Violation</v>
      </c>
      <c r="S129" s="36" t="str">
        <f t="shared" si="24"/>
        <v>TP-05</v>
      </c>
      <c r="T129" s="42" t="str">
        <f t="shared" si="25"/>
        <v/>
      </c>
      <c r="U129" s="42" t="str">
        <f t="shared" si="26"/>
        <v>Assumption-based</v>
      </c>
      <c r="V129" s="42">
        <f t="shared" si="27"/>
        <v>4</v>
      </c>
      <c r="W129" s="42" t="str">
        <f t="shared" si="28"/>
        <v>Needs nights</v>
      </c>
    </row>
    <row r="130" spans="1:23" ht="15" hidden="1" customHeight="1" x14ac:dyDescent="0.25">
      <c r="A130" s="36" t="str">
        <f>Claims!A126</f>
        <v>EXP00125</v>
      </c>
      <c r="B130" s="36" t="str">
        <f>Claims!D126</f>
        <v>M1</v>
      </c>
      <c r="C130" s="36" t="str">
        <f>Claims!E126</f>
        <v>Hotel</v>
      </c>
      <c r="D130" s="36" t="str">
        <f>Claims!G126</f>
        <v>Metro</v>
      </c>
      <c r="E130" s="40">
        <f>Claims!H126</f>
        <v>5033</v>
      </c>
      <c r="F130" s="36" t="str">
        <f>Claims!K126</f>
        <v>Yes</v>
      </c>
      <c r="G130" s="36" t="str">
        <f>IF(Claims!M126="","",Claims!M126)</f>
        <v/>
      </c>
      <c r="H130" s="36" t="str">
        <f>IF(Claims!N126="","",Claims!N126)</f>
        <v/>
      </c>
      <c r="I130" s="41">
        <f>Claims!J126-Claims!I126</f>
        <v>2</v>
      </c>
      <c r="J130" s="42" t="str">
        <f t="shared" si="15"/>
        <v>n/a</v>
      </c>
      <c r="K130" s="42" t="str">
        <f t="shared" si="16"/>
        <v>n/a</v>
      </c>
      <c r="L130" s="42" t="str">
        <f t="shared" si="17"/>
        <v>Compliant</v>
      </c>
      <c r="M130" s="42" t="str">
        <f t="shared" si="18"/>
        <v>n/a</v>
      </c>
      <c r="N130" s="42" t="str">
        <f t="shared" si="19"/>
        <v>n/a</v>
      </c>
      <c r="O130" s="42" t="str">
        <f t="shared" si="20"/>
        <v>n/a</v>
      </c>
      <c r="P130" s="42" t="str">
        <f t="shared" si="21"/>
        <v>Compliant</v>
      </c>
      <c r="Q130" s="42" t="str">
        <f t="shared" si="22"/>
        <v>Compliant</v>
      </c>
      <c r="R130" s="42" t="str">
        <f t="shared" si="23"/>
        <v>Compliant</v>
      </c>
      <c r="S130" s="36" t="str">
        <f t="shared" si="24"/>
        <v/>
      </c>
      <c r="T130" s="42" t="str">
        <f t="shared" si="25"/>
        <v/>
      </c>
      <c r="U130" s="42" t="str">
        <f t="shared" si="26"/>
        <v/>
      </c>
      <c r="V130" s="42" t="str">
        <f t="shared" si="27"/>
        <v/>
      </c>
      <c r="W130" s="42" t="str">
        <f t="shared" si="28"/>
        <v/>
      </c>
    </row>
    <row r="131" spans="1:23" ht="15" hidden="1" customHeight="1" x14ac:dyDescent="0.25">
      <c r="A131" s="36" t="str">
        <f>Claims!A127</f>
        <v>EXP00126</v>
      </c>
      <c r="B131" s="36" t="str">
        <f>Claims!D127</f>
        <v>M3</v>
      </c>
      <c r="C131" s="36" t="str">
        <f>Claims!E127</f>
        <v>Client Entertainment</v>
      </c>
      <c r="D131" s="36" t="str">
        <f>Claims!G127</f>
        <v>Non-metro</v>
      </c>
      <c r="E131" s="40">
        <f>Claims!H127</f>
        <v>1568</v>
      </c>
      <c r="F131" s="36" t="str">
        <f>Claims!K127</f>
        <v>Yes</v>
      </c>
      <c r="G131" s="36" t="str">
        <f>IF(Claims!M127="","",Claims!M127)</f>
        <v/>
      </c>
      <c r="H131" s="36" t="str">
        <f>IF(Claims!N127="","",Claims!N127)</f>
        <v/>
      </c>
      <c r="I131" s="41">
        <f>Claims!J127-Claims!I127</f>
        <v>9</v>
      </c>
      <c r="J131" s="42" t="str">
        <f t="shared" si="15"/>
        <v>n/a</v>
      </c>
      <c r="K131" s="42" t="str">
        <f t="shared" si="16"/>
        <v>n/a</v>
      </c>
      <c r="L131" s="42" t="str">
        <f t="shared" si="17"/>
        <v>n/a</v>
      </c>
      <c r="M131" s="42" t="str">
        <f t="shared" si="18"/>
        <v>n/a</v>
      </c>
      <c r="N131" s="42" t="str">
        <f t="shared" si="19"/>
        <v>n/a</v>
      </c>
      <c r="O131" s="42" t="str">
        <f t="shared" si="20"/>
        <v>n/a</v>
      </c>
      <c r="P131" s="42" t="str">
        <f t="shared" si="21"/>
        <v>Compliant</v>
      </c>
      <c r="Q131" s="42" t="str">
        <f t="shared" si="22"/>
        <v>Compliant</v>
      </c>
      <c r="R131" s="42" t="str">
        <f t="shared" si="23"/>
        <v>Compliant</v>
      </c>
      <c r="S131" s="36" t="str">
        <f t="shared" si="24"/>
        <v/>
      </c>
      <c r="T131" s="42" t="str">
        <f t="shared" si="25"/>
        <v/>
      </c>
      <c r="U131" s="42" t="str">
        <f t="shared" si="26"/>
        <v/>
      </c>
      <c r="V131" s="42" t="str">
        <f t="shared" si="27"/>
        <v/>
      </c>
      <c r="W131" s="42" t="str">
        <f t="shared" si="28"/>
        <v/>
      </c>
    </row>
    <row r="132" spans="1:23" ht="15" hidden="1" customHeight="1" x14ac:dyDescent="0.25">
      <c r="A132" s="36" t="str">
        <f>Claims!A128</f>
        <v>EXP00127</v>
      </c>
      <c r="B132" s="36" t="str">
        <f>Claims!D128</f>
        <v>M2</v>
      </c>
      <c r="C132" s="36" t="str">
        <f>Claims!E128</f>
        <v>Flight</v>
      </c>
      <c r="D132" s="36" t="str">
        <f>Claims!G128</f>
        <v>Non-metro</v>
      </c>
      <c r="E132" s="40">
        <f>Claims!H128</f>
        <v>11634</v>
      </c>
      <c r="F132" s="36" t="str">
        <f>Claims!K128</f>
        <v>Yes</v>
      </c>
      <c r="G132" s="36">
        <f>IF(Claims!M128="","",Claims!M128)</f>
        <v>9</v>
      </c>
      <c r="H132" s="36" t="str">
        <f>IF(Claims!N128="","",Claims!N128)</f>
        <v>Economy</v>
      </c>
      <c r="I132" s="41">
        <f>Claims!J128-Claims!I128</f>
        <v>14</v>
      </c>
      <c r="J132" s="42" t="str">
        <f t="shared" si="15"/>
        <v>Compliant</v>
      </c>
      <c r="K132" s="42" t="str">
        <f t="shared" si="16"/>
        <v>Compliant</v>
      </c>
      <c r="L132" s="42" t="str">
        <f t="shared" si="17"/>
        <v>n/a</v>
      </c>
      <c r="M132" s="42" t="str">
        <f t="shared" si="18"/>
        <v>n/a</v>
      </c>
      <c r="N132" s="42" t="str">
        <f t="shared" si="19"/>
        <v>n/a</v>
      </c>
      <c r="O132" s="42" t="str">
        <f t="shared" si="20"/>
        <v>n/a</v>
      </c>
      <c r="P132" s="42" t="str">
        <f t="shared" si="21"/>
        <v>Compliant</v>
      </c>
      <c r="Q132" s="42" t="str">
        <f t="shared" si="22"/>
        <v>Compliant</v>
      </c>
      <c r="R132" s="42" t="str">
        <f t="shared" si="23"/>
        <v>Compliant</v>
      </c>
      <c r="S132" s="36" t="str">
        <f t="shared" si="24"/>
        <v/>
      </c>
      <c r="T132" s="42" t="str">
        <f t="shared" si="25"/>
        <v/>
      </c>
      <c r="U132" s="42" t="str">
        <f t="shared" si="26"/>
        <v/>
      </c>
      <c r="V132" s="42" t="str">
        <f t="shared" si="27"/>
        <v/>
      </c>
      <c r="W132" s="42" t="str">
        <f t="shared" si="28"/>
        <v/>
      </c>
    </row>
    <row r="133" spans="1:23" ht="15" hidden="1" customHeight="1" x14ac:dyDescent="0.25">
      <c r="A133" s="36" t="str">
        <f>Claims!A129</f>
        <v>EXP00128</v>
      </c>
      <c r="B133" s="36" t="str">
        <f>Claims!D129</f>
        <v>M3</v>
      </c>
      <c r="C133" s="36" t="str">
        <f>Claims!E129</f>
        <v>Local Cab</v>
      </c>
      <c r="D133" s="36" t="str">
        <f>Claims!G129</f>
        <v>Metro</v>
      </c>
      <c r="E133" s="40">
        <f>Claims!H129</f>
        <v>1041</v>
      </c>
      <c r="F133" s="36" t="str">
        <f>Claims!K129</f>
        <v>Yes</v>
      </c>
      <c r="G133" s="36" t="str">
        <f>IF(Claims!M129="","",Claims!M129)</f>
        <v/>
      </c>
      <c r="H133" s="36" t="str">
        <f>IF(Claims!N129="","",Claims!N129)</f>
        <v/>
      </c>
      <c r="I133" s="41">
        <f>Claims!J129-Claims!I129</f>
        <v>5</v>
      </c>
      <c r="J133" s="42" t="str">
        <f t="shared" si="15"/>
        <v>n/a</v>
      </c>
      <c r="K133" s="42" t="str">
        <f t="shared" si="16"/>
        <v>n/a</v>
      </c>
      <c r="L133" s="42" t="str">
        <f t="shared" si="17"/>
        <v>n/a</v>
      </c>
      <c r="M133" s="42" t="str">
        <f t="shared" si="18"/>
        <v>n/a</v>
      </c>
      <c r="N133" s="42" t="str">
        <f t="shared" si="19"/>
        <v>n/a</v>
      </c>
      <c r="O133" s="42" t="str">
        <f t="shared" si="20"/>
        <v>n/a</v>
      </c>
      <c r="P133" s="42" t="str">
        <f t="shared" si="21"/>
        <v>Compliant</v>
      </c>
      <c r="Q133" s="42" t="str">
        <f t="shared" si="22"/>
        <v>Compliant</v>
      </c>
      <c r="R133" s="42" t="str">
        <f t="shared" si="23"/>
        <v>Compliant</v>
      </c>
      <c r="S133" s="36" t="str">
        <f t="shared" si="24"/>
        <v/>
      </c>
      <c r="T133" s="42" t="str">
        <f t="shared" si="25"/>
        <v/>
      </c>
      <c r="U133" s="42" t="str">
        <f t="shared" si="26"/>
        <v/>
      </c>
      <c r="V133" s="42" t="str">
        <f t="shared" si="27"/>
        <v/>
      </c>
      <c r="W133" s="42" t="str">
        <f t="shared" si="28"/>
        <v/>
      </c>
    </row>
    <row r="134" spans="1:23" ht="15" hidden="1" customHeight="1" x14ac:dyDescent="0.25">
      <c r="A134" s="36" t="str">
        <f>Claims!A130</f>
        <v>EXP00129</v>
      </c>
      <c r="B134" s="36" t="str">
        <f>Claims!D130</f>
        <v>M3</v>
      </c>
      <c r="C134" s="36" t="str">
        <f>Claims!E130</f>
        <v>Hotel</v>
      </c>
      <c r="D134" s="36" t="str">
        <f>Claims!G130</f>
        <v>Metro</v>
      </c>
      <c r="E134" s="40">
        <f>Claims!H130</f>
        <v>4823</v>
      </c>
      <c r="F134" s="36" t="str">
        <f>Claims!K130</f>
        <v>Yes</v>
      </c>
      <c r="G134" s="36" t="str">
        <f>IF(Claims!M130="","",Claims!M130)</f>
        <v/>
      </c>
      <c r="H134" s="36" t="str">
        <f>IF(Claims!N130="","",Claims!N130)</f>
        <v/>
      </c>
      <c r="I134" s="41">
        <f>Claims!J130-Claims!I130</f>
        <v>14</v>
      </c>
      <c r="J134" s="42" t="str">
        <f t="shared" ref="J134:J197" si="29">IF(C134=Lbl_Flight,IF(AND(H134=Lbl_Business,INDEX(Biz_Permitted,MATCH(B134,Caps_Grade,0))=Lbl_BizNo),Lbl_Viol,Lbl_Comp),Lbl_NA)</f>
        <v>n/a</v>
      </c>
      <c r="K134" s="42" t="str">
        <f t="shared" ref="K134:K197" si="30">IF(C134=Lbl_Flight,IF(G134&lt;Min_Days_Booked,Lbl_Viol,Lbl_Comp),Lbl_NA)</f>
        <v>n/a</v>
      </c>
      <c r="L134" s="42" t="str">
        <f t="shared" ref="L134:L197" si="31">IF(AND(C134=Lbl_Hotel,D134=Lbl_Metro),IF(E134&gt;INDEX(Caps_Metro,MATCH(B134,Caps_Grade,0)),Lbl_Viol,Lbl_Comp),Lbl_NA)</f>
        <v>Compliant</v>
      </c>
      <c r="M134" s="42" t="str">
        <f t="shared" ref="M134:M197" si="32">IF(AND(C134=Lbl_Hotel,D134=Lbl_NonMetro),IF(E134&gt;INDEX(Caps_NonMetro,MATCH(B134,Caps_Grade,0)),Lbl_Viol,Lbl_Comp),Lbl_NA)</f>
        <v>n/a</v>
      </c>
      <c r="N134" s="42" t="str">
        <f t="shared" ref="N134:N197" si="33">IF(C134=Lbl_Meals,IF(E134&gt;IF(D134=Lbl_Metro,Limit_Metro,Limit_NonMetro),Lbl_Viol,Lbl_Comp),Lbl_NA)</f>
        <v>n/a</v>
      </c>
      <c r="O134" s="42" t="str">
        <f t="shared" ref="O134:O197" si="34">IF(C134=Lbl_Alcohol,Lbl_Viol,Lbl_NA)</f>
        <v>n/a</v>
      </c>
      <c r="P134" s="42" t="str">
        <f t="shared" ref="P134:P197" si="35">IF(AND(F134=Lbl_NoReceipt,E134&gt;Receipt_Threshold),Lbl_Viol,Lbl_Comp)</f>
        <v>Compliant</v>
      </c>
      <c r="Q134" s="42" t="str">
        <f t="shared" ref="Q134:Q197" si="36">IF(I134&gt;Late_Days,Lbl_Viol,Lbl_Comp)</f>
        <v>Compliant</v>
      </c>
      <c r="R134" s="42" t="str">
        <f t="shared" ref="R134:R197" si="37">IF(COUNTIF(J134:Q134,Lbl_Viol)&gt;0,Lbl_Viol,Lbl_Comp)</f>
        <v>Compliant</v>
      </c>
      <c r="S134" s="36" t="str">
        <f t="shared" ref="S134:S197" si="38">_xlfn.TEXTJOIN(", ",TRUE(),IF(J134=Lbl_Viol,J$5,""),IF(K134=Lbl_Viol,K$5,""),IF(L134=Lbl_Viol,L$5,""),IF(M134=Lbl_Viol,M$5,""),IF(N134=Lbl_Viol,N$5,""),IF(O134=Lbl_Viol,O$5,""),IF(P134=Lbl_Viol,P$5,""),IF(Q134=Lbl_Viol,Q$5,""))</f>
        <v/>
      </c>
      <c r="T134" s="42" t="str">
        <f t="shared" ref="T134:T197" si="39">IF(Q134=Lbl_Viol,IF(I134&gt;Expired_Days,Lbl_Expired,Lbl_Late),"")</f>
        <v/>
      </c>
      <c r="U134" s="42" t="str">
        <f t="shared" ref="U134:U197" si="40">IF(R134=Lbl_Comp,"",IF(SUMPRODUCT((J134:Q134=Lbl_Viol)*(J$4:Q$4=Lbl_Definite))&gt;0,Lbl_Definite,Lbl_Assumption))</f>
        <v/>
      </c>
      <c r="V134" s="42" t="str">
        <f t="shared" ref="V134:V197" si="41">IF(L134=Lbl_Viol,ROUNDUP(E134/INDEX(Caps_Metro,MATCH(B134,Caps_Grade,0)),0),IF(M134=Lbl_Viol,ROUNDUP(E134/INDEX(Caps_NonMetro,MATCH(B134,Caps_Grade,0)),0),IF(N134=Lbl_Viol,ROUNDUP(E134/IF(D134=Lbl_Metro,Limit_Metro,Limit_NonMetro),0),"")))</f>
        <v/>
      </c>
      <c r="W134" s="42" t="str">
        <f t="shared" ref="W134:W197" si="42">IF(OR(L134=Lbl_Viol,M134=Lbl_Viol),Lbl_NeedNights,IF(N134=Lbl_Viol,Lbl_NeedDays,IF(K134=Lbl_Viol,Lbl_NeedApproval,"")))</f>
        <v/>
      </c>
    </row>
    <row r="135" spans="1:23" ht="15" hidden="1" customHeight="1" x14ac:dyDescent="0.25">
      <c r="A135" s="36" t="str">
        <f>Claims!A131</f>
        <v>EXP00130</v>
      </c>
      <c r="B135" s="36" t="str">
        <f>Claims!D131</f>
        <v>M2</v>
      </c>
      <c r="C135" s="36" t="str">
        <f>Claims!E131</f>
        <v>Local Cab</v>
      </c>
      <c r="D135" s="36" t="str">
        <f>Claims!G131</f>
        <v>Metro</v>
      </c>
      <c r="E135" s="40">
        <f>Claims!H131</f>
        <v>405</v>
      </c>
      <c r="F135" s="36" t="str">
        <f>Claims!K131</f>
        <v>Yes</v>
      </c>
      <c r="G135" s="36" t="str">
        <f>IF(Claims!M131="","",Claims!M131)</f>
        <v/>
      </c>
      <c r="H135" s="36" t="str">
        <f>IF(Claims!N131="","",Claims!N131)</f>
        <v/>
      </c>
      <c r="I135" s="41">
        <f>Claims!J131-Claims!I131</f>
        <v>2</v>
      </c>
      <c r="J135" s="42" t="str">
        <f t="shared" si="29"/>
        <v>n/a</v>
      </c>
      <c r="K135" s="42" t="str">
        <f t="shared" si="30"/>
        <v>n/a</v>
      </c>
      <c r="L135" s="42" t="str">
        <f t="shared" si="31"/>
        <v>n/a</v>
      </c>
      <c r="M135" s="42" t="str">
        <f t="shared" si="32"/>
        <v>n/a</v>
      </c>
      <c r="N135" s="42" t="str">
        <f t="shared" si="33"/>
        <v>n/a</v>
      </c>
      <c r="O135" s="42" t="str">
        <f t="shared" si="34"/>
        <v>n/a</v>
      </c>
      <c r="P135" s="42" t="str">
        <f t="shared" si="35"/>
        <v>Compliant</v>
      </c>
      <c r="Q135" s="42" t="str">
        <f t="shared" si="36"/>
        <v>Compliant</v>
      </c>
      <c r="R135" s="42" t="str">
        <f t="shared" si="37"/>
        <v>Compliant</v>
      </c>
      <c r="S135" s="36" t="str">
        <f t="shared" si="38"/>
        <v/>
      </c>
      <c r="T135" s="42" t="str">
        <f t="shared" si="39"/>
        <v/>
      </c>
      <c r="U135" s="42" t="str">
        <f t="shared" si="40"/>
        <v/>
      </c>
      <c r="V135" s="42" t="str">
        <f t="shared" si="41"/>
        <v/>
      </c>
      <c r="W135" s="42" t="str">
        <f t="shared" si="42"/>
        <v/>
      </c>
    </row>
    <row r="136" spans="1:23" ht="15" hidden="1" customHeight="1" x14ac:dyDescent="0.25">
      <c r="A136" s="36" t="str">
        <f>Claims!A132</f>
        <v>EXP00131</v>
      </c>
      <c r="B136" s="36" t="str">
        <f>Claims!D132</f>
        <v>M1</v>
      </c>
      <c r="C136" s="36" t="str">
        <f>Claims!E132</f>
        <v>Hotel</v>
      </c>
      <c r="D136" s="36" t="str">
        <f>Claims!G132</f>
        <v>Metro</v>
      </c>
      <c r="E136" s="40">
        <f>Claims!H132</f>
        <v>6308</v>
      </c>
      <c r="F136" s="36" t="str">
        <f>Claims!K132</f>
        <v>Yes</v>
      </c>
      <c r="G136" s="36" t="str">
        <f>IF(Claims!M132="","",Claims!M132)</f>
        <v/>
      </c>
      <c r="H136" s="36" t="str">
        <f>IF(Claims!N132="","",Claims!N132)</f>
        <v/>
      </c>
      <c r="I136" s="41">
        <f>Claims!J132-Claims!I132</f>
        <v>9</v>
      </c>
      <c r="J136" s="42" t="str">
        <f t="shared" si="29"/>
        <v>n/a</v>
      </c>
      <c r="K136" s="42" t="str">
        <f t="shared" si="30"/>
        <v>n/a</v>
      </c>
      <c r="L136" s="42" t="str">
        <f t="shared" si="31"/>
        <v>Compliant</v>
      </c>
      <c r="M136" s="42" t="str">
        <f t="shared" si="32"/>
        <v>n/a</v>
      </c>
      <c r="N136" s="42" t="str">
        <f t="shared" si="33"/>
        <v>n/a</v>
      </c>
      <c r="O136" s="42" t="str">
        <f t="shared" si="34"/>
        <v>n/a</v>
      </c>
      <c r="P136" s="42" t="str">
        <f t="shared" si="35"/>
        <v>Compliant</v>
      </c>
      <c r="Q136" s="42" t="str">
        <f t="shared" si="36"/>
        <v>Compliant</v>
      </c>
      <c r="R136" s="42" t="str">
        <f t="shared" si="37"/>
        <v>Compliant</v>
      </c>
      <c r="S136" s="36" t="str">
        <f t="shared" si="38"/>
        <v/>
      </c>
      <c r="T136" s="42" t="str">
        <f t="shared" si="39"/>
        <v/>
      </c>
      <c r="U136" s="42" t="str">
        <f t="shared" si="40"/>
        <v/>
      </c>
      <c r="V136" s="42" t="str">
        <f t="shared" si="41"/>
        <v/>
      </c>
      <c r="W136" s="42" t="str">
        <f t="shared" si="42"/>
        <v/>
      </c>
    </row>
    <row r="137" spans="1:23" ht="15" hidden="1" customHeight="1" x14ac:dyDescent="0.25">
      <c r="A137" s="36" t="str">
        <f>Claims!A133</f>
        <v>EXP00132</v>
      </c>
      <c r="B137" s="36" t="str">
        <f>Claims!D133</f>
        <v>M1</v>
      </c>
      <c r="C137" s="36" t="str">
        <f>Claims!E133</f>
        <v>Hotel</v>
      </c>
      <c r="D137" s="36" t="str">
        <f>Claims!G133</f>
        <v>Metro</v>
      </c>
      <c r="E137" s="40">
        <f>Claims!H133</f>
        <v>3496</v>
      </c>
      <c r="F137" s="36" t="str">
        <f>Claims!K133</f>
        <v>Yes</v>
      </c>
      <c r="G137" s="36" t="str">
        <f>IF(Claims!M133="","",Claims!M133)</f>
        <v/>
      </c>
      <c r="H137" s="36" t="str">
        <f>IF(Claims!N133="","",Claims!N133)</f>
        <v/>
      </c>
      <c r="I137" s="41">
        <f>Claims!J133-Claims!I133</f>
        <v>20</v>
      </c>
      <c r="J137" s="42" t="str">
        <f t="shared" si="29"/>
        <v>n/a</v>
      </c>
      <c r="K137" s="42" t="str">
        <f t="shared" si="30"/>
        <v>n/a</v>
      </c>
      <c r="L137" s="42" t="str">
        <f t="shared" si="31"/>
        <v>Compliant</v>
      </c>
      <c r="M137" s="42" t="str">
        <f t="shared" si="32"/>
        <v>n/a</v>
      </c>
      <c r="N137" s="42" t="str">
        <f t="shared" si="33"/>
        <v>n/a</v>
      </c>
      <c r="O137" s="42" t="str">
        <f t="shared" si="34"/>
        <v>n/a</v>
      </c>
      <c r="P137" s="42" t="str">
        <f t="shared" si="35"/>
        <v>Compliant</v>
      </c>
      <c r="Q137" s="42" t="str">
        <f t="shared" si="36"/>
        <v>Violation</v>
      </c>
      <c r="R137" s="42" t="str">
        <f t="shared" si="37"/>
        <v>Violation</v>
      </c>
      <c r="S137" s="36" t="str">
        <f t="shared" si="38"/>
        <v>TP-10</v>
      </c>
      <c r="T137" s="42" t="str">
        <f t="shared" si="39"/>
        <v>Late</v>
      </c>
      <c r="U137" s="42" t="str">
        <f t="shared" si="40"/>
        <v>Definite</v>
      </c>
      <c r="V137" s="42" t="str">
        <f t="shared" si="41"/>
        <v/>
      </c>
      <c r="W137" s="42" t="str">
        <f t="shared" si="42"/>
        <v/>
      </c>
    </row>
    <row r="138" spans="1:23" ht="15" hidden="1" customHeight="1" x14ac:dyDescent="0.25">
      <c r="A138" s="36" t="str">
        <f>Claims!A134</f>
        <v>EXP00133</v>
      </c>
      <c r="B138" s="36" t="str">
        <f>Claims!D134</f>
        <v>M2</v>
      </c>
      <c r="C138" s="36" t="str">
        <f>Claims!E134</f>
        <v>Meals/DA</v>
      </c>
      <c r="D138" s="36" t="str">
        <f>Claims!G134</f>
        <v>Metro</v>
      </c>
      <c r="E138" s="40">
        <f>Claims!H134</f>
        <v>2169</v>
      </c>
      <c r="F138" s="36" t="str">
        <f>Claims!K134</f>
        <v>Yes</v>
      </c>
      <c r="G138" s="36" t="str">
        <f>IF(Claims!M134="","",Claims!M134)</f>
        <v/>
      </c>
      <c r="H138" s="36" t="str">
        <f>IF(Claims!N134="","",Claims!N134)</f>
        <v/>
      </c>
      <c r="I138" s="41">
        <f>Claims!J134-Claims!I134</f>
        <v>2</v>
      </c>
      <c r="J138" s="42" t="str">
        <f t="shared" si="29"/>
        <v>n/a</v>
      </c>
      <c r="K138" s="42" t="str">
        <f t="shared" si="30"/>
        <v>n/a</v>
      </c>
      <c r="L138" s="42" t="str">
        <f t="shared" si="31"/>
        <v>n/a</v>
      </c>
      <c r="M138" s="42" t="str">
        <f t="shared" si="32"/>
        <v>n/a</v>
      </c>
      <c r="N138" s="42" t="str">
        <f t="shared" si="33"/>
        <v>Violation</v>
      </c>
      <c r="O138" s="42" t="str">
        <f t="shared" si="34"/>
        <v>n/a</v>
      </c>
      <c r="P138" s="42" t="str">
        <f t="shared" si="35"/>
        <v>Compliant</v>
      </c>
      <c r="Q138" s="42" t="str">
        <f t="shared" si="36"/>
        <v>Compliant</v>
      </c>
      <c r="R138" s="42" t="str">
        <f t="shared" si="37"/>
        <v>Violation</v>
      </c>
      <c r="S138" s="36" t="str">
        <f t="shared" si="38"/>
        <v>TP-06</v>
      </c>
      <c r="T138" s="42" t="str">
        <f t="shared" si="39"/>
        <v/>
      </c>
      <c r="U138" s="42" t="str">
        <f t="shared" si="40"/>
        <v>Assumption-based</v>
      </c>
      <c r="V138" s="42">
        <f t="shared" si="41"/>
        <v>2</v>
      </c>
      <c r="W138" s="42" t="str">
        <f t="shared" si="42"/>
        <v>Needs days</v>
      </c>
    </row>
    <row r="139" spans="1:23" ht="15" hidden="1" customHeight="1" x14ac:dyDescent="0.25">
      <c r="A139" s="36" t="str">
        <f>Claims!A135</f>
        <v>EXP00134</v>
      </c>
      <c r="B139" s="36" t="str">
        <f>Claims!D135</f>
        <v>M1</v>
      </c>
      <c r="C139" s="36" t="str">
        <f>Claims!E135</f>
        <v>Train</v>
      </c>
      <c r="D139" s="36" t="str">
        <f>Claims!G135</f>
        <v>Non-metro</v>
      </c>
      <c r="E139" s="40">
        <f>Claims!H135</f>
        <v>3050</v>
      </c>
      <c r="F139" s="36" t="str">
        <f>Claims!K135</f>
        <v>No</v>
      </c>
      <c r="G139" s="36" t="str">
        <f>IF(Claims!M135="","",Claims!M135)</f>
        <v/>
      </c>
      <c r="H139" s="36" t="str">
        <f>IF(Claims!N135="","",Claims!N135)</f>
        <v/>
      </c>
      <c r="I139" s="41">
        <f>Claims!J135-Claims!I135</f>
        <v>5</v>
      </c>
      <c r="J139" s="42" t="str">
        <f t="shared" si="29"/>
        <v>n/a</v>
      </c>
      <c r="K139" s="42" t="str">
        <f t="shared" si="30"/>
        <v>n/a</v>
      </c>
      <c r="L139" s="42" t="str">
        <f t="shared" si="31"/>
        <v>n/a</v>
      </c>
      <c r="M139" s="42" t="str">
        <f t="shared" si="32"/>
        <v>n/a</v>
      </c>
      <c r="N139" s="42" t="str">
        <f t="shared" si="33"/>
        <v>n/a</v>
      </c>
      <c r="O139" s="42" t="str">
        <f t="shared" si="34"/>
        <v>n/a</v>
      </c>
      <c r="P139" s="42" t="str">
        <f t="shared" si="35"/>
        <v>Violation</v>
      </c>
      <c r="Q139" s="42" t="str">
        <f t="shared" si="36"/>
        <v>Compliant</v>
      </c>
      <c r="R139" s="42" t="str">
        <f t="shared" si="37"/>
        <v>Violation</v>
      </c>
      <c r="S139" s="36" t="str">
        <f t="shared" si="38"/>
        <v>TP-09</v>
      </c>
      <c r="T139" s="42" t="str">
        <f t="shared" si="39"/>
        <v/>
      </c>
      <c r="U139" s="42" t="str">
        <f t="shared" si="40"/>
        <v>Definite</v>
      </c>
      <c r="V139" s="42" t="str">
        <f t="shared" si="41"/>
        <v/>
      </c>
      <c r="W139" s="42" t="str">
        <f t="shared" si="42"/>
        <v/>
      </c>
    </row>
    <row r="140" spans="1:23" ht="15" hidden="1" customHeight="1" x14ac:dyDescent="0.25">
      <c r="A140" s="36" t="str">
        <f>Claims!A136</f>
        <v>EXP00135</v>
      </c>
      <c r="B140" s="36" t="str">
        <f>Claims!D136</f>
        <v>M5</v>
      </c>
      <c r="C140" s="36" t="str">
        <f>Claims!E136</f>
        <v>Meals/DA</v>
      </c>
      <c r="D140" s="36" t="str">
        <f>Claims!G136</f>
        <v>Non-metro</v>
      </c>
      <c r="E140" s="40">
        <f>Claims!H136</f>
        <v>2133</v>
      </c>
      <c r="F140" s="36" t="str">
        <f>Claims!K136</f>
        <v>Yes</v>
      </c>
      <c r="G140" s="36" t="str">
        <f>IF(Claims!M136="","",Claims!M136)</f>
        <v/>
      </c>
      <c r="H140" s="36" t="str">
        <f>IF(Claims!N136="","",Claims!N136)</f>
        <v/>
      </c>
      <c r="I140" s="41">
        <f>Claims!J136-Claims!I136</f>
        <v>9</v>
      </c>
      <c r="J140" s="42" t="str">
        <f t="shared" si="29"/>
        <v>n/a</v>
      </c>
      <c r="K140" s="42" t="str">
        <f t="shared" si="30"/>
        <v>n/a</v>
      </c>
      <c r="L140" s="42" t="str">
        <f t="shared" si="31"/>
        <v>n/a</v>
      </c>
      <c r="M140" s="42" t="str">
        <f t="shared" si="32"/>
        <v>n/a</v>
      </c>
      <c r="N140" s="42" t="str">
        <f t="shared" si="33"/>
        <v>Violation</v>
      </c>
      <c r="O140" s="42" t="str">
        <f t="shared" si="34"/>
        <v>n/a</v>
      </c>
      <c r="P140" s="42" t="str">
        <f t="shared" si="35"/>
        <v>Compliant</v>
      </c>
      <c r="Q140" s="42" t="str">
        <f t="shared" si="36"/>
        <v>Compliant</v>
      </c>
      <c r="R140" s="42" t="str">
        <f t="shared" si="37"/>
        <v>Violation</v>
      </c>
      <c r="S140" s="36" t="str">
        <f t="shared" si="38"/>
        <v>TP-06</v>
      </c>
      <c r="T140" s="42" t="str">
        <f t="shared" si="39"/>
        <v/>
      </c>
      <c r="U140" s="42" t="str">
        <f t="shared" si="40"/>
        <v>Assumption-based</v>
      </c>
      <c r="V140" s="42">
        <f t="shared" si="41"/>
        <v>3</v>
      </c>
      <c r="W140" s="42" t="str">
        <f t="shared" si="42"/>
        <v>Needs days</v>
      </c>
    </row>
    <row r="141" spans="1:23" ht="15" hidden="1" customHeight="1" x14ac:dyDescent="0.25">
      <c r="A141" s="36" t="str">
        <f>Claims!A137</f>
        <v>EXP00136</v>
      </c>
      <c r="B141" s="36" t="str">
        <f>Claims!D137</f>
        <v>M1</v>
      </c>
      <c r="C141" s="36" t="str">
        <f>Claims!E137</f>
        <v>Hotel</v>
      </c>
      <c r="D141" s="36" t="str">
        <f>Claims!G137</f>
        <v>Non-metro</v>
      </c>
      <c r="E141" s="40">
        <f>Claims!H137</f>
        <v>5367</v>
      </c>
      <c r="F141" s="36" t="str">
        <f>Claims!K137</f>
        <v>Yes</v>
      </c>
      <c r="G141" s="36" t="str">
        <f>IF(Claims!M137="","",Claims!M137)</f>
        <v/>
      </c>
      <c r="H141" s="36" t="str">
        <f>IF(Claims!N137="","",Claims!N137)</f>
        <v/>
      </c>
      <c r="I141" s="41">
        <f>Claims!J137-Claims!I137</f>
        <v>5</v>
      </c>
      <c r="J141" s="42" t="str">
        <f t="shared" si="29"/>
        <v>n/a</v>
      </c>
      <c r="K141" s="42" t="str">
        <f t="shared" si="30"/>
        <v>n/a</v>
      </c>
      <c r="L141" s="42" t="str">
        <f t="shared" si="31"/>
        <v>n/a</v>
      </c>
      <c r="M141" s="42" t="str">
        <f t="shared" si="32"/>
        <v>Violation</v>
      </c>
      <c r="N141" s="42" t="str">
        <f t="shared" si="33"/>
        <v>n/a</v>
      </c>
      <c r="O141" s="42" t="str">
        <f t="shared" si="34"/>
        <v>n/a</v>
      </c>
      <c r="P141" s="42" t="str">
        <f t="shared" si="35"/>
        <v>Compliant</v>
      </c>
      <c r="Q141" s="42" t="str">
        <f t="shared" si="36"/>
        <v>Compliant</v>
      </c>
      <c r="R141" s="42" t="str">
        <f t="shared" si="37"/>
        <v>Violation</v>
      </c>
      <c r="S141" s="36" t="str">
        <f t="shared" si="38"/>
        <v>TP-05</v>
      </c>
      <c r="T141" s="42" t="str">
        <f t="shared" si="39"/>
        <v/>
      </c>
      <c r="U141" s="42" t="str">
        <f t="shared" si="40"/>
        <v>Assumption-based</v>
      </c>
      <c r="V141" s="42">
        <f t="shared" si="41"/>
        <v>2</v>
      </c>
      <c r="W141" s="42" t="str">
        <f t="shared" si="42"/>
        <v>Needs nights</v>
      </c>
    </row>
    <row r="142" spans="1:23" ht="15" hidden="1" customHeight="1" x14ac:dyDescent="0.25">
      <c r="A142" s="36" t="str">
        <f>Claims!A138</f>
        <v>EXP00137</v>
      </c>
      <c r="B142" s="36" t="str">
        <f>Claims!D138</f>
        <v>M2</v>
      </c>
      <c r="C142" s="36" t="str">
        <f>Claims!E138</f>
        <v>Local Cab</v>
      </c>
      <c r="D142" s="36" t="str">
        <f>Claims!G138</f>
        <v>Non-metro</v>
      </c>
      <c r="E142" s="40">
        <f>Claims!H138</f>
        <v>1957</v>
      </c>
      <c r="F142" s="36" t="str">
        <f>Claims!K138</f>
        <v>Yes</v>
      </c>
      <c r="G142" s="36" t="str">
        <f>IF(Claims!M138="","",Claims!M138)</f>
        <v/>
      </c>
      <c r="H142" s="36" t="str">
        <f>IF(Claims!N138="","",Claims!N138)</f>
        <v/>
      </c>
      <c r="I142" s="41">
        <f>Claims!J138-Claims!I138</f>
        <v>5</v>
      </c>
      <c r="J142" s="42" t="str">
        <f t="shared" si="29"/>
        <v>n/a</v>
      </c>
      <c r="K142" s="42" t="str">
        <f t="shared" si="30"/>
        <v>n/a</v>
      </c>
      <c r="L142" s="42" t="str">
        <f t="shared" si="31"/>
        <v>n/a</v>
      </c>
      <c r="M142" s="42" t="str">
        <f t="shared" si="32"/>
        <v>n/a</v>
      </c>
      <c r="N142" s="42" t="str">
        <f t="shared" si="33"/>
        <v>n/a</v>
      </c>
      <c r="O142" s="42" t="str">
        <f t="shared" si="34"/>
        <v>n/a</v>
      </c>
      <c r="P142" s="42" t="str">
        <f t="shared" si="35"/>
        <v>Compliant</v>
      </c>
      <c r="Q142" s="42" t="str">
        <f t="shared" si="36"/>
        <v>Compliant</v>
      </c>
      <c r="R142" s="42" t="str">
        <f t="shared" si="37"/>
        <v>Compliant</v>
      </c>
      <c r="S142" s="36" t="str">
        <f t="shared" si="38"/>
        <v/>
      </c>
      <c r="T142" s="42" t="str">
        <f t="shared" si="39"/>
        <v/>
      </c>
      <c r="U142" s="42" t="str">
        <f t="shared" si="40"/>
        <v/>
      </c>
      <c r="V142" s="42" t="str">
        <f t="shared" si="41"/>
        <v/>
      </c>
      <c r="W142" s="42" t="str">
        <f t="shared" si="42"/>
        <v/>
      </c>
    </row>
    <row r="143" spans="1:23" ht="15" hidden="1" customHeight="1" x14ac:dyDescent="0.25">
      <c r="A143" s="36" t="str">
        <f>Claims!A139</f>
        <v>EXP00138</v>
      </c>
      <c r="B143" s="36" t="str">
        <f>Claims!D139</f>
        <v>M1</v>
      </c>
      <c r="C143" s="36" t="str">
        <f>Claims!E139</f>
        <v>Client Entertainment</v>
      </c>
      <c r="D143" s="36" t="str">
        <f>Claims!G139</f>
        <v>Metro</v>
      </c>
      <c r="E143" s="40">
        <f>Claims!H139</f>
        <v>10409</v>
      </c>
      <c r="F143" s="36" t="str">
        <f>Claims!K139</f>
        <v>No</v>
      </c>
      <c r="G143" s="36" t="str">
        <f>IF(Claims!M139="","",Claims!M139)</f>
        <v/>
      </c>
      <c r="H143" s="36" t="str">
        <f>IF(Claims!N139="","",Claims!N139)</f>
        <v/>
      </c>
      <c r="I143" s="41">
        <f>Claims!J139-Claims!I139</f>
        <v>9</v>
      </c>
      <c r="J143" s="42" t="str">
        <f t="shared" si="29"/>
        <v>n/a</v>
      </c>
      <c r="K143" s="42" t="str">
        <f t="shared" si="30"/>
        <v>n/a</v>
      </c>
      <c r="L143" s="42" t="str">
        <f t="shared" si="31"/>
        <v>n/a</v>
      </c>
      <c r="M143" s="42" t="str">
        <f t="shared" si="32"/>
        <v>n/a</v>
      </c>
      <c r="N143" s="42" t="str">
        <f t="shared" si="33"/>
        <v>n/a</v>
      </c>
      <c r="O143" s="42" t="str">
        <f t="shared" si="34"/>
        <v>n/a</v>
      </c>
      <c r="P143" s="42" t="str">
        <f t="shared" si="35"/>
        <v>Violation</v>
      </c>
      <c r="Q143" s="42" t="str">
        <f t="shared" si="36"/>
        <v>Compliant</v>
      </c>
      <c r="R143" s="42" t="str">
        <f t="shared" si="37"/>
        <v>Violation</v>
      </c>
      <c r="S143" s="36" t="str">
        <f t="shared" si="38"/>
        <v>TP-09</v>
      </c>
      <c r="T143" s="42" t="str">
        <f t="shared" si="39"/>
        <v/>
      </c>
      <c r="U143" s="42" t="str">
        <f t="shared" si="40"/>
        <v>Definite</v>
      </c>
      <c r="V143" s="42" t="str">
        <f t="shared" si="41"/>
        <v/>
      </c>
      <c r="W143" s="42" t="str">
        <f t="shared" si="42"/>
        <v/>
      </c>
    </row>
    <row r="144" spans="1:23" ht="15" hidden="1" customHeight="1" x14ac:dyDescent="0.25">
      <c r="A144" s="36" t="str">
        <f>Claims!A140</f>
        <v>EXP00139</v>
      </c>
      <c r="B144" s="36" t="str">
        <f>Claims!D140</f>
        <v>M4</v>
      </c>
      <c r="C144" s="36" t="str">
        <f>Claims!E140</f>
        <v>Local Cab</v>
      </c>
      <c r="D144" s="36" t="str">
        <f>Claims!G140</f>
        <v>Metro</v>
      </c>
      <c r="E144" s="40">
        <f>Claims!H140</f>
        <v>680</v>
      </c>
      <c r="F144" s="36" t="str">
        <f>Claims!K140</f>
        <v>Yes</v>
      </c>
      <c r="G144" s="36" t="str">
        <f>IF(Claims!M140="","",Claims!M140)</f>
        <v/>
      </c>
      <c r="H144" s="36" t="str">
        <f>IF(Claims!N140="","",Claims!N140)</f>
        <v/>
      </c>
      <c r="I144" s="41">
        <f>Claims!J140-Claims!I140</f>
        <v>70</v>
      </c>
      <c r="J144" s="42" t="str">
        <f t="shared" si="29"/>
        <v>n/a</v>
      </c>
      <c r="K144" s="42" t="str">
        <f t="shared" si="30"/>
        <v>n/a</v>
      </c>
      <c r="L144" s="42" t="str">
        <f t="shared" si="31"/>
        <v>n/a</v>
      </c>
      <c r="M144" s="42" t="str">
        <f t="shared" si="32"/>
        <v>n/a</v>
      </c>
      <c r="N144" s="42" t="str">
        <f t="shared" si="33"/>
        <v>n/a</v>
      </c>
      <c r="O144" s="42" t="str">
        <f t="shared" si="34"/>
        <v>n/a</v>
      </c>
      <c r="P144" s="42" t="str">
        <f t="shared" si="35"/>
        <v>Compliant</v>
      </c>
      <c r="Q144" s="42" t="str">
        <f t="shared" si="36"/>
        <v>Violation</v>
      </c>
      <c r="R144" s="42" t="str">
        <f t="shared" si="37"/>
        <v>Violation</v>
      </c>
      <c r="S144" s="36" t="str">
        <f t="shared" si="38"/>
        <v>TP-10</v>
      </c>
      <c r="T144" s="42" t="str">
        <f t="shared" si="39"/>
        <v>Expired</v>
      </c>
      <c r="U144" s="42" t="str">
        <f t="shared" si="40"/>
        <v>Definite</v>
      </c>
      <c r="V144" s="42" t="str">
        <f t="shared" si="41"/>
        <v/>
      </c>
      <c r="W144" s="42" t="str">
        <f t="shared" si="42"/>
        <v/>
      </c>
    </row>
    <row r="145" spans="1:23" ht="15" hidden="1" customHeight="1" x14ac:dyDescent="0.25">
      <c r="A145" s="36" t="str">
        <f>Claims!A141</f>
        <v>EXP00140</v>
      </c>
      <c r="B145" s="36" t="str">
        <f>Claims!D141</f>
        <v>M3</v>
      </c>
      <c r="C145" s="36" t="str">
        <f>Claims!E141</f>
        <v>Stationery</v>
      </c>
      <c r="D145" s="36" t="str">
        <f>Claims!G141</f>
        <v>Metro</v>
      </c>
      <c r="E145" s="40">
        <f>Claims!H141</f>
        <v>1343</v>
      </c>
      <c r="F145" s="36" t="str">
        <f>Claims!K141</f>
        <v>Yes</v>
      </c>
      <c r="G145" s="36" t="str">
        <f>IF(Claims!M141="","",Claims!M141)</f>
        <v/>
      </c>
      <c r="H145" s="36" t="str">
        <f>IF(Claims!N141="","",Claims!N141)</f>
        <v/>
      </c>
      <c r="I145" s="41">
        <f>Claims!J141-Claims!I141</f>
        <v>9</v>
      </c>
      <c r="J145" s="42" t="str">
        <f t="shared" si="29"/>
        <v>n/a</v>
      </c>
      <c r="K145" s="42" t="str">
        <f t="shared" si="30"/>
        <v>n/a</v>
      </c>
      <c r="L145" s="42" t="str">
        <f t="shared" si="31"/>
        <v>n/a</v>
      </c>
      <c r="M145" s="42" t="str">
        <f t="shared" si="32"/>
        <v>n/a</v>
      </c>
      <c r="N145" s="42" t="str">
        <f t="shared" si="33"/>
        <v>n/a</v>
      </c>
      <c r="O145" s="42" t="str">
        <f t="shared" si="34"/>
        <v>n/a</v>
      </c>
      <c r="P145" s="42" t="str">
        <f t="shared" si="35"/>
        <v>Compliant</v>
      </c>
      <c r="Q145" s="42" t="str">
        <f t="shared" si="36"/>
        <v>Compliant</v>
      </c>
      <c r="R145" s="42" t="str">
        <f t="shared" si="37"/>
        <v>Compliant</v>
      </c>
      <c r="S145" s="36" t="str">
        <f t="shared" si="38"/>
        <v/>
      </c>
      <c r="T145" s="42" t="str">
        <f t="shared" si="39"/>
        <v/>
      </c>
      <c r="U145" s="42" t="str">
        <f t="shared" si="40"/>
        <v/>
      </c>
      <c r="V145" s="42" t="str">
        <f t="shared" si="41"/>
        <v/>
      </c>
      <c r="W145" s="42" t="str">
        <f t="shared" si="42"/>
        <v/>
      </c>
    </row>
    <row r="146" spans="1:23" ht="15" hidden="1" customHeight="1" x14ac:dyDescent="0.25">
      <c r="A146" s="36" t="str">
        <f>Claims!A142</f>
        <v>EXP00141</v>
      </c>
      <c r="B146" s="36" t="str">
        <f>Claims!D142</f>
        <v>M5</v>
      </c>
      <c r="C146" s="36" t="str">
        <f>Claims!E142</f>
        <v>Stationery</v>
      </c>
      <c r="D146" s="36" t="str">
        <f>Claims!G142</f>
        <v>Non-metro</v>
      </c>
      <c r="E146" s="40">
        <f>Claims!H142</f>
        <v>338</v>
      </c>
      <c r="F146" s="36" t="str">
        <f>Claims!K142</f>
        <v>Yes</v>
      </c>
      <c r="G146" s="36" t="str">
        <f>IF(Claims!M142="","",Claims!M142)</f>
        <v/>
      </c>
      <c r="H146" s="36" t="str">
        <f>IF(Claims!N142="","",Claims!N142)</f>
        <v/>
      </c>
      <c r="I146" s="41">
        <f>Claims!J142-Claims!I142</f>
        <v>9</v>
      </c>
      <c r="J146" s="42" t="str">
        <f t="shared" si="29"/>
        <v>n/a</v>
      </c>
      <c r="K146" s="42" t="str">
        <f t="shared" si="30"/>
        <v>n/a</v>
      </c>
      <c r="L146" s="42" t="str">
        <f t="shared" si="31"/>
        <v>n/a</v>
      </c>
      <c r="M146" s="42" t="str">
        <f t="shared" si="32"/>
        <v>n/a</v>
      </c>
      <c r="N146" s="42" t="str">
        <f t="shared" si="33"/>
        <v>n/a</v>
      </c>
      <c r="O146" s="42" t="str">
        <f t="shared" si="34"/>
        <v>n/a</v>
      </c>
      <c r="P146" s="42" t="str">
        <f t="shared" si="35"/>
        <v>Compliant</v>
      </c>
      <c r="Q146" s="42" t="str">
        <f t="shared" si="36"/>
        <v>Compliant</v>
      </c>
      <c r="R146" s="42" t="str">
        <f t="shared" si="37"/>
        <v>Compliant</v>
      </c>
      <c r="S146" s="36" t="str">
        <f t="shared" si="38"/>
        <v/>
      </c>
      <c r="T146" s="42" t="str">
        <f t="shared" si="39"/>
        <v/>
      </c>
      <c r="U146" s="42" t="str">
        <f t="shared" si="40"/>
        <v/>
      </c>
      <c r="V146" s="42" t="str">
        <f t="shared" si="41"/>
        <v/>
      </c>
      <c r="W146" s="42" t="str">
        <f t="shared" si="42"/>
        <v/>
      </c>
    </row>
    <row r="147" spans="1:23" ht="15" hidden="1" customHeight="1" x14ac:dyDescent="0.25">
      <c r="A147" s="36" t="str">
        <f>Claims!A143</f>
        <v>EXP00142</v>
      </c>
      <c r="B147" s="36" t="str">
        <f>Claims!D143</f>
        <v>M2</v>
      </c>
      <c r="C147" s="36" t="str">
        <f>Claims!E143</f>
        <v>Hotel</v>
      </c>
      <c r="D147" s="36" t="str">
        <f>Claims!G143</f>
        <v>Non-metro</v>
      </c>
      <c r="E147" s="40">
        <f>Claims!H143</f>
        <v>14385</v>
      </c>
      <c r="F147" s="36" t="str">
        <f>Claims!K143</f>
        <v>Yes</v>
      </c>
      <c r="G147" s="36" t="str">
        <f>IF(Claims!M143="","",Claims!M143)</f>
        <v/>
      </c>
      <c r="H147" s="36" t="str">
        <f>IF(Claims!N143="","",Claims!N143)</f>
        <v/>
      </c>
      <c r="I147" s="41">
        <f>Claims!J143-Claims!I143</f>
        <v>14</v>
      </c>
      <c r="J147" s="42" t="str">
        <f t="shared" si="29"/>
        <v>n/a</v>
      </c>
      <c r="K147" s="42" t="str">
        <f t="shared" si="30"/>
        <v>n/a</v>
      </c>
      <c r="L147" s="42" t="str">
        <f t="shared" si="31"/>
        <v>n/a</v>
      </c>
      <c r="M147" s="42" t="str">
        <f t="shared" si="32"/>
        <v>Violation</v>
      </c>
      <c r="N147" s="42" t="str">
        <f t="shared" si="33"/>
        <v>n/a</v>
      </c>
      <c r="O147" s="42" t="str">
        <f t="shared" si="34"/>
        <v>n/a</v>
      </c>
      <c r="P147" s="42" t="str">
        <f t="shared" si="35"/>
        <v>Compliant</v>
      </c>
      <c r="Q147" s="42" t="str">
        <f t="shared" si="36"/>
        <v>Compliant</v>
      </c>
      <c r="R147" s="42" t="str">
        <f t="shared" si="37"/>
        <v>Violation</v>
      </c>
      <c r="S147" s="36" t="str">
        <f t="shared" si="38"/>
        <v>TP-05</v>
      </c>
      <c r="T147" s="42" t="str">
        <f t="shared" si="39"/>
        <v/>
      </c>
      <c r="U147" s="42" t="str">
        <f t="shared" si="40"/>
        <v>Assumption-based</v>
      </c>
      <c r="V147" s="42">
        <f t="shared" si="41"/>
        <v>4</v>
      </c>
      <c r="W147" s="42" t="str">
        <f t="shared" si="42"/>
        <v>Needs nights</v>
      </c>
    </row>
    <row r="148" spans="1:23" ht="15" hidden="1" customHeight="1" x14ac:dyDescent="0.25">
      <c r="A148" s="36" t="str">
        <f>Claims!A144</f>
        <v>EXP00143</v>
      </c>
      <c r="B148" s="36" t="str">
        <f>Claims!D144</f>
        <v>M3</v>
      </c>
      <c r="C148" s="36" t="str">
        <f>Claims!E144</f>
        <v>Flight</v>
      </c>
      <c r="D148" s="36" t="str">
        <f>Claims!G144</f>
        <v>Non-metro</v>
      </c>
      <c r="E148" s="40">
        <f>Claims!H144</f>
        <v>18402</v>
      </c>
      <c r="F148" s="36" t="str">
        <f>Claims!K144</f>
        <v>Yes</v>
      </c>
      <c r="G148" s="36">
        <f>IF(Claims!M144="","",Claims!M144)</f>
        <v>11</v>
      </c>
      <c r="H148" s="36" t="str">
        <f>IF(Claims!N144="","",Claims!N144)</f>
        <v>Business</v>
      </c>
      <c r="I148" s="41">
        <f>Claims!J144-Claims!I144</f>
        <v>20</v>
      </c>
      <c r="J148" s="42" t="str">
        <f t="shared" si="29"/>
        <v>Violation</v>
      </c>
      <c r="K148" s="42" t="str">
        <f t="shared" si="30"/>
        <v>Compliant</v>
      </c>
      <c r="L148" s="42" t="str">
        <f t="shared" si="31"/>
        <v>n/a</v>
      </c>
      <c r="M148" s="42" t="str">
        <f t="shared" si="32"/>
        <v>n/a</v>
      </c>
      <c r="N148" s="42" t="str">
        <f t="shared" si="33"/>
        <v>n/a</v>
      </c>
      <c r="O148" s="42" t="str">
        <f t="shared" si="34"/>
        <v>n/a</v>
      </c>
      <c r="P148" s="42" t="str">
        <f t="shared" si="35"/>
        <v>Compliant</v>
      </c>
      <c r="Q148" s="42" t="str">
        <f t="shared" si="36"/>
        <v>Violation</v>
      </c>
      <c r="R148" s="42" t="str">
        <f t="shared" si="37"/>
        <v>Violation</v>
      </c>
      <c r="S148" s="36" t="str">
        <f t="shared" si="38"/>
        <v>TP-01, TP-10</v>
      </c>
      <c r="T148" s="42" t="str">
        <f t="shared" si="39"/>
        <v>Late</v>
      </c>
      <c r="U148" s="42" t="str">
        <f t="shared" si="40"/>
        <v>Definite</v>
      </c>
      <c r="V148" s="42" t="str">
        <f t="shared" si="41"/>
        <v/>
      </c>
      <c r="W148" s="42" t="str">
        <f t="shared" si="42"/>
        <v/>
      </c>
    </row>
    <row r="149" spans="1:23" ht="15" hidden="1" customHeight="1" x14ac:dyDescent="0.25">
      <c r="A149" s="36" t="str">
        <f>Claims!A145</f>
        <v>EXP00144</v>
      </c>
      <c r="B149" s="36" t="str">
        <f>Claims!D145</f>
        <v>M5</v>
      </c>
      <c r="C149" s="36" t="str">
        <f>Claims!E145</f>
        <v>Flight</v>
      </c>
      <c r="D149" s="36" t="str">
        <f>Claims!G145</f>
        <v>Metro</v>
      </c>
      <c r="E149" s="40">
        <f>Claims!H145</f>
        <v>15698</v>
      </c>
      <c r="F149" s="36" t="str">
        <f>Claims!K145</f>
        <v>Yes</v>
      </c>
      <c r="G149" s="36">
        <f>IF(Claims!M145="","",Claims!M145)</f>
        <v>16</v>
      </c>
      <c r="H149" s="36" t="str">
        <f>IF(Claims!N145="","",Claims!N145)</f>
        <v>Economy</v>
      </c>
      <c r="I149" s="41">
        <f>Claims!J145-Claims!I145</f>
        <v>5</v>
      </c>
      <c r="J149" s="42" t="str">
        <f t="shared" si="29"/>
        <v>Compliant</v>
      </c>
      <c r="K149" s="42" t="str">
        <f t="shared" si="30"/>
        <v>Compliant</v>
      </c>
      <c r="L149" s="42" t="str">
        <f t="shared" si="31"/>
        <v>n/a</v>
      </c>
      <c r="M149" s="42" t="str">
        <f t="shared" si="32"/>
        <v>n/a</v>
      </c>
      <c r="N149" s="42" t="str">
        <f t="shared" si="33"/>
        <v>n/a</v>
      </c>
      <c r="O149" s="42" t="str">
        <f t="shared" si="34"/>
        <v>n/a</v>
      </c>
      <c r="P149" s="42" t="str">
        <f t="shared" si="35"/>
        <v>Compliant</v>
      </c>
      <c r="Q149" s="42" t="str">
        <f t="shared" si="36"/>
        <v>Compliant</v>
      </c>
      <c r="R149" s="42" t="str">
        <f t="shared" si="37"/>
        <v>Compliant</v>
      </c>
      <c r="S149" s="36" t="str">
        <f t="shared" si="38"/>
        <v/>
      </c>
      <c r="T149" s="42" t="str">
        <f t="shared" si="39"/>
        <v/>
      </c>
      <c r="U149" s="42" t="str">
        <f t="shared" si="40"/>
        <v/>
      </c>
      <c r="V149" s="42" t="str">
        <f t="shared" si="41"/>
        <v/>
      </c>
      <c r="W149" s="42" t="str">
        <f t="shared" si="42"/>
        <v/>
      </c>
    </row>
    <row r="150" spans="1:23" ht="15" hidden="1" customHeight="1" x14ac:dyDescent="0.25">
      <c r="A150" s="36" t="str">
        <f>Claims!A146</f>
        <v>EXP00145</v>
      </c>
      <c r="B150" s="36" t="str">
        <f>Claims!D146</f>
        <v>M2</v>
      </c>
      <c r="C150" s="36" t="str">
        <f>Claims!E146</f>
        <v>Local Cab</v>
      </c>
      <c r="D150" s="36" t="str">
        <f>Claims!G146</f>
        <v>Metro</v>
      </c>
      <c r="E150" s="40">
        <f>Claims!H146</f>
        <v>537</v>
      </c>
      <c r="F150" s="36" t="str">
        <f>Claims!K146</f>
        <v>Yes</v>
      </c>
      <c r="G150" s="36" t="str">
        <f>IF(Claims!M146="","",Claims!M146)</f>
        <v/>
      </c>
      <c r="H150" s="36" t="str">
        <f>IF(Claims!N146="","",Claims!N146)</f>
        <v/>
      </c>
      <c r="I150" s="41">
        <f>Claims!J146-Claims!I146</f>
        <v>2</v>
      </c>
      <c r="J150" s="42" t="str">
        <f t="shared" si="29"/>
        <v>n/a</v>
      </c>
      <c r="K150" s="42" t="str">
        <f t="shared" si="30"/>
        <v>n/a</v>
      </c>
      <c r="L150" s="42" t="str">
        <f t="shared" si="31"/>
        <v>n/a</v>
      </c>
      <c r="M150" s="42" t="str">
        <f t="shared" si="32"/>
        <v>n/a</v>
      </c>
      <c r="N150" s="42" t="str">
        <f t="shared" si="33"/>
        <v>n/a</v>
      </c>
      <c r="O150" s="42" t="str">
        <f t="shared" si="34"/>
        <v>n/a</v>
      </c>
      <c r="P150" s="42" t="str">
        <f t="shared" si="35"/>
        <v>Compliant</v>
      </c>
      <c r="Q150" s="42" t="str">
        <f t="shared" si="36"/>
        <v>Compliant</v>
      </c>
      <c r="R150" s="42" t="str">
        <f t="shared" si="37"/>
        <v>Compliant</v>
      </c>
      <c r="S150" s="36" t="str">
        <f t="shared" si="38"/>
        <v/>
      </c>
      <c r="T150" s="42" t="str">
        <f t="shared" si="39"/>
        <v/>
      </c>
      <c r="U150" s="42" t="str">
        <f t="shared" si="40"/>
        <v/>
      </c>
      <c r="V150" s="42" t="str">
        <f t="shared" si="41"/>
        <v/>
      </c>
      <c r="W150" s="42" t="str">
        <f t="shared" si="42"/>
        <v/>
      </c>
    </row>
    <row r="151" spans="1:23" ht="15" hidden="1" customHeight="1" x14ac:dyDescent="0.25">
      <c r="A151" s="36" t="str">
        <f>Claims!A147</f>
        <v>EXP00146</v>
      </c>
      <c r="B151" s="36" t="str">
        <f>Claims!D147</f>
        <v>M3</v>
      </c>
      <c r="C151" s="36" t="str">
        <f>Claims!E147</f>
        <v>Meals/DA</v>
      </c>
      <c r="D151" s="36" t="str">
        <f>Claims!G147</f>
        <v>Metro</v>
      </c>
      <c r="E151" s="40">
        <f>Claims!H147</f>
        <v>2044</v>
      </c>
      <c r="F151" s="36" t="str">
        <f>Claims!K147</f>
        <v>Yes</v>
      </c>
      <c r="G151" s="36" t="str">
        <f>IF(Claims!M147="","",Claims!M147)</f>
        <v/>
      </c>
      <c r="H151" s="36" t="str">
        <f>IF(Claims!N147="","",Claims!N147)</f>
        <v/>
      </c>
      <c r="I151" s="41">
        <f>Claims!J147-Claims!I147</f>
        <v>5</v>
      </c>
      <c r="J151" s="42" t="str">
        <f t="shared" si="29"/>
        <v>n/a</v>
      </c>
      <c r="K151" s="42" t="str">
        <f t="shared" si="30"/>
        <v>n/a</v>
      </c>
      <c r="L151" s="42" t="str">
        <f t="shared" si="31"/>
        <v>n/a</v>
      </c>
      <c r="M151" s="42" t="str">
        <f t="shared" si="32"/>
        <v>n/a</v>
      </c>
      <c r="N151" s="42" t="str">
        <f t="shared" si="33"/>
        <v>Violation</v>
      </c>
      <c r="O151" s="42" t="str">
        <f t="shared" si="34"/>
        <v>n/a</v>
      </c>
      <c r="P151" s="42" t="str">
        <f t="shared" si="35"/>
        <v>Compliant</v>
      </c>
      <c r="Q151" s="42" t="str">
        <f t="shared" si="36"/>
        <v>Compliant</v>
      </c>
      <c r="R151" s="42" t="str">
        <f t="shared" si="37"/>
        <v>Violation</v>
      </c>
      <c r="S151" s="36" t="str">
        <f t="shared" si="38"/>
        <v>TP-06</v>
      </c>
      <c r="T151" s="42" t="str">
        <f t="shared" si="39"/>
        <v/>
      </c>
      <c r="U151" s="42" t="str">
        <f t="shared" si="40"/>
        <v>Assumption-based</v>
      </c>
      <c r="V151" s="42">
        <f t="shared" si="41"/>
        <v>2</v>
      </c>
      <c r="W151" s="42" t="str">
        <f t="shared" si="42"/>
        <v>Needs days</v>
      </c>
    </row>
    <row r="152" spans="1:23" ht="15" hidden="1" customHeight="1" x14ac:dyDescent="0.25">
      <c r="A152" s="36" t="str">
        <f>Claims!A148</f>
        <v>EXP00147</v>
      </c>
      <c r="B152" s="36" t="str">
        <f>Claims!D148</f>
        <v>M1</v>
      </c>
      <c r="C152" s="36" t="str">
        <f>Claims!E148</f>
        <v>Flight</v>
      </c>
      <c r="D152" s="36" t="str">
        <f>Claims!G148</f>
        <v>Non-metro</v>
      </c>
      <c r="E152" s="40">
        <f>Claims!H148</f>
        <v>21453</v>
      </c>
      <c r="F152" s="36" t="str">
        <f>Claims!K148</f>
        <v>Yes</v>
      </c>
      <c r="G152" s="36">
        <f>IF(Claims!M148="","",Claims!M148)</f>
        <v>17</v>
      </c>
      <c r="H152" s="36" t="str">
        <f>IF(Claims!N148="","",Claims!N148)</f>
        <v>Business</v>
      </c>
      <c r="I152" s="41">
        <f>Claims!J148-Claims!I148</f>
        <v>20</v>
      </c>
      <c r="J152" s="42" t="str">
        <f t="shared" si="29"/>
        <v>Violation</v>
      </c>
      <c r="K152" s="42" t="str">
        <f t="shared" si="30"/>
        <v>Compliant</v>
      </c>
      <c r="L152" s="42" t="str">
        <f t="shared" si="31"/>
        <v>n/a</v>
      </c>
      <c r="M152" s="42" t="str">
        <f t="shared" si="32"/>
        <v>n/a</v>
      </c>
      <c r="N152" s="42" t="str">
        <f t="shared" si="33"/>
        <v>n/a</v>
      </c>
      <c r="O152" s="42" t="str">
        <f t="shared" si="34"/>
        <v>n/a</v>
      </c>
      <c r="P152" s="42" t="str">
        <f t="shared" si="35"/>
        <v>Compliant</v>
      </c>
      <c r="Q152" s="42" t="str">
        <f t="shared" si="36"/>
        <v>Violation</v>
      </c>
      <c r="R152" s="42" t="str">
        <f t="shared" si="37"/>
        <v>Violation</v>
      </c>
      <c r="S152" s="36" t="str">
        <f t="shared" si="38"/>
        <v>TP-01, TP-10</v>
      </c>
      <c r="T152" s="42" t="str">
        <f t="shared" si="39"/>
        <v>Late</v>
      </c>
      <c r="U152" s="42" t="str">
        <f t="shared" si="40"/>
        <v>Definite</v>
      </c>
      <c r="V152" s="42" t="str">
        <f t="shared" si="41"/>
        <v/>
      </c>
      <c r="W152" s="42" t="str">
        <f t="shared" si="42"/>
        <v/>
      </c>
    </row>
    <row r="153" spans="1:23" ht="15" hidden="1" customHeight="1" x14ac:dyDescent="0.25">
      <c r="A153" s="36" t="str">
        <f>Claims!A149</f>
        <v>EXP00148</v>
      </c>
      <c r="B153" s="36" t="str">
        <f>Claims!D149</f>
        <v>M3</v>
      </c>
      <c r="C153" s="36" t="str">
        <f>Claims!E149</f>
        <v>Train</v>
      </c>
      <c r="D153" s="36" t="str">
        <f>Claims!G149</f>
        <v>Metro</v>
      </c>
      <c r="E153" s="40">
        <f>Claims!H149</f>
        <v>2351</v>
      </c>
      <c r="F153" s="36" t="str">
        <f>Claims!K149</f>
        <v>Yes</v>
      </c>
      <c r="G153" s="36" t="str">
        <f>IF(Claims!M149="","",Claims!M149)</f>
        <v/>
      </c>
      <c r="H153" s="36" t="str">
        <f>IF(Claims!N149="","",Claims!N149)</f>
        <v/>
      </c>
      <c r="I153" s="41">
        <f>Claims!J149-Claims!I149</f>
        <v>14</v>
      </c>
      <c r="J153" s="42" t="str">
        <f t="shared" si="29"/>
        <v>n/a</v>
      </c>
      <c r="K153" s="42" t="str">
        <f t="shared" si="30"/>
        <v>n/a</v>
      </c>
      <c r="L153" s="42" t="str">
        <f t="shared" si="31"/>
        <v>n/a</v>
      </c>
      <c r="M153" s="42" t="str">
        <f t="shared" si="32"/>
        <v>n/a</v>
      </c>
      <c r="N153" s="42" t="str">
        <f t="shared" si="33"/>
        <v>n/a</v>
      </c>
      <c r="O153" s="42" t="str">
        <f t="shared" si="34"/>
        <v>n/a</v>
      </c>
      <c r="P153" s="42" t="str">
        <f t="shared" si="35"/>
        <v>Compliant</v>
      </c>
      <c r="Q153" s="42" t="str">
        <f t="shared" si="36"/>
        <v>Compliant</v>
      </c>
      <c r="R153" s="42" t="str">
        <f t="shared" si="37"/>
        <v>Compliant</v>
      </c>
      <c r="S153" s="36" t="str">
        <f t="shared" si="38"/>
        <v/>
      </c>
      <c r="T153" s="42" t="str">
        <f t="shared" si="39"/>
        <v/>
      </c>
      <c r="U153" s="42" t="str">
        <f t="shared" si="40"/>
        <v/>
      </c>
      <c r="V153" s="42" t="str">
        <f t="shared" si="41"/>
        <v/>
      </c>
      <c r="W153" s="42" t="str">
        <f t="shared" si="42"/>
        <v/>
      </c>
    </row>
    <row r="154" spans="1:23" ht="15" hidden="1" customHeight="1" x14ac:dyDescent="0.25">
      <c r="A154" s="36" t="str">
        <f>Claims!A150</f>
        <v>EXP00149</v>
      </c>
      <c r="B154" s="36" t="str">
        <f>Claims!D150</f>
        <v>M2</v>
      </c>
      <c r="C154" s="36" t="str">
        <f>Claims!E150</f>
        <v>Hotel</v>
      </c>
      <c r="D154" s="36" t="str">
        <f>Claims!G150</f>
        <v>Metro</v>
      </c>
      <c r="E154" s="40">
        <f>Claims!H150</f>
        <v>15811</v>
      </c>
      <c r="F154" s="36" t="str">
        <f>Claims!K150</f>
        <v>Yes</v>
      </c>
      <c r="G154" s="36" t="str">
        <f>IF(Claims!M150="","",Claims!M150)</f>
        <v/>
      </c>
      <c r="H154" s="36" t="str">
        <f>IF(Claims!N150="","",Claims!N150)</f>
        <v/>
      </c>
      <c r="I154" s="41">
        <f>Claims!J150-Claims!I150</f>
        <v>2</v>
      </c>
      <c r="J154" s="42" t="str">
        <f t="shared" si="29"/>
        <v>n/a</v>
      </c>
      <c r="K154" s="42" t="str">
        <f t="shared" si="30"/>
        <v>n/a</v>
      </c>
      <c r="L154" s="42" t="str">
        <f t="shared" si="31"/>
        <v>Violation</v>
      </c>
      <c r="M154" s="42" t="str">
        <f t="shared" si="32"/>
        <v>n/a</v>
      </c>
      <c r="N154" s="42" t="str">
        <f t="shared" si="33"/>
        <v>n/a</v>
      </c>
      <c r="O154" s="42" t="str">
        <f t="shared" si="34"/>
        <v>n/a</v>
      </c>
      <c r="P154" s="42" t="str">
        <f t="shared" si="35"/>
        <v>Compliant</v>
      </c>
      <c r="Q154" s="42" t="str">
        <f t="shared" si="36"/>
        <v>Compliant</v>
      </c>
      <c r="R154" s="42" t="str">
        <f t="shared" si="37"/>
        <v>Violation</v>
      </c>
      <c r="S154" s="36" t="str">
        <f t="shared" si="38"/>
        <v>TP-04</v>
      </c>
      <c r="T154" s="42" t="str">
        <f t="shared" si="39"/>
        <v/>
      </c>
      <c r="U154" s="42" t="str">
        <f t="shared" si="40"/>
        <v>Assumption-based</v>
      </c>
      <c r="V154" s="42">
        <f t="shared" si="41"/>
        <v>3</v>
      </c>
      <c r="W154" s="42" t="str">
        <f t="shared" si="42"/>
        <v>Needs nights</v>
      </c>
    </row>
    <row r="155" spans="1:23" ht="15" hidden="1" customHeight="1" x14ac:dyDescent="0.25">
      <c r="A155" s="36" t="str">
        <f>Claims!A151</f>
        <v>EXP00150</v>
      </c>
      <c r="B155" s="36" t="str">
        <f>Claims!D151</f>
        <v>M5</v>
      </c>
      <c r="C155" s="36" t="str">
        <f>Claims!E151</f>
        <v>Flight</v>
      </c>
      <c r="D155" s="36" t="str">
        <f>Claims!G151</f>
        <v>Metro</v>
      </c>
      <c r="E155" s="40">
        <f>Claims!H151</f>
        <v>20098</v>
      </c>
      <c r="F155" s="36" t="str">
        <f>Claims!K151</f>
        <v>No</v>
      </c>
      <c r="G155" s="36">
        <f>IF(Claims!M151="","",Claims!M151)</f>
        <v>9</v>
      </c>
      <c r="H155" s="36" t="str">
        <f>IF(Claims!N151="","",Claims!N151)</f>
        <v>Economy</v>
      </c>
      <c r="I155" s="41">
        <f>Claims!J151-Claims!I151</f>
        <v>2</v>
      </c>
      <c r="J155" s="42" t="str">
        <f t="shared" si="29"/>
        <v>Compliant</v>
      </c>
      <c r="K155" s="42" t="str">
        <f t="shared" si="30"/>
        <v>Compliant</v>
      </c>
      <c r="L155" s="42" t="str">
        <f t="shared" si="31"/>
        <v>n/a</v>
      </c>
      <c r="M155" s="42" t="str">
        <f t="shared" si="32"/>
        <v>n/a</v>
      </c>
      <c r="N155" s="42" t="str">
        <f t="shared" si="33"/>
        <v>n/a</v>
      </c>
      <c r="O155" s="42" t="str">
        <f t="shared" si="34"/>
        <v>n/a</v>
      </c>
      <c r="P155" s="42" t="str">
        <f t="shared" si="35"/>
        <v>Violation</v>
      </c>
      <c r="Q155" s="42" t="str">
        <f t="shared" si="36"/>
        <v>Compliant</v>
      </c>
      <c r="R155" s="42" t="str">
        <f t="shared" si="37"/>
        <v>Violation</v>
      </c>
      <c r="S155" s="36" t="str">
        <f t="shared" si="38"/>
        <v>TP-09</v>
      </c>
      <c r="T155" s="42" t="str">
        <f t="shared" si="39"/>
        <v/>
      </c>
      <c r="U155" s="42" t="str">
        <f t="shared" si="40"/>
        <v>Definite</v>
      </c>
      <c r="V155" s="42" t="str">
        <f t="shared" si="41"/>
        <v/>
      </c>
      <c r="W155" s="42" t="str">
        <f t="shared" si="42"/>
        <v/>
      </c>
    </row>
    <row r="156" spans="1:23" ht="15" hidden="1" customHeight="1" x14ac:dyDescent="0.25">
      <c r="A156" s="36" t="str">
        <f>Claims!A152</f>
        <v>EXP00151</v>
      </c>
      <c r="B156" s="36" t="str">
        <f>Claims!D152</f>
        <v>M3</v>
      </c>
      <c r="C156" s="36" t="str">
        <f>Claims!E152</f>
        <v>Flight</v>
      </c>
      <c r="D156" s="36" t="str">
        <f>Claims!G152</f>
        <v>Non-metro</v>
      </c>
      <c r="E156" s="40">
        <f>Claims!H152</f>
        <v>9447</v>
      </c>
      <c r="F156" s="36" t="str">
        <f>Claims!K152</f>
        <v>Yes</v>
      </c>
      <c r="G156" s="36">
        <f>IF(Claims!M152="","",Claims!M152)</f>
        <v>7</v>
      </c>
      <c r="H156" s="36" t="str">
        <f>IF(Claims!N152="","",Claims!N152)</f>
        <v>Economy</v>
      </c>
      <c r="I156" s="41">
        <f>Claims!J152-Claims!I152</f>
        <v>35</v>
      </c>
      <c r="J156" s="42" t="str">
        <f t="shared" si="29"/>
        <v>Compliant</v>
      </c>
      <c r="K156" s="42" t="str">
        <f t="shared" si="30"/>
        <v>Compliant</v>
      </c>
      <c r="L156" s="42" t="str">
        <f t="shared" si="31"/>
        <v>n/a</v>
      </c>
      <c r="M156" s="42" t="str">
        <f t="shared" si="32"/>
        <v>n/a</v>
      </c>
      <c r="N156" s="42" t="str">
        <f t="shared" si="33"/>
        <v>n/a</v>
      </c>
      <c r="O156" s="42" t="str">
        <f t="shared" si="34"/>
        <v>n/a</v>
      </c>
      <c r="P156" s="42" t="str">
        <f t="shared" si="35"/>
        <v>Compliant</v>
      </c>
      <c r="Q156" s="42" t="str">
        <f t="shared" si="36"/>
        <v>Violation</v>
      </c>
      <c r="R156" s="42" t="str">
        <f t="shared" si="37"/>
        <v>Violation</v>
      </c>
      <c r="S156" s="36" t="str">
        <f t="shared" si="38"/>
        <v>TP-10</v>
      </c>
      <c r="T156" s="42" t="str">
        <f t="shared" si="39"/>
        <v>Late</v>
      </c>
      <c r="U156" s="42" t="str">
        <f t="shared" si="40"/>
        <v>Definite</v>
      </c>
      <c r="V156" s="42" t="str">
        <f t="shared" si="41"/>
        <v/>
      </c>
      <c r="W156" s="42" t="str">
        <f t="shared" si="42"/>
        <v/>
      </c>
    </row>
    <row r="157" spans="1:23" ht="15" hidden="1" customHeight="1" x14ac:dyDescent="0.25">
      <c r="A157" s="36" t="str">
        <f>Claims!A153</f>
        <v>EXP00152</v>
      </c>
      <c r="B157" s="36" t="str">
        <f>Claims!D153</f>
        <v>M2</v>
      </c>
      <c r="C157" s="36" t="str">
        <f>Claims!E153</f>
        <v>Hotel</v>
      </c>
      <c r="D157" s="36" t="str">
        <f>Claims!G153</f>
        <v>Non-metro</v>
      </c>
      <c r="E157" s="40">
        <f>Claims!H153</f>
        <v>8995</v>
      </c>
      <c r="F157" s="36" t="str">
        <f>Claims!K153</f>
        <v>Yes</v>
      </c>
      <c r="G157" s="36" t="str">
        <f>IF(Claims!M153="","",Claims!M153)</f>
        <v/>
      </c>
      <c r="H157" s="36" t="str">
        <f>IF(Claims!N153="","",Claims!N153)</f>
        <v/>
      </c>
      <c r="I157" s="41">
        <f>Claims!J153-Claims!I153</f>
        <v>20</v>
      </c>
      <c r="J157" s="42" t="str">
        <f t="shared" si="29"/>
        <v>n/a</v>
      </c>
      <c r="K157" s="42" t="str">
        <f t="shared" si="30"/>
        <v>n/a</v>
      </c>
      <c r="L157" s="42" t="str">
        <f t="shared" si="31"/>
        <v>n/a</v>
      </c>
      <c r="M157" s="42" t="str">
        <f t="shared" si="32"/>
        <v>Violation</v>
      </c>
      <c r="N157" s="42" t="str">
        <f t="shared" si="33"/>
        <v>n/a</v>
      </c>
      <c r="O157" s="42" t="str">
        <f t="shared" si="34"/>
        <v>n/a</v>
      </c>
      <c r="P157" s="42" t="str">
        <f t="shared" si="35"/>
        <v>Compliant</v>
      </c>
      <c r="Q157" s="42" t="str">
        <f t="shared" si="36"/>
        <v>Violation</v>
      </c>
      <c r="R157" s="42" t="str">
        <f t="shared" si="37"/>
        <v>Violation</v>
      </c>
      <c r="S157" s="36" t="str">
        <f t="shared" si="38"/>
        <v>TP-05, TP-10</v>
      </c>
      <c r="T157" s="42" t="str">
        <f t="shared" si="39"/>
        <v>Late</v>
      </c>
      <c r="U157" s="42" t="str">
        <f t="shared" si="40"/>
        <v>Definite</v>
      </c>
      <c r="V157" s="42">
        <f t="shared" si="41"/>
        <v>2</v>
      </c>
      <c r="W157" s="42" t="str">
        <f t="shared" si="42"/>
        <v>Needs nights</v>
      </c>
    </row>
    <row r="158" spans="1:23" ht="15" hidden="1" customHeight="1" x14ac:dyDescent="0.25">
      <c r="A158" s="36" t="str">
        <f>Claims!A154</f>
        <v>EXP00153</v>
      </c>
      <c r="B158" s="36" t="str">
        <f>Claims!D154</f>
        <v>M2</v>
      </c>
      <c r="C158" s="36" t="str">
        <f>Claims!E154</f>
        <v>Client Entertainment</v>
      </c>
      <c r="D158" s="36" t="str">
        <f>Claims!G154</f>
        <v>Metro</v>
      </c>
      <c r="E158" s="40">
        <f>Claims!H154</f>
        <v>11897</v>
      </c>
      <c r="F158" s="36" t="str">
        <f>Claims!K154</f>
        <v>Yes</v>
      </c>
      <c r="G158" s="36" t="str">
        <f>IF(Claims!M154="","",Claims!M154)</f>
        <v/>
      </c>
      <c r="H158" s="36" t="str">
        <f>IF(Claims!N154="","",Claims!N154)</f>
        <v/>
      </c>
      <c r="I158" s="41">
        <f>Claims!J154-Claims!I154</f>
        <v>9</v>
      </c>
      <c r="J158" s="42" t="str">
        <f t="shared" si="29"/>
        <v>n/a</v>
      </c>
      <c r="K158" s="42" t="str">
        <f t="shared" si="30"/>
        <v>n/a</v>
      </c>
      <c r="L158" s="42" t="str">
        <f t="shared" si="31"/>
        <v>n/a</v>
      </c>
      <c r="M158" s="42" t="str">
        <f t="shared" si="32"/>
        <v>n/a</v>
      </c>
      <c r="N158" s="42" t="str">
        <f t="shared" si="33"/>
        <v>n/a</v>
      </c>
      <c r="O158" s="42" t="str">
        <f t="shared" si="34"/>
        <v>n/a</v>
      </c>
      <c r="P158" s="42" t="str">
        <f t="shared" si="35"/>
        <v>Compliant</v>
      </c>
      <c r="Q158" s="42" t="str">
        <f t="shared" si="36"/>
        <v>Compliant</v>
      </c>
      <c r="R158" s="42" t="str">
        <f t="shared" si="37"/>
        <v>Compliant</v>
      </c>
      <c r="S158" s="36" t="str">
        <f t="shared" si="38"/>
        <v/>
      </c>
      <c r="T158" s="42" t="str">
        <f t="shared" si="39"/>
        <v/>
      </c>
      <c r="U158" s="42" t="str">
        <f t="shared" si="40"/>
        <v/>
      </c>
      <c r="V158" s="42" t="str">
        <f t="shared" si="41"/>
        <v/>
      </c>
      <c r="W158" s="42" t="str">
        <f t="shared" si="42"/>
        <v/>
      </c>
    </row>
    <row r="159" spans="1:23" ht="15" hidden="1" customHeight="1" x14ac:dyDescent="0.25">
      <c r="A159" s="36" t="str">
        <f>Claims!A155</f>
        <v>EXP00154</v>
      </c>
      <c r="B159" s="36" t="str">
        <f>Claims!D155</f>
        <v>M1</v>
      </c>
      <c r="C159" s="36" t="str">
        <f>Claims!E155</f>
        <v>Stationery</v>
      </c>
      <c r="D159" s="36" t="str">
        <f>Claims!G155</f>
        <v>Metro</v>
      </c>
      <c r="E159" s="40">
        <f>Claims!H155</f>
        <v>661</v>
      </c>
      <c r="F159" s="36" t="str">
        <f>Claims!K155</f>
        <v>Yes</v>
      </c>
      <c r="G159" s="36" t="str">
        <f>IF(Claims!M155="","",Claims!M155)</f>
        <v/>
      </c>
      <c r="H159" s="36" t="str">
        <f>IF(Claims!N155="","",Claims!N155)</f>
        <v/>
      </c>
      <c r="I159" s="41">
        <f>Claims!J155-Claims!I155</f>
        <v>14</v>
      </c>
      <c r="J159" s="42" t="str">
        <f t="shared" si="29"/>
        <v>n/a</v>
      </c>
      <c r="K159" s="42" t="str">
        <f t="shared" si="30"/>
        <v>n/a</v>
      </c>
      <c r="L159" s="42" t="str">
        <f t="shared" si="31"/>
        <v>n/a</v>
      </c>
      <c r="M159" s="42" t="str">
        <f t="shared" si="32"/>
        <v>n/a</v>
      </c>
      <c r="N159" s="42" t="str">
        <f t="shared" si="33"/>
        <v>n/a</v>
      </c>
      <c r="O159" s="42" t="str">
        <f t="shared" si="34"/>
        <v>n/a</v>
      </c>
      <c r="P159" s="42" t="str">
        <f t="shared" si="35"/>
        <v>Compliant</v>
      </c>
      <c r="Q159" s="42" t="str">
        <f t="shared" si="36"/>
        <v>Compliant</v>
      </c>
      <c r="R159" s="42" t="str">
        <f t="shared" si="37"/>
        <v>Compliant</v>
      </c>
      <c r="S159" s="36" t="str">
        <f t="shared" si="38"/>
        <v/>
      </c>
      <c r="T159" s="42" t="str">
        <f t="shared" si="39"/>
        <v/>
      </c>
      <c r="U159" s="42" t="str">
        <f t="shared" si="40"/>
        <v/>
      </c>
      <c r="V159" s="42" t="str">
        <f t="shared" si="41"/>
        <v/>
      </c>
      <c r="W159" s="42" t="str">
        <f t="shared" si="42"/>
        <v/>
      </c>
    </row>
    <row r="160" spans="1:23" ht="15" hidden="1" customHeight="1" x14ac:dyDescent="0.25">
      <c r="A160" s="36" t="str">
        <f>Claims!A156</f>
        <v>EXP00155</v>
      </c>
      <c r="B160" s="36" t="str">
        <f>Claims!D156</f>
        <v>M4</v>
      </c>
      <c r="C160" s="36" t="str">
        <f>Claims!E156</f>
        <v>Stationery</v>
      </c>
      <c r="D160" s="36" t="str">
        <f>Claims!G156</f>
        <v>Metro</v>
      </c>
      <c r="E160" s="40">
        <f>Claims!H156</f>
        <v>962</v>
      </c>
      <c r="F160" s="36" t="str">
        <f>Claims!K156</f>
        <v>Yes</v>
      </c>
      <c r="G160" s="36" t="str">
        <f>IF(Claims!M156="","",Claims!M156)</f>
        <v/>
      </c>
      <c r="H160" s="36" t="str">
        <f>IF(Claims!N156="","",Claims!N156)</f>
        <v/>
      </c>
      <c r="I160" s="41">
        <f>Claims!J156-Claims!I156</f>
        <v>14</v>
      </c>
      <c r="J160" s="42" t="str">
        <f t="shared" si="29"/>
        <v>n/a</v>
      </c>
      <c r="K160" s="42" t="str">
        <f t="shared" si="30"/>
        <v>n/a</v>
      </c>
      <c r="L160" s="42" t="str">
        <f t="shared" si="31"/>
        <v>n/a</v>
      </c>
      <c r="M160" s="42" t="str">
        <f t="shared" si="32"/>
        <v>n/a</v>
      </c>
      <c r="N160" s="42" t="str">
        <f t="shared" si="33"/>
        <v>n/a</v>
      </c>
      <c r="O160" s="42" t="str">
        <f t="shared" si="34"/>
        <v>n/a</v>
      </c>
      <c r="P160" s="42" t="str">
        <f t="shared" si="35"/>
        <v>Compliant</v>
      </c>
      <c r="Q160" s="42" t="str">
        <f t="shared" si="36"/>
        <v>Compliant</v>
      </c>
      <c r="R160" s="42" t="str">
        <f t="shared" si="37"/>
        <v>Compliant</v>
      </c>
      <c r="S160" s="36" t="str">
        <f t="shared" si="38"/>
        <v/>
      </c>
      <c r="T160" s="42" t="str">
        <f t="shared" si="39"/>
        <v/>
      </c>
      <c r="U160" s="42" t="str">
        <f t="shared" si="40"/>
        <v/>
      </c>
      <c r="V160" s="42" t="str">
        <f t="shared" si="41"/>
        <v/>
      </c>
      <c r="W160" s="42" t="str">
        <f t="shared" si="42"/>
        <v/>
      </c>
    </row>
    <row r="161" spans="1:23" ht="15" hidden="1" customHeight="1" x14ac:dyDescent="0.25">
      <c r="A161" s="36" t="str">
        <f>Claims!A157</f>
        <v>EXP00156</v>
      </c>
      <c r="B161" s="36" t="str">
        <f>Claims!D157</f>
        <v>M1</v>
      </c>
      <c r="C161" s="36" t="str">
        <f>Claims!E157</f>
        <v>Train</v>
      </c>
      <c r="D161" s="36" t="str">
        <f>Claims!G157</f>
        <v>Non-metro</v>
      </c>
      <c r="E161" s="40">
        <f>Claims!H157</f>
        <v>2305</v>
      </c>
      <c r="F161" s="36" t="str">
        <f>Claims!K157</f>
        <v>Yes</v>
      </c>
      <c r="G161" s="36" t="str">
        <f>IF(Claims!M157="","",Claims!M157)</f>
        <v/>
      </c>
      <c r="H161" s="36" t="str">
        <f>IF(Claims!N157="","",Claims!N157)</f>
        <v/>
      </c>
      <c r="I161" s="41">
        <f>Claims!J157-Claims!I157</f>
        <v>2</v>
      </c>
      <c r="J161" s="42" t="str">
        <f t="shared" si="29"/>
        <v>n/a</v>
      </c>
      <c r="K161" s="42" t="str">
        <f t="shared" si="30"/>
        <v>n/a</v>
      </c>
      <c r="L161" s="42" t="str">
        <f t="shared" si="31"/>
        <v>n/a</v>
      </c>
      <c r="M161" s="42" t="str">
        <f t="shared" si="32"/>
        <v>n/a</v>
      </c>
      <c r="N161" s="42" t="str">
        <f t="shared" si="33"/>
        <v>n/a</v>
      </c>
      <c r="O161" s="42" t="str">
        <f t="shared" si="34"/>
        <v>n/a</v>
      </c>
      <c r="P161" s="42" t="str">
        <f t="shared" si="35"/>
        <v>Compliant</v>
      </c>
      <c r="Q161" s="42" t="str">
        <f t="shared" si="36"/>
        <v>Compliant</v>
      </c>
      <c r="R161" s="42" t="str">
        <f t="shared" si="37"/>
        <v>Compliant</v>
      </c>
      <c r="S161" s="36" t="str">
        <f t="shared" si="38"/>
        <v/>
      </c>
      <c r="T161" s="42" t="str">
        <f t="shared" si="39"/>
        <v/>
      </c>
      <c r="U161" s="42" t="str">
        <f t="shared" si="40"/>
        <v/>
      </c>
      <c r="V161" s="42" t="str">
        <f t="shared" si="41"/>
        <v/>
      </c>
      <c r="W161" s="42" t="str">
        <f t="shared" si="42"/>
        <v/>
      </c>
    </row>
    <row r="162" spans="1:23" ht="15" hidden="1" customHeight="1" x14ac:dyDescent="0.25">
      <c r="A162" s="36" t="str">
        <f>Claims!A158</f>
        <v>EXP00157</v>
      </c>
      <c r="B162" s="36" t="str">
        <f>Claims!D158</f>
        <v>M2</v>
      </c>
      <c r="C162" s="36" t="str">
        <f>Claims!E158</f>
        <v>Client Entertainment</v>
      </c>
      <c r="D162" s="36" t="str">
        <f>Claims!G158</f>
        <v>Metro</v>
      </c>
      <c r="E162" s="40">
        <f>Claims!H158</f>
        <v>16848</v>
      </c>
      <c r="F162" s="36" t="str">
        <f>Claims!K158</f>
        <v>No</v>
      </c>
      <c r="G162" s="36" t="str">
        <f>IF(Claims!M158="","",Claims!M158)</f>
        <v/>
      </c>
      <c r="H162" s="36" t="str">
        <f>IF(Claims!N158="","",Claims!N158)</f>
        <v/>
      </c>
      <c r="I162" s="41">
        <f>Claims!J158-Claims!I158</f>
        <v>70</v>
      </c>
      <c r="J162" s="42" t="str">
        <f t="shared" si="29"/>
        <v>n/a</v>
      </c>
      <c r="K162" s="42" t="str">
        <f t="shared" si="30"/>
        <v>n/a</v>
      </c>
      <c r="L162" s="42" t="str">
        <f t="shared" si="31"/>
        <v>n/a</v>
      </c>
      <c r="M162" s="42" t="str">
        <f t="shared" si="32"/>
        <v>n/a</v>
      </c>
      <c r="N162" s="42" t="str">
        <f t="shared" si="33"/>
        <v>n/a</v>
      </c>
      <c r="O162" s="42" t="str">
        <f t="shared" si="34"/>
        <v>n/a</v>
      </c>
      <c r="P162" s="42" t="str">
        <f t="shared" si="35"/>
        <v>Violation</v>
      </c>
      <c r="Q162" s="42" t="str">
        <f t="shared" si="36"/>
        <v>Violation</v>
      </c>
      <c r="R162" s="42" t="str">
        <f t="shared" si="37"/>
        <v>Violation</v>
      </c>
      <c r="S162" s="36" t="str">
        <f t="shared" si="38"/>
        <v>TP-09, TP-10</v>
      </c>
      <c r="T162" s="42" t="str">
        <f t="shared" si="39"/>
        <v>Expired</v>
      </c>
      <c r="U162" s="42" t="str">
        <f t="shared" si="40"/>
        <v>Definite</v>
      </c>
      <c r="V162" s="42" t="str">
        <f t="shared" si="41"/>
        <v/>
      </c>
      <c r="W162" s="42" t="str">
        <f t="shared" si="42"/>
        <v/>
      </c>
    </row>
    <row r="163" spans="1:23" ht="15" hidden="1" customHeight="1" x14ac:dyDescent="0.25">
      <c r="A163" s="36" t="str">
        <f>Claims!A159</f>
        <v>EXP00158</v>
      </c>
      <c r="B163" s="36" t="str">
        <f>Claims!D159</f>
        <v>M2</v>
      </c>
      <c r="C163" s="36" t="str">
        <f>Claims!E159</f>
        <v>Flight</v>
      </c>
      <c r="D163" s="36" t="str">
        <f>Claims!G159</f>
        <v>Non-metro</v>
      </c>
      <c r="E163" s="40">
        <f>Claims!H159</f>
        <v>20388</v>
      </c>
      <c r="F163" s="36" t="str">
        <f>Claims!K159</f>
        <v>Yes</v>
      </c>
      <c r="G163" s="36">
        <f>IF(Claims!M159="","",Claims!M159)</f>
        <v>11</v>
      </c>
      <c r="H163" s="36" t="str">
        <f>IF(Claims!N159="","",Claims!N159)</f>
        <v>Economy</v>
      </c>
      <c r="I163" s="41">
        <f>Claims!J159-Claims!I159</f>
        <v>9</v>
      </c>
      <c r="J163" s="42" t="str">
        <f t="shared" si="29"/>
        <v>Compliant</v>
      </c>
      <c r="K163" s="42" t="str">
        <f t="shared" si="30"/>
        <v>Compliant</v>
      </c>
      <c r="L163" s="42" t="str">
        <f t="shared" si="31"/>
        <v>n/a</v>
      </c>
      <c r="M163" s="42" t="str">
        <f t="shared" si="32"/>
        <v>n/a</v>
      </c>
      <c r="N163" s="42" t="str">
        <f t="shared" si="33"/>
        <v>n/a</v>
      </c>
      <c r="O163" s="42" t="str">
        <f t="shared" si="34"/>
        <v>n/a</v>
      </c>
      <c r="P163" s="42" t="str">
        <f t="shared" si="35"/>
        <v>Compliant</v>
      </c>
      <c r="Q163" s="42" t="str">
        <f t="shared" si="36"/>
        <v>Compliant</v>
      </c>
      <c r="R163" s="42" t="str">
        <f t="shared" si="37"/>
        <v>Compliant</v>
      </c>
      <c r="S163" s="36" t="str">
        <f t="shared" si="38"/>
        <v/>
      </c>
      <c r="T163" s="42" t="str">
        <f t="shared" si="39"/>
        <v/>
      </c>
      <c r="U163" s="42" t="str">
        <f t="shared" si="40"/>
        <v/>
      </c>
      <c r="V163" s="42" t="str">
        <f t="shared" si="41"/>
        <v/>
      </c>
      <c r="W163" s="42" t="str">
        <f t="shared" si="42"/>
        <v/>
      </c>
    </row>
    <row r="164" spans="1:23" ht="15" hidden="1" customHeight="1" x14ac:dyDescent="0.25">
      <c r="A164" s="36" t="str">
        <f>Claims!A160</f>
        <v>EXP00159</v>
      </c>
      <c r="B164" s="36" t="str">
        <f>Claims!D160</f>
        <v>M2</v>
      </c>
      <c r="C164" s="36" t="str">
        <f>Claims!E160</f>
        <v>Flight</v>
      </c>
      <c r="D164" s="36" t="str">
        <f>Claims!G160</f>
        <v>Metro</v>
      </c>
      <c r="E164" s="40">
        <f>Claims!H160</f>
        <v>5624</v>
      </c>
      <c r="F164" s="36" t="str">
        <f>Claims!K160</f>
        <v>Yes</v>
      </c>
      <c r="G164" s="36">
        <f>IF(Claims!M160="","",Claims!M160)</f>
        <v>7</v>
      </c>
      <c r="H164" s="36" t="str">
        <f>IF(Claims!N160="","",Claims!N160)</f>
        <v>Economy</v>
      </c>
      <c r="I164" s="41">
        <f>Claims!J160-Claims!I160</f>
        <v>2</v>
      </c>
      <c r="J164" s="42" t="str">
        <f t="shared" si="29"/>
        <v>Compliant</v>
      </c>
      <c r="K164" s="42" t="str">
        <f t="shared" si="30"/>
        <v>Compliant</v>
      </c>
      <c r="L164" s="42" t="str">
        <f t="shared" si="31"/>
        <v>n/a</v>
      </c>
      <c r="M164" s="42" t="str">
        <f t="shared" si="32"/>
        <v>n/a</v>
      </c>
      <c r="N164" s="42" t="str">
        <f t="shared" si="33"/>
        <v>n/a</v>
      </c>
      <c r="O164" s="42" t="str">
        <f t="shared" si="34"/>
        <v>n/a</v>
      </c>
      <c r="P164" s="42" t="str">
        <f t="shared" si="35"/>
        <v>Compliant</v>
      </c>
      <c r="Q164" s="42" t="str">
        <f t="shared" si="36"/>
        <v>Compliant</v>
      </c>
      <c r="R164" s="42" t="str">
        <f t="shared" si="37"/>
        <v>Compliant</v>
      </c>
      <c r="S164" s="36" t="str">
        <f t="shared" si="38"/>
        <v/>
      </c>
      <c r="T164" s="42" t="str">
        <f t="shared" si="39"/>
        <v/>
      </c>
      <c r="U164" s="42" t="str">
        <f t="shared" si="40"/>
        <v/>
      </c>
      <c r="V164" s="42" t="str">
        <f t="shared" si="41"/>
        <v/>
      </c>
      <c r="W164" s="42" t="str">
        <f t="shared" si="42"/>
        <v/>
      </c>
    </row>
    <row r="165" spans="1:23" ht="15" hidden="1" customHeight="1" x14ac:dyDescent="0.25">
      <c r="A165" s="36" t="str">
        <f>Claims!A161</f>
        <v>EXP00160</v>
      </c>
      <c r="B165" s="36" t="str">
        <f>Claims!D161</f>
        <v>M2</v>
      </c>
      <c r="C165" s="36" t="str">
        <f>Claims!E161</f>
        <v>Client Entertainment</v>
      </c>
      <c r="D165" s="36" t="str">
        <f>Claims!G161</f>
        <v>Metro</v>
      </c>
      <c r="E165" s="40">
        <f>Claims!H161</f>
        <v>14299</v>
      </c>
      <c r="F165" s="36" t="str">
        <f>Claims!K161</f>
        <v>Yes</v>
      </c>
      <c r="G165" s="36" t="str">
        <f>IF(Claims!M161="","",Claims!M161)</f>
        <v/>
      </c>
      <c r="H165" s="36" t="str">
        <f>IF(Claims!N161="","",Claims!N161)</f>
        <v/>
      </c>
      <c r="I165" s="41">
        <f>Claims!J161-Claims!I161</f>
        <v>2</v>
      </c>
      <c r="J165" s="42" t="str">
        <f t="shared" si="29"/>
        <v>n/a</v>
      </c>
      <c r="K165" s="42" t="str">
        <f t="shared" si="30"/>
        <v>n/a</v>
      </c>
      <c r="L165" s="42" t="str">
        <f t="shared" si="31"/>
        <v>n/a</v>
      </c>
      <c r="M165" s="42" t="str">
        <f t="shared" si="32"/>
        <v>n/a</v>
      </c>
      <c r="N165" s="42" t="str">
        <f t="shared" si="33"/>
        <v>n/a</v>
      </c>
      <c r="O165" s="42" t="str">
        <f t="shared" si="34"/>
        <v>n/a</v>
      </c>
      <c r="P165" s="42" t="str">
        <f t="shared" si="35"/>
        <v>Compliant</v>
      </c>
      <c r="Q165" s="42" t="str">
        <f t="shared" si="36"/>
        <v>Compliant</v>
      </c>
      <c r="R165" s="42" t="str">
        <f t="shared" si="37"/>
        <v>Compliant</v>
      </c>
      <c r="S165" s="36" t="str">
        <f t="shared" si="38"/>
        <v/>
      </c>
      <c r="T165" s="42" t="str">
        <f t="shared" si="39"/>
        <v/>
      </c>
      <c r="U165" s="42" t="str">
        <f t="shared" si="40"/>
        <v/>
      </c>
      <c r="V165" s="42" t="str">
        <f t="shared" si="41"/>
        <v/>
      </c>
      <c r="W165" s="42" t="str">
        <f t="shared" si="42"/>
        <v/>
      </c>
    </row>
    <row r="166" spans="1:23" ht="15" hidden="1" customHeight="1" x14ac:dyDescent="0.25">
      <c r="A166" s="36" t="str">
        <f>Claims!A162</f>
        <v>EXP00161</v>
      </c>
      <c r="B166" s="36" t="str">
        <f>Claims!D162</f>
        <v>M2</v>
      </c>
      <c r="C166" s="36" t="str">
        <f>Claims!E162</f>
        <v>Flight</v>
      </c>
      <c r="D166" s="36" t="str">
        <f>Claims!G162</f>
        <v>Metro</v>
      </c>
      <c r="E166" s="40">
        <f>Claims!H162</f>
        <v>16477</v>
      </c>
      <c r="F166" s="36" t="str">
        <f>Claims!K162</f>
        <v>Yes</v>
      </c>
      <c r="G166" s="36">
        <f>IF(Claims!M162="","",Claims!M162)</f>
        <v>0</v>
      </c>
      <c r="H166" s="36" t="str">
        <f>IF(Claims!N162="","",Claims!N162)</f>
        <v>Economy</v>
      </c>
      <c r="I166" s="41">
        <f>Claims!J162-Claims!I162</f>
        <v>9</v>
      </c>
      <c r="J166" s="42" t="str">
        <f t="shared" si="29"/>
        <v>Compliant</v>
      </c>
      <c r="K166" s="42" t="str">
        <f t="shared" si="30"/>
        <v>Violation</v>
      </c>
      <c r="L166" s="42" t="str">
        <f t="shared" si="31"/>
        <v>n/a</v>
      </c>
      <c r="M166" s="42" t="str">
        <f t="shared" si="32"/>
        <v>n/a</v>
      </c>
      <c r="N166" s="42" t="str">
        <f t="shared" si="33"/>
        <v>n/a</v>
      </c>
      <c r="O166" s="42" t="str">
        <f t="shared" si="34"/>
        <v>n/a</v>
      </c>
      <c r="P166" s="42" t="str">
        <f t="shared" si="35"/>
        <v>Compliant</v>
      </c>
      <c r="Q166" s="42" t="str">
        <f t="shared" si="36"/>
        <v>Compliant</v>
      </c>
      <c r="R166" s="42" t="str">
        <f t="shared" si="37"/>
        <v>Violation</v>
      </c>
      <c r="S166" s="36" t="str">
        <f t="shared" si="38"/>
        <v>TP-02</v>
      </c>
      <c r="T166" s="42" t="str">
        <f t="shared" si="39"/>
        <v/>
      </c>
      <c r="U166" s="42" t="str">
        <f t="shared" si="40"/>
        <v>Assumption-based</v>
      </c>
      <c r="V166" s="42" t="str">
        <f t="shared" si="41"/>
        <v/>
      </c>
      <c r="W166" s="42" t="str">
        <f t="shared" si="42"/>
        <v>Needs approval</v>
      </c>
    </row>
    <row r="167" spans="1:23" ht="15" hidden="1" customHeight="1" x14ac:dyDescent="0.25">
      <c r="A167" s="36" t="str">
        <f>Claims!A163</f>
        <v>EXP00162</v>
      </c>
      <c r="B167" s="36" t="str">
        <f>Claims!D163</f>
        <v>M2</v>
      </c>
      <c r="C167" s="36" t="str">
        <f>Claims!E163</f>
        <v>Meals/DA</v>
      </c>
      <c r="D167" s="36" t="str">
        <f>Claims!G163</f>
        <v>Non-metro</v>
      </c>
      <c r="E167" s="40">
        <f>Claims!H163</f>
        <v>1290</v>
      </c>
      <c r="F167" s="36" t="str">
        <f>Claims!K163</f>
        <v>Yes</v>
      </c>
      <c r="G167" s="36" t="str">
        <f>IF(Claims!M163="","",Claims!M163)</f>
        <v/>
      </c>
      <c r="H167" s="36" t="str">
        <f>IF(Claims!N163="","",Claims!N163)</f>
        <v/>
      </c>
      <c r="I167" s="41">
        <f>Claims!J163-Claims!I163</f>
        <v>5</v>
      </c>
      <c r="J167" s="42" t="str">
        <f t="shared" si="29"/>
        <v>n/a</v>
      </c>
      <c r="K167" s="42" t="str">
        <f t="shared" si="30"/>
        <v>n/a</v>
      </c>
      <c r="L167" s="42" t="str">
        <f t="shared" si="31"/>
        <v>n/a</v>
      </c>
      <c r="M167" s="42" t="str">
        <f t="shared" si="32"/>
        <v>n/a</v>
      </c>
      <c r="N167" s="42" t="str">
        <f t="shared" si="33"/>
        <v>Violation</v>
      </c>
      <c r="O167" s="42" t="str">
        <f t="shared" si="34"/>
        <v>n/a</v>
      </c>
      <c r="P167" s="42" t="str">
        <f t="shared" si="35"/>
        <v>Compliant</v>
      </c>
      <c r="Q167" s="42" t="str">
        <f t="shared" si="36"/>
        <v>Compliant</v>
      </c>
      <c r="R167" s="42" t="str">
        <f t="shared" si="37"/>
        <v>Violation</v>
      </c>
      <c r="S167" s="36" t="str">
        <f t="shared" si="38"/>
        <v>TP-06</v>
      </c>
      <c r="T167" s="42" t="str">
        <f t="shared" si="39"/>
        <v/>
      </c>
      <c r="U167" s="42" t="str">
        <f t="shared" si="40"/>
        <v>Assumption-based</v>
      </c>
      <c r="V167" s="42">
        <f t="shared" si="41"/>
        <v>2</v>
      </c>
      <c r="W167" s="42" t="str">
        <f t="shared" si="42"/>
        <v>Needs days</v>
      </c>
    </row>
    <row r="168" spans="1:23" ht="15" hidden="1" customHeight="1" x14ac:dyDescent="0.25">
      <c r="A168" s="36" t="str">
        <f>Claims!A164</f>
        <v>EXP00163</v>
      </c>
      <c r="B168" s="36" t="str">
        <f>Claims!D164</f>
        <v>M2</v>
      </c>
      <c r="C168" s="36" t="str">
        <f>Claims!E164</f>
        <v>Meals/DA</v>
      </c>
      <c r="D168" s="36" t="str">
        <f>Claims!G164</f>
        <v>Metro</v>
      </c>
      <c r="E168" s="40">
        <f>Claims!H164</f>
        <v>1638</v>
      </c>
      <c r="F168" s="36" t="str">
        <f>Claims!K164</f>
        <v>Yes</v>
      </c>
      <c r="G168" s="36" t="str">
        <f>IF(Claims!M164="","",Claims!M164)</f>
        <v/>
      </c>
      <c r="H168" s="36" t="str">
        <f>IF(Claims!N164="","",Claims!N164)</f>
        <v/>
      </c>
      <c r="I168" s="41">
        <f>Claims!J164-Claims!I164</f>
        <v>5</v>
      </c>
      <c r="J168" s="42" t="str">
        <f t="shared" si="29"/>
        <v>n/a</v>
      </c>
      <c r="K168" s="42" t="str">
        <f t="shared" si="30"/>
        <v>n/a</v>
      </c>
      <c r="L168" s="42" t="str">
        <f t="shared" si="31"/>
        <v>n/a</v>
      </c>
      <c r="M168" s="42" t="str">
        <f t="shared" si="32"/>
        <v>n/a</v>
      </c>
      <c r="N168" s="42" t="str">
        <f t="shared" si="33"/>
        <v>Violation</v>
      </c>
      <c r="O168" s="42" t="str">
        <f t="shared" si="34"/>
        <v>n/a</v>
      </c>
      <c r="P168" s="42" t="str">
        <f t="shared" si="35"/>
        <v>Compliant</v>
      </c>
      <c r="Q168" s="42" t="str">
        <f t="shared" si="36"/>
        <v>Compliant</v>
      </c>
      <c r="R168" s="42" t="str">
        <f t="shared" si="37"/>
        <v>Violation</v>
      </c>
      <c r="S168" s="36" t="str">
        <f t="shared" si="38"/>
        <v>TP-06</v>
      </c>
      <c r="T168" s="42" t="str">
        <f t="shared" si="39"/>
        <v/>
      </c>
      <c r="U168" s="42" t="str">
        <f t="shared" si="40"/>
        <v>Assumption-based</v>
      </c>
      <c r="V168" s="42">
        <f t="shared" si="41"/>
        <v>2</v>
      </c>
      <c r="W168" s="42" t="str">
        <f t="shared" si="42"/>
        <v>Needs days</v>
      </c>
    </row>
    <row r="169" spans="1:23" ht="15" hidden="1" customHeight="1" x14ac:dyDescent="0.25">
      <c r="A169" s="36" t="str">
        <f>Claims!A165</f>
        <v>EXP00164</v>
      </c>
      <c r="B169" s="36" t="str">
        <f>Claims!D165</f>
        <v>M1</v>
      </c>
      <c r="C169" s="36" t="str">
        <f>Claims!E165</f>
        <v>Alcohol</v>
      </c>
      <c r="D169" s="36" t="str">
        <f>Claims!G165</f>
        <v>Non-metro</v>
      </c>
      <c r="E169" s="40">
        <f>Claims!H165</f>
        <v>4330</v>
      </c>
      <c r="F169" s="36" t="str">
        <f>Claims!K165</f>
        <v>No</v>
      </c>
      <c r="G169" s="36" t="str">
        <f>IF(Claims!M165="","",Claims!M165)</f>
        <v/>
      </c>
      <c r="H169" s="36" t="str">
        <f>IF(Claims!N165="","",Claims!N165)</f>
        <v/>
      </c>
      <c r="I169" s="41">
        <f>Claims!J165-Claims!I165</f>
        <v>2</v>
      </c>
      <c r="J169" s="42" t="str">
        <f t="shared" si="29"/>
        <v>n/a</v>
      </c>
      <c r="K169" s="42" t="str">
        <f t="shared" si="30"/>
        <v>n/a</v>
      </c>
      <c r="L169" s="42" t="str">
        <f t="shared" si="31"/>
        <v>n/a</v>
      </c>
      <c r="M169" s="42" t="str">
        <f t="shared" si="32"/>
        <v>n/a</v>
      </c>
      <c r="N169" s="42" t="str">
        <f t="shared" si="33"/>
        <v>n/a</v>
      </c>
      <c r="O169" s="42" t="str">
        <f t="shared" si="34"/>
        <v>Violation</v>
      </c>
      <c r="P169" s="42" t="str">
        <f t="shared" si="35"/>
        <v>Violation</v>
      </c>
      <c r="Q169" s="42" t="str">
        <f t="shared" si="36"/>
        <v>Compliant</v>
      </c>
      <c r="R169" s="42" t="str">
        <f t="shared" si="37"/>
        <v>Violation</v>
      </c>
      <c r="S169" s="36" t="str">
        <f t="shared" si="38"/>
        <v>TP-08, TP-09</v>
      </c>
      <c r="T169" s="42" t="str">
        <f t="shared" si="39"/>
        <v/>
      </c>
      <c r="U169" s="42" t="str">
        <f t="shared" si="40"/>
        <v>Definite</v>
      </c>
      <c r="V169" s="42" t="str">
        <f t="shared" si="41"/>
        <v/>
      </c>
      <c r="W169" s="42" t="str">
        <f t="shared" si="42"/>
        <v/>
      </c>
    </row>
    <row r="170" spans="1:23" ht="15" hidden="1" customHeight="1" x14ac:dyDescent="0.25">
      <c r="A170" s="36" t="str">
        <f>Claims!A166</f>
        <v>EXP00165</v>
      </c>
      <c r="B170" s="36" t="str">
        <f>Claims!D166</f>
        <v>M3</v>
      </c>
      <c r="C170" s="36" t="str">
        <f>Claims!E166</f>
        <v>Hotel</v>
      </c>
      <c r="D170" s="36" t="str">
        <f>Claims!G166</f>
        <v>Non-metro</v>
      </c>
      <c r="E170" s="40">
        <f>Claims!H166</f>
        <v>8138</v>
      </c>
      <c r="F170" s="36" t="str">
        <f>Claims!K166</f>
        <v>Yes</v>
      </c>
      <c r="G170" s="36" t="str">
        <f>IF(Claims!M166="","",Claims!M166)</f>
        <v/>
      </c>
      <c r="H170" s="36" t="str">
        <f>IF(Claims!N166="","",Claims!N166)</f>
        <v/>
      </c>
      <c r="I170" s="41">
        <f>Claims!J166-Claims!I166</f>
        <v>20</v>
      </c>
      <c r="J170" s="42" t="str">
        <f t="shared" si="29"/>
        <v>n/a</v>
      </c>
      <c r="K170" s="42" t="str">
        <f t="shared" si="30"/>
        <v>n/a</v>
      </c>
      <c r="L170" s="42" t="str">
        <f t="shared" si="31"/>
        <v>n/a</v>
      </c>
      <c r="M170" s="42" t="str">
        <f t="shared" si="32"/>
        <v>Violation</v>
      </c>
      <c r="N170" s="42" t="str">
        <f t="shared" si="33"/>
        <v>n/a</v>
      </c>
      <c r="O170" s="42" t="str">
        <f t="shared" si="34"/>
        <v>n/a</v>
      </c>
      <c r="P170" s="42" t="str">
        <f t="shared" si="35"/>
        <v>Compliant</v>
      </c>
      <c r="Q170" s="42" t="str">
        <f t="shared" si="36"/>
        <v>Violation</v>
      </c>
      <c r="R170" s="42" t="str">
        <f t="shared" si="37"/>
        <v>Violation</v>
      </c>
      <c r="S170" s="36" t="str">
        <f t="shared" si="38"/>
        <v>TP-05, TP-10</v>
      </c>
      <c r="T170" s="42" t="str">
        <f t="shared" si="39"/>
        <v>Late</v>
      </c>
      <c r="U170" s="42" t="str">
        <f t="shared" si="40"/>
        <v>Definite</v>
      </c>
      <c r="V170" s="42">
        <f t="shared" si="41"/>
        <v>2</v>
      </c>
      <c r="W170" s="42" t="str">
        <f t="shared" si="42"/>
        <v>Needs nights</v>
      </c>
    </row>
    <row r="171" spans="1:23" ht="15" hidden="1" customHeight="1" x14ac:dyDescent="0.25">
      <c r="A171" s="36" t="str">
        <f>Claims!A167</f>
        <v>EXP00166</v>
      </c>
      <c r="B171" s="36" t="str">
        <f>Claims!D167</f>
        <v>M2</v>
      </c>
      <c r="C171" s="36" t="str">
        <f>Claims!E167</f>
        <v>Local Cab</v>
      </c>
      <c r="D171" s="36" t="str">
        <f>Claims!G167</f>
        <v>Metro</v>
      </c>
      <c r="E171" s="40">
        <f>Claims!H167</f>
        <v>1922</v>
      </c>
      <c r="F171" s="36" t="str">
        <f>Claims!K167</f>
        <v>Yes</v>
      </c>
      <c r="G171" s="36" t="str">
        <f>IF(Claims!M167="","",Claims!M167)</f>
        <v/>
      </c>
      <c r="H171" s="36" t="str">
        <f>IF(Claims!N167="","",Claims!N167)</f>
        <v/>
      </c>
      <c r="I171" s="41">
        <f>Claims!J167-Claims!I167</f>
        <v>9</v>
      </c>
      <c r="J171" s="42" t="str">
        <f t="shared" si="29"/>
        <v>n/a</v>
      </c>
      <c r="K171" s="42" t="str">
        <f t="shared" si="30"/>
        <v>n/a</v>
      </c>
      <c r="L171" s="42" t="str">
        <f t="shared" si="31"/>
        <v>n/a</v>
      </c>
      <c r="M171" s="42" t="str">
        <f t="shared" si="32"/>
        <v>n/a</v>
      </c>
      <c r="N171" s="42" t="str">
        <f t="shared" si="33"/>
        <v>n/a</v>
      </c>
      <c r="O171" s="42" t="str">
        <f t="shared" si="34"/>
        <v>n/a</v>
      </c>
      <c r="P171" s="42" t="str">
        <f t="shared" si="35"/>
        <v>Compliant</v>
      </c>
      <c r="Q171" s="42" t="str">
        <f t="shared" si="36"/>
        <v>Compliant</v>
      </c>
      <c r="R171" s="42" t="str">
        <f t="shared" si="37"/>
        <v>Compliant</v>
      </c>
      <c r="S171" s="36" t="str">
        <f t="shared" si="38"/>
        <v/>
      </c>
      <c r="T171" s="42" t="str">
        <f t="shared" si="39"/>
        <v/>
      </c>
      <c r="U171" s="42" t="str">
        <f t="shared" si="40"/>
        <v/>
      </c>
      <c r="V171" s="42" t="str">
        <f t="shared" si="41"/>
        <v/>
      </c>
      <c r="W171" s="42" t="str">
        <f t="shared" si="42"/>
        <v/>
      </c>
    </row>
    <row r="172" spans="1:23" ht="15" hidden="1" customHeight="1" x14ac:dyDescent="0.25">
      <c r="A172" s="36" t="str">
        <f>Claims!A168</f>
        <v>EXP00167</v>
      </c>
      <c r="B172" s="36" t="str">
        <f>Claims!D168</f>
        <v>M5</v>
      </c>
      <c r="C172" s="36" t="str">
        <f>Claims!E168</f>
        <v>Meals/DA</v>
      </c>
      <c r="D172" s="36" t="str">
        <f>Claims!G168</f>
        <v>Non-metro</v>
      </c>
      <c r="E172" s="40">
        <f>Claims!H168</f>
        <v>1398</v>
      </c>
      <c r="F172" s="36" t="str">
        <f>Claims!K168</f>
        <v>Yes</v>
      </c>
      <c r="G172" s="36" t="str">
        <f>IF(Claims!M168="","",Claims!M168)</f>
        <v/>
      </c>
      <c r="H172" s="36" t="str">
        <f>IF(Claims!N168="","",Claims!N168)</f>
        <v/>
      </c>
      <c r="I172" s="41">
        <f>Claims!J168-Claims!I168</f>
        <v>14</v>
      </c>
      <c r="J172" s="42" t="str">
        <f t="shared" si="29"/>
        <v>n/a</v>
      </c>
      <c r="K172" s="42" t="str">
        <f t="shared" si="30"/>
        <v>n/a</v>
      </c>
      <c r="L172" s="42" t="str">
        <f t="shared" si="31"/>
        <v>n/a</v>
      </c>
      <c r="M172" s="42" t="str">
        <f t="shared" si="32"/>
        <v>n/a</v>
      </c>
      <c r="N172" s="42" t="str">
        <f t="shared" si="33"/>
        <v>Violation</v>
      </c>
      <c r="O172" s="42" t="str">
        <f t="shared" si="34"/>
        <v>n/a</v>
      </c>
      <c r="P172" s="42" t="str">
        <f t="shared" si="35"/>
        <v>Compliant</v>
      </c>
      <c r="Q172" s="42" t="str">
        <f t="shared" si="36"/>
        <v>Compliant</v>
      </c>
      <c r="R172" s="42" t="str">
        <f t="shared" si="37"/>
        <v>Violation</v>
      </c>
      <c r="S172" s="36" t="str">
        <f t="shared" si="38"/>
        <v>TP-06</v>
      </c>
      <c r="T172" s="42" t="str">
        <f t="shared" si="39"/>
        <v/>
      </c>
      <c r="U172" s="42" t="str">
        <f t="shared" si="40"/>
        <v>Assumption-based</v>
      </c>
      <c r="V172" s="42">
        <f t="shared" si="41"/>
        <v>2</v>
      </c>
      <c r="W172" s="42" t="str">
        <f t="shared" si="42"/>
        <v>Needs days</v>
      </c>
    </row>
    <row r="173" spans="1:23" ht="15" hidden="1" customHeight="1" x14ac:dyDescent="0.25">
      <c r="A173" s="36" t="str">
        <f>Claims!A169</f>
        <v>EXP00168</v>
      </c>
      <c r="B173" s="36" t="str">
        <f>Claims!D169</f>
        <v>M2</v>
      </c>
      <c r="C173" s="36" t="str">
        <f>Claims!E169</f>
        <v>Hotel</v>
      </c>
      <c r="D173" s="36" t="str">
        <f>Claims!G169</f>
        <v>Metro</v>
      </c>
      <c r="E173" s="40">
        <f>Claims!H169</f>
        <v>4204</v>
      </c>
      <c r="F173" s="36" t="str">
        <f>Claims!K169</f>
        <v>Yes</v>
      </c>
      <c r="G173" s="36" t="str">
        <f>IF(Claims!M169="","",Claims!M169)</f>
        <v/>
      </c>
      <c r="H173" s="36" t="str">
        <f>IF(Claims!N169="","",Claims!N169)</f>
        <v/>
      </c>
      <c r="I173" s="41">
        <f>Claims!J169-Claims!I169</f>
        <v>14</v>
      </c>
      <c r="J173" s="42" t="str">
        <f t="shared" si="29"/>
        <v>n/a</v>
      </c>
      <c r="K173" s="42" t="str">
        <f t="shared" si="30"/>
        <v>n/a</v>
      </c>
      <c r="L173" s="42" t="str">
        <f t="shared" si="31"/>
        <v>Compliant</v>
      </c>
      <c r="M173" s="42" t="str">
        <f t="shared" si="32"/>
        <v>n/a</v>
      </c>
      <c r="N173" s="42" t="str">
        <f t="shared" si="33"/>
        <v>n/a</v>
      </c>
      <c r="O173" s="42" t="str">
        <f t="shared" si="34"/>
        <v>n/a</v>
      </c>
      <c r="P173" s="42" t="str">
        <f t="shared" si="35"/>
        <v>Compliant</v>
      </c>
      <c r="Q173" s="42" t="str">
        <f t="shared" si="36"/>
        <v>Compliant</v>
      </c>
      <c r="R173" s="42" t="str">
        <f t="shared" si="37"/>
        <v>Compliant</v>
      </c>
      <c r="S173" s="36" t="str">
        <f t="shared" si="38"/>
        <v/>
      </c>
      <c r="T173" s="42" t="str">
        <f t="shared" si="39"/>
        <v/>
      </c>
      <c r="U173" s="42" t="str">
        <f t="shared" si="40"/>
        <v/>
      </c>
      <c r="V173" s="42" t="str">
        <f t="shared" si="41"/>
        <v/>
      </c>
      <c r="W173" s="42" t="str">
        <f t="shared" si="42"/>
        <v/>
      </c>
    </row>
    <row r="174" spans="1:23" ht="15" hidden="1" customHeight="1" x14ac:dyDescent="0.25">
      <c r="A174" s="36" t="str">
        <f>Claims!A170</f>
        <v>EXP00169</v>
      </c>
      <c r="B174" s="36" t="str">
        <f>Claims!D170</f>
        <v>M1</v>
      </c>
      <c r="C174" s="36" t="str">
        <f>Claims!E170</f>
        <v>Train</v>
      </c>
      <c r="D174" s="36" t="str">
        <f>Claims!G170</f>
        <v>Non-metro</v>
      </c>
      <c r="E174" s="40">
        <f>Claims!H170</f>
        <v>3969</v>
      </c>
      <c r="F174" s="36" t="str">
        <f>Claims!K170</f>
        <v>Yes</v>
      </c>
      <c r="G174" s="36" t="str">
        <f>IF(Claims!M170="","",Claims!M170)</f>
        <v/>
      </c>
      <c r="H174" s="36" t="str">
        <f>IF(Claims!N170="","",Claims!N170)</f>
        <v/>
      </c>
      <c r="I174" s="41">
        <f>Claims!J170-Claims!I170</f>
        <v>35</v>
      </c>
      <c r="J174" s="42" t="str">
        <f t="shared" si="29"/>
        <v>n/a</v>
      </c>
      <c r="K174" s="42" t="str">
        <f t="shared" si="30"/>
        <v>n/a</v>
      </c>
      <c r="L174" s="42" t="str">
        <f t="shared" si="31"/>
        <v>n/a</v>
      </c>
      <c r="M174" s="42" t="str">
        <f t="shared" si="32"/>
        <v>n/a</v>
      </c>
      <c r="N174" s="42" t="str">
        <f t="shared" si="33"/>
        <v>n/a</v>
      </c>
      <c r="O174" s="42" t="str">
        <f t="shared" si="34"/>
        <v>n/a</v>
      </c>
      <c r="P174" s="42" t="str">
        <f t="shared" si="35"/>
        <v>Compliant</v>
      </c>
      <c r="Q174" s="42" t="str">
        <f t="shared" si="36"/>
        <v>Violation</v>
      </c>
      <c r="R174" s="42" t="str">
        <f t="shared" si="37"/>
        <v>Violation</v>
      </c>
      <c r="S174" s="36" t="str">
        <f t="shared" si="38"/>
        <v>TP-10</v>
      </c>
      <c r="T174" s="42" t="str">
        <f t="shared" si="39"/>
        <v>Late</v>
      </c>
      <c r="U174" s="42" t="str">
        <f t="shared" si="40"/>
        <v>Definite</v>
      </c>
      <c r="V174" s="42" t="str">
        <f t="shared" si="41"/>
        <v/>
      </c>
      <c r="W174" s="42" t="str">
        <f t="shared" si="42"/>
        <v/>
      </c>
    </row>
    <row r="175" spans="1:23" ht="15" hidden="1" customHeight="1" x14ac:dyDescent="0.25">
      <c r="A175" s="36" t="str">
        <f>Claims!A171</f>
        <v>EXP00170</v>
      </c>
      <c r="B175" s="36" t="str">
        <f>Claims!D171</f>
        <v>M4</v>
      </c>
      <c r="C175" s="36" t="str">
        <f>Claims!E171</f>
        <v>Local Cab</v>
      </c>
      <c r="D175" s="36" t="str">
        <f>Claims!G171</f>
        <v>Metro</v>
      </c>
      <c r="E175" s="40">
        <f>Claims!H171</f>
        <v>218</v>
      </c>
      <c r="F175" s="36" t="str">
        <f>Claims!K171</f>
        <v>No</v>
      </c>
      <c r="G175" s="36" t="str">
        <f>IF(Claims!M171="","",Claims!M171)</f>
        <v/>
      </c>
      <c r="H175" s="36" t="str">
        <f>IF(Claims!N171="","",Claims!N171)</f>
        <v/>
      </c>
      <c r="I175" s="41">
        <f>Claims!J171-Claims!I171</f>
        <v>20</v>
      </c>
      <c r="J175" s="42" t="str">
        <f t="shared" si="29"/>
        <v>n/a</v>
      </c>
      <c r="K175" s="42" t="str">
        <f t="shared" si="30"/>
        <v>n/a</v>
      </c>
      <c r="L175" s="42" t="str">
        <f t="shared" si="31"/>
        <v>n/a</v>
      </c>
      <c r="M175" s="42" t="str">
        <f t="shared" si="32"/>
        <v>n/a</v>
      </c>
      <c r="N175" s="42" t="str">
        <f t="shared" si="33"/>
        <v>n/a</v>
      </c>
      <c r="O175" s="42" t="str">
        <f t="shared" si="34"/>
        <v>n/a</v>
      </c>
      <c r="P175" s="42" t="str">
        <f t="shared" si="35"/>
        <v>Compliant</v>
      </c>
      <c r="Q175" s="42" t="str">
        <f t="shared" si="36"/>
        <v>Violation</v>
      </c>
      <c r="R175" s="42" t="str">
        <f t="shared" si="37"/>
        <v>Violation</v>
      </c>
      <c r="S175" s="36" t="str">
        <f t="shared" si="38"/>
        <v>TP-10</v>
      </c>
      <c r="T175" s="42" t="str">
        <f t="shared" si="39"/>
        <v>Late</v>
      </c>
      <c r="U175" s="42" t="str">
        <f t="shared" si="40"/>
        <v>Definite</v>
      </c>
      <c r="V175" s="42" t="str">
        <f t="shared" si="41"/>
        <v/>
      </c>
      <c r="W175" s="42" t="str">
        <f t="shared" si="42"/>
        <v/>
      </c>
    </row>
    <row r="176" spans="1:23" ht="15" hidden="1" customHeight="1" x14ac:dyDescent="0.25">
      <c r="A176" s="36" t="str">
        <f>Claims!A172</f>
        <v>EXP00171</v>
      </c>
      <c r="B176" s="36" t="str">
        <f>Claims!D172</f>
        <v>M1</v>
      </c>
      <c r="C176" s="36" t="str">
        <f>Claims!E172</f>
        <v>Stationery</v>
      </c>
      <c r="D176" s="36" t="str">
        <f>Claims!G172</f>
        <v>Metro</v>
      </c>
      <c r="E176" s="40">
        <f>Claims!H172</f>
        <v>532</v>
      </c>
      <c r="F176" s="36" t="str">
        <f>Claims!K172</f>
        <v>Yes</v>
      </c>
      <c r="G176" s="36" t="str">
        <f>IF(Claims!M172="","",Claims!M172)</f>
        <v/>
      </c>
      <c r="H176" s="36" t="str">
        <f>IF(Claims!N172="","",Claims!N172)</f>
        <v/>
      </c>
      <c r="I176" s="41">
        <f>Claims!J172-Claims!I172</f>
        <v>5</v>
      </c>
      <c r="J176" s="42" t="str">
        <f t="shared" si="29"/>
        <v>n/a</v>
      </c>
      <c r="K176" s="42" t="str">
        <f t="shared" si="30"/>
        <v>n/a</v>
      </c>
      <c r="L176" s="42" t="str">
        <f t="shared" si="31"/>
        <v>n/a</v>
      </c>
      <c r="M176" s="42" t="str">
        <f t="shared" si="32"/>
        <v>n/a</v>
      </c>
      <c r="N176" s="42" t="str">
        <f t="shared" si="33"/>
        <v>n/a</v>
      </c>
      <c r="O176" s="42" t="str">
        <f t="shared" si="34"/>
        <v>n/a</v>
      </c>
      <c r="P176" s="42" t="str">
        <f t="shared" si="35"/>
        <v>Compliant</v>
      </c>
      <c r="Q176" s="42" t="str">
        <f t="shared" si="36"/>
        <v>Compliant</v>
      </c>
      <c r="R176" s="42" t="str">
        <f t="shared" si="37"/>
        <v>Compliant</v>
      </c>
      <c r="S176" s="36" t="str">
        <f t="shared" si="38"/>
        <v/>
      </c>
      <c r="T176" s="42" t="str">
        <f t="shared" si="39"/>
        <v/>
      </c>
      <c r="U176" s="42" t="str">
        <f t="shared" si="40"/>
        <v/>
      </c>
      <c r="V176" s="42" t="str">
        <f t="shared" si="41"/>
        <v/>
      </c>
      <c r="W176" s="42" t="str">
        <f t="shared" si="42"/>
        <v/>
      </c>
    </row>
    <row r="177" spans="1:23" ht="15" hidden="1" customHeight="1" x14ac:dyDescent="0.25">
      <c r="A177" s="36" t="str">
        <f>Claims!A173</f>
        <v>EXP00172</v>
      </c>
      <c r="B177" s="36" t="str">
        <f>Claims!D173</f>
        <v>M2</v>
      </c>
      <c r="C177" s="36" t="str">
        <f>Claims!E173</f>
        <v>Hotel</v>
      </c>
      <c r="D177" s="36" t="str">
        <f>Claims!G173</f>
        <v>Non-metro</v>
      </c>
      <c r="E177" s="40">
        <f>Claims!H173</f>
        <v>3793</v>
      </c>
      <c r="F177" s="36" t="str">
        <f>Claims!K173</f>
        <v>No</v>
      </c>
      <c r="G177" s="36" t="str">
        <f>IF(Claims!M173="","",Claims!M173)</f>
        <v/>
      </c>
      <c r="H177" s="36" t="str">
        <f>IF(Claims!N173="","",Claims!N173)</f>
        <v/>
      </c>
      <c r="I177" s="41">
        <f>Claims!J173-Claims!I173</f>
        <v>14</v>
      </c>
      <c r="J177" s="42" t="str">
        <f t="shared" si="29"/>
        <v>n/a</v>
      </c>
      <c r="K177" s="42" t="str">
        <f t="shared" si="30"/>
        <v>n/a</v>
      </c>
      <c r="L177" s="42" t="str">
        <f t="shared" si="31"/>
        <v>n/a</v>
      </c>
      <c r="M177" s="42" t="str">
        <f t="shared" si="32"/>
        <v>Compliant</v>
      </c>
      <c r="N177" s="42" t="str">
        <f t="shared" si="33"/>
        <v>n/a</v>
      </c>
      <c r="O177" s="42" t="str">
        <f t="shared" si="34"/>
        <v>n/a</v>
      </c>
      <c r="P177" s="42" t="str">
        <f t="shared" si="35"/>
        <v>Violation</v>
      </c>
      <c r="Q177" s="42" t="str">
        <f t="shared" si="36"/>
        <v>Compliant</v>
      </c>
      <c r="R177" s="42" t="str">
        <f t="shared" si="37"/>
        <v>Violation</v>
      </c>
      <c r="S177" s="36" t="str">
        <f t="shared" si="38"/>
        <v>TP-09</v>
      </c>
      <c r="T177" s="42" t="str">
        <f t="shared" si="39"/>
        <v/>
      </c>
      <c r="U177" s="42" t="str">
        <f t="shared" si="40"/>
        <v>Definite</v>
      </c>
      <c r="V177" s="42" t="str">
        <f t="shared" si="41"/>
        <v/>
      </c>
      <c r="W177" s="42" t="str">
        <f t="shared" si="42"/>
        <v/>
      </c>
    </row>
    <row r="178" spans="1:23" ht="15" hidden="1" customHeight="1" x14ac:dyDescent="0.25">
      <c r="A178" s="36" t="str">
        <f>Claims!A174</f>
        <v>EXP00173</v>
      </c>
      <c r="B178" s="36" t="str">
        <f>Claims!D174</f>
        <v>M3</v>
      </c>
      <c r="C178" s="36" t="str">
        <f>Claims!E174</f>
        <v>Flight</v>
      </c>
      <c r="D178" s="36" t="str">
        <f>Claims!G174</f>
        <v>Non-metro</v>
      </c>
      <c r="E178" s="40">
        <f>Claims!H174</f>
        <v>8037</v>
      </c>
      <c r="F178" s="36" t="str">
        <f>Claims!K174</f>
        <v>No</v>
      </c>
      <c r="G178" s="36">
        <f>IF(Claims!M174="","",Claims!M174)</f>
        <v>9</v>
      </c>
      <c r="H178" s="36" t="str">
        <f>IF(Claims!N174="","",Claims!N174)</f>
        <v>Economy</v>
      </c>
      <c r="I178" s="41">
        <f>Claims!J174-Claims!I174</f>
        <v>20</v>
      </c>
      <c r="J178" s="42" t="str">
        <f t="shared" si="29"/>
        <v>Compliant</v>
      </c>
      <c r="K178" s="42" t="str">
        <f t="shared" si="30"/>
        <v>Compliant</v>
      </c>
      <c r="L178" s="42" t="str">
        <f t="shared" si="31"/>
        <v>n/a</v>
      </c>
      <c r="M178" s="42" t="str">
        <f t="shared" si="32"/>
        <v>n/a</v>
      </c>
      <c r="N178" s="42" t="str">
        <f t="shared" si="33"/>
        <v>n/a</v>
      </c>
      <c r="O178" s="42" t="str">
        <f t="shared" si="34"/>
        <v>n/a</v>
      </c>
      <c r="P178" s="42" t="str">
        <f t="shared" si="35"/>
        <v>Violation</v>
      </c>
      <c r="Q178" s="42" t="str">
        <f t="shared" si="36"/>
        <v>Violation</v>
      </c>
      <c r="R178" s="42" t="str">
        <f t="shared" si="37"/>
        <v>Violation</v>
      </c>
      <c r="S178" s="36" t="str">
        <f t="shared" si="38"/>
        <v>TP-09, TP-10</v>
      </c>
      <c r="T178" s="42" t="str">
        <f t="shared" si="39"/>
        <v>Late</v>
      </c>
      <c r="U178" s="42" t="str">
        <f t="shared" si="40"/>
        <v>Definite</v>
      </c>
      <c r="V178" s="42" t="str">
        <f t="shared" si="41"/>
        <v/>
      </c>
      <c r="W178" s="42" t="str">
        <f t="shared" si="42"/>
        <v/>
      </c>
    </row>
    <row r="179" spans="1:23" ht="15" hidden="1" customHeight="1" x14ac:dyDescent="0.25">
      <c r="A179" s="36" t="str">
        <f>Claims!A175</f>
        <v>EXP00174</v>
      </c>
      <c r="B179" s="36" t="str">
        <f>Claims!D175</f>
        <v>M2</v>
      </c>
      <c r="C179" s="36" t="str">
        <f>Claims!E175</f>
        <v>Meals/DA</v>
      </c>
      <c r="D179" s="36" t="str">
        <f>Claims!G175</f>
        <v>Non-metro</v>
      </c>
      <c r="E179" s="40">
        <f>Claims!H175</f>
        <v>1000</v>
      </c>
      <c r="F179" s="36" t="str">
        <f>Claims!K175</f>
        <v>Yes</v>
      </c>
      <c r="G179" s="36" t="str">
        <f>IF(Claims!M175="","",Claims!M175)</f>
        <v/>
      </c>
      <c r="H179" s="36" t="str">
        <f>IF(Claims!N175="","",Claims!N175)</f>
        <v/>
      </c>
      <c r="I179" s="41">
        <f>Claims!J175-Claims!I175</f>
        <v>5</v>
      </c>
      <c r="J179" s="42" t="str">
        <f t="shared" si="29"/>
        <v>n/a</v>
      </c>
      <c r="K179" s="42" t="str">
        <f t="shared" si="30"/>
        <v>n/a</v>
      </c>
      <c r="L179" s="42" t="str">
        <f t="shared" si="31"/>
        <v>n/a</v>
      </c>
      <c r="M179" s="42" t="str">
        <f t="shared" si="32"/>
        <v>n/a</v>
      </c>
      <c r="N179" s="42" t="str">
        <f t="shared" si="33"/>
        <v>Violation</v>
      </c>
      <c r="O179" s="42" t="str">
        <f t="shared" si="34"/>
        <v>n/a</v>
      </c>
      <c r="P179" s="42" t="str">
        <f t="shared" si="35"/>
        <v>Compliant</v>
      </c>
      <c r="Q179" s="42" t="str">
        <f t="shared" si="36"/>
        <v>Compliant</v>
      </c>
      <c r="R179" s="42" t="str">
        <f t="shared" si="37"/>
        <v>Violation</v>
      </c>
      <c r="S179" s="36" t="str">
        <f t="shared" si="38"/>
        <v>TP-06</v>
      </c>
      <c r="T179" s="42" t="str">
        <f t="shared" si="39"/>
        <v/>
      </c>
      <c r="U179" s="42" t="str">
        <f t="shared" si="40"/>
        <v>Assumption-based</v>
      </c>
      <c r="V179" s="42">
        <f t="shared" si="41"/>
        <v>2</v>
      </c>
      <c r="W179" s="42" t="str">
        <f t="shared" si="42"/>
        <v>Needs days</v>
      </c>
    </row>
    <row r="180" spans="1:23" ht="15" hidden="1" customHeight="1" x14ac:dyDescent="0.25">
      <c r="A180" s="36" t="str">
        <f>Claims!A176</f>
        <v>EXP00175</v>
      </c>
      <c r="B180" s="36" t="str">
        <f>Claims!D176</f>
        <v>M2</v>
      </c>
      <c r="C180" s="36" t="str">
        <f>Claims!E176</f>
        <v>Flight</v>
      </c>
      <c r="D180" s="36" t="str">
        <f>Claims!G176</f>
        <v>Metro</v>
      </c>
      <c r="E180" s="40">
        <f>Claims!H176</f>
        <v>11238</v>
      </c>
      <c r="F180" s="36" t="str">
        <f>Claims!K176</f>
        <v>Yes</v>
      </c>
      <c r="G180" s="36">
        <f>IF(Claims!M176="","",Claims!M176)</f>
        <v>1</v>
      </c>
      <c r="H180" s="36" t="str">
        <f>IF(Claims!N176="","",Claims!N176)</f>
        <v>Economy</v>
      </c>
      <c r="I180" s="41">
        <f>Claims!J176-Claims!I176</f>
        <v>2</v>
      </c>
      <c r="J180" s="42" t="str">
        <f t="shared" si="29"/>
        <v>Compliant</v>
      </c>
      <c r="K180" s="42" t="str">
        <f t="shared" si="30"/>
        <v>Violation</v>
      </c>
      <c r="L180" s="42" t="str">
        <f t="shared" si="31"/>
        <v>n/a</v>
      </c>
      <c r="M180" s="42" t="str">
        <f t="shared" si="32"/>
        <v>n/a</v>
      </c>
      <c r="N180" s="42" t="str">
        <f t="shared" si="33"/>
        <v>n/a</v>
      </c>
      <c r="O180" s="42" t="str">
        <f t="shared" si="34"/>
        <v>n/a</v>
      </c>
      <c r="P180" s="42" t="str">
        <f t="shared" si="35"/>
        <v>Compliant</v>
      </c>
      <c r="Q180" s="42" t="str">
        <f t="shared" si="36"/>
        <v>Compliant</v>
      </c>
      <c r="R180" s="42" t="str">
        <f t="shared" si="37"/>
        <v>Violation</v>
      </c>
      <c r="S180" s="36" t="str">
        <f t="shared" si="38"/>
        <v>TP-02</v>
      </c>
      <c r="T180" s="42" t="str">
        <f t="shared" si="39"/>
        <v/>
      </c>
      <c r="U180" s="42" t="str">
        <f t="shared" si="40"/>
        <v>Assumption-based</v>
      </c>
      <c r="V180" s="42" t="str">
        <f t="shared" si="41"/>
        <v/>
      </c>
      <c r="W180" s="42" t="str">
        <f t="shared" si="42"/>
        <v>Needs approval</v>
      </c>
    </row>
    <row r="181" spans="1:23" ht="15" hidden="1" customHeight="1" x14ac:dyDescent="0.25">
      <c r="A181" s="36" t="str">
        <f>Claims!A177</f>
        <v>EXP00176</v>
      </c>
      <c r="B181" s="36" t="str">
        <f>Claims!D177</f>
        <v>M1</v>
      </c>
      <c r="C181" s="36" t="str">
        <f>Claims!E177</f>
        <v>Flight</v>
      </c>
      <c r="D181" s="36" t="str">
        <f>Claims!G177</f>
        <v>Non-metro</v>
      </c>
      <c r="E181" s="40">
        <f>Claims!H177</f>
        <v>19043</v>
      </c>
      <c r="F181" s="36" t="str">
        <f>Claims!K177</f>
        <v>Yes</v>
      </c>
      <c r="G181" s="36">
        <f>IF(Claims!M177="","",Claims!M177)</f>
        <v>10</v>
      </c>
      <c r="H181" s="36" t="str">
        <f>IF(Claims!N177="","",Claims!N177)</f>
        <v>Business</v>
      </c>
      <c r="I181" s="41">
        <f>Claims!J177-Claims!I177</f>
        <v>2</v>
      </c>
      <c r="J181" s="42" t="str">
        <f t="shared" si="29"/>
        <v>Violation</v>
      </c>
      <c r="K181" s="42" t="str">
        <f t="shared" si="30"/>
        <v>Compliant</v>
      </c>
      <c r="L181" s="42" t="str">
        <f t="shared" si="31"/>
        <v>n/a</v>
      </c>
      <c r="M181" s="42" t="str">
        <f t="shared" si="32"/>
        <v>n/a</v>
      </c>
      <c r="N181" s="42" t="str">
        <f t="shared" si="33"/>
        <v>n/a</v>
      </c>
      <c r="O181" s="42" t="str">
        <f t="shared" si="34"/>
        <v>n/a</v>
      </c>
      <c r="P181" s="42" t="str">
        <f t="shared" si="35"/>
        <v>Compliant</v>
      </c>
      <c r="Q181" s="42" t="str">
        <f t="shared" si="36"/>
        <v>Compliant</v>
      </c>
      <c r="R181" s="42" t="str">
        <f t="shared" si="37"/>
        <v>Violation</v>
      </c>
      <c r="S181" s="36" t="str">
        <f t="shared" si="38"/>
        <v>TP-01</v>
      </c>
      <c r="T181" s="42" t="str">
        <f t="shared" si="39"/>
        <v/>
      </c>
      <c r="U181" s="42" t="str">
        <f t="shared" si="40"/>
        <v>Definite</v>
      </c>
      <c r="V181" s="42" t="str">
        <f t="shared" si="41"/>
        <v/>
      </c>
      <c r="W181" s="42" t="str">
        <f t="shared" si="42"/>
        <v/>
      </c>
    </row>
    <row r="182" spans="1:23" ht="15" hidden="1" customHeight="1" x14ac:dyDescent="0.25">
      <c r="A182" s="36" t="str">
        <f>Claims!A178</f>
        <v>EXP00177</v>
      </c>
      <c r="B182" s="36" t="str">
        <f>Claims!D178</f>
        <v>M2</v>
      </c>
      <c r="C182" s="36" t="str">
        <f>Claims!E178</f>
        <v>Stationery</v>
      </c>
      <c r="D182" s="36" t="str">
        <f>Claims!G178</f>
        <v>Metro</v>
      </c>
      <c r="E182" s="40">
        <f>Claims!H178</f>
        <v>870</v>
      </c>
      <c r="F182" s="36" t="str">
        <f>Claims!K178</f>
        <v>Yes</v>
      </c>
      <c r="G182" s="36" t="str">
        <f>IF(Claims!M178="","",Claims!M178)</f>
        <v/>
      </c>
      <c r="H182" s="36" t="str">
        <f>IF(Claims!N178="","",Claims!N178)</f>
        <v/>
      </c>
      <c r="I182" s="41">
        <f>Claims!J178-Claims!I178</f>
        <v>20</v>
      </c>
      <c r="J182" s="42" t="str">
        <f t="shared" si="29"/>
        <v>n/a</v>
      </c>
      <c r="K182" s="42" t="str">
        <f t="shared" si="30"/>
        <v>n/a</v>
      </c>
      <c r="L182" s="42" t="str">
        <f t="shared" si="31"/>
        <v>n/a</v>
      </c>
      <c r="M182" s="42" t="str">
        <f t="shared" si="32"/>
        <v>n/a</v>
      </c>
      <c r="N182" s="42" t="str">
        <f t="shared" si="33"/>
        <v>n/a</v>
      </c>
      <c r="O182" s="42" t="str">
        <f t="shared" si="34"/>
        <v>n/a</v>
      </c>
      <c r="P182" s="42" t="str">
        <f t="shared" si="35"/>
        <v>Compliant</v>
      </c>
      <c r="Q182" s="42" t="str">
        <f t="shared" si="36"/>
        <v>Violation</v>
      </c>
      <c r="R182" s="42" t="str">
        <f t="shared" si="37"/>
        <v>Violation</v>
      </c>
      <c r="S182" s="36" t="str">
        <f t="shared" si="38"/>
        <v>TP-10</v>
      </c>
      <c r="T182" s="42" t="str">
        <f t="shared" si="39"/>
        <v>Late</v>
      </c>
      <c r="U182" s="42" t="str">
        <f t="shared" si="40"/>
        <v>Definite</v>
      </c>
      <c r="V182" s="42" t="str">
        <f t="shared" si="41"/>
        <v/>
      </c>
      <c r="W182" s="42" t="str">
        <f t="shared" si="42"/>
        <v/>
      </c>
    </row>
    <row r="183" spans="1:23" ht="15" hidden="1" customHeight="1" x14ac:dyDescent="0.25">
      <c r="A183" s="36" t="str">
        <f>Claims!A179</f>
        <v>EXP00178</v>
      </c>
      <c r="B183" s="36" t="str">
        <f>Claims!D179</f>
        <v>M3</v>
      </c>
      <c r="C183" s="36" t="str">
        <f>Claims!E179</f>
        <v>Local Cab</v>
      </c>
      <c r="D183" s="36" t="str">
        <f>Claims!G179</f>
        <v>Non-metro</v>
      </c>
      <c r="E183" s="40">
        <f>Claims!H179</f>
        <v>643</v>
      </c>
      <c r="F183" s="36" t="str">
        <f>Claims!K179</f>
        <v>Yes</v>
      </c>
      <c r="G183" s="36" t="str">
        <f>IF(Claims!M179="","",Claims!M179)</f>
        <v/>
      </c>
      <c r="H183" s="36" t="str">
        <f>IF(Claims!N179="","",Claims!N179)</f>
        <v/>
      </c>
      <c r="I183" s="41">
        <f>Claims!J179-Claims!I179</f>
        <v>2</v>
      </c>
      <c r="J183" s="42" t="str">
        <f t="shared" si="29"/>
        <v>n/a</v>
      </c>
      <c r="K183" s="42" t="str">
        <f t="shared" si="30"/>
        <v>n/a</v>
      </c>
      <c r="L183" s="42" t="str">
        <f t="shared" si="31"/>
        <v>n/a</v>
      </c>
      <c r="M183" s="42" t="str">
        <f t="shared" si="32"/>
        <v>n/a</v>
      </c>
      <c r="N183" s="42" t="str">
        <f t="shared" si="33"/>
        <v>n/a</v>
      </c>
      <c r="O183" s="42" t="str">
        <f t="shared" si="34"/>
        <v>n/a</v>
      </c>
      <c r="P183" s="42" t="str">
        <f t="shared" si="35"/>
        <v>Compliant</v>
      </c>
      <c r="Q183" s="42" t="str">
        <f t="shared" si="36"/>
        <v>Compliant</v>
      </c>
      <c r="R183" s="42" t="str">
        <f t="shared" si="37"/>
        <v>Compliant</v>
      </c>
      <c r="S183" s="36" t="str">
        <f t="shared" si="38"/>
        <v/>
      </c>
      <c r="T183" s="42" t="str">
        <f t="shared" si="39"/>
        <v/>
      </c>
      <c r="U183" s="42" t="str">
        <f t="shared" si="40"/>
        <v/>
      </c>
      <c r="V183" s="42" t="str">
        <f t="shared" si="41"/>
        <v/>
      </c>
      <c r="W183" s="42" t="str">
        <f t="shared" si="42"/>
        <v/>
      </c>
    </row>
    <row r="184" spans="1:23" ht="15" hidden="1" customHeight="1" x14ac:dyDescent="0.25">
      <c r="A184" s="36" t="str">
        <f>Claims!A180</f>
        <v>EXP00179</v>
      </c>
      <c r="B184" s="36" t="str">
        <f>Claims!D180</f>
        <v>M2</v>
      </c>
      <c r="C184" s="36" t="str">
        <f>Claims!E180</f>
        <v>Stationery</v>
      </c>
      <c r="D184" s="36" t="str">
        <f>Claims!G180</f>
        <v>Metro</v>
      </c>
      <c r="E184" s="40">
        <f>Claims!H180</f>
        <v>1306</v>
      </c>
      <c r="F184" s="36" t="str">
        <f>Claims!K180</f>
        <v>Yes</v>
      </c>
      <c r="G184" s="36" t="str">
        <f>IF(Claims!M180="","",Claims!M180)</f>
        <v/>
      </c>
      <c r="H184" s="36" t="str">
        <f>IF(Claims!N180="","",Claims!N180)</f>
        <v/>
      </c>
      <c r="I184" s="41">
        <f>Claims!J180-Claims!I180</f>
        <v>2</v>
      </c>
      <c r="J184" s="42" t="str">
        <f t="shared" si="29"/>
        <v>n/a</v>
      </c>
      <c r="K184" s="42" t="str">
        <f t="shared" si="30"/>
        <v>n/a</v>
      </c>
      <c r="L184" s="42" t="str">
        <f t="shared" si="31"/>
        <v>n/a</v>
      </c>
      <c r="M184" s="42" t="str">
        <f t="shared" si="32"/>
        <v>n/a</v>
      </c>
      <c r="N184" s="42" t="str">
        <f t="shared" si="33"/>
        <v>n/a</v>
      </c>
      <c r="O184" s="42" t="str">
        <f t="shared" si="34"/>
        <v>n/a</v>
      </c>
      <c r="P184" s="42" t="str">
        <f t="shared" si="35"/>
        <v>Compliant</v>
      </c>
      <c r="Q184" s="42" t="str">
        <f t="shared" si="36"/>
        <v>Compliant</v>
      </c>
      <c r="R184" s="42" t="str">
        <f t="shared" si="37"/>
        <v>Compliant</v>
      </c>
      <c r="S184" s="36" t="str">
        <f t="shared" si="38"/>
        <v/>
      </c>
      <c r="T184" s="42" t="str">
        <f t="shared" si="39"/>
        <v/>
      </c>
      <c r="U184" s="42" t="str">
        <f t="shared" si="40"/>
        <v/>
      </c>
      <c r="V184" s="42" t="str">
        <f t="shared" si="41"/>
        <v/>
      </c>
      <c r="W184" s="42" t="str">
        <f t="shared" si="42"/>
        <v/>
      </c>
    </row>
    <row r="185" spans="1:23" ht="15" hidden="1" customHeight="1" x14ac:dyDescent="0.25">
      <c r="A185" s="36" t="str">
        <f>Claims!A181</f>
        <v>EXP00180</v>
      </c>
      <c r="B185" s="36" t="str">
        <f>Claims!D181</f>
        <v>M5</v>
      </c>
      <c r="C185" s="36" t="str">
        <f>Claims!E181</f>
        <v>Client Entertainment</v>
      </c>
      <c r="D185" s="36" t="str">
        <f>Claims!G181</f>
        <v>Non-metro</v>
      </c>
      <c r="E185" s="40">
        <f>Claims!H181</f>
        <v>4477</v>
      </c>
      <c r="F185" s="36" t="str">
        <f>Claims!K181</f>
        <v>Yes</v>
      </c>
      <c r="G185" s="36" t="str">
        <f>IF(Claims!M181="","",Claims!M181)</f>
        <v/>
      </c>
      <c r="H185" s="36" t="str">
        <f>IF(Claims!N181="","",Claims!N181)</f>
        <v/>
      </c>
      <c r="I185" s="41">
        <f>Claims!J181-Claims!I181</f>
        <v>35</v>
      </c>
      <c r="J185" s="42" t="str">
        <f t="shared" si="29"/>
        <v>n/a</v>
      </c>
      <c r="K185" s="42" t="str">
        <f t="shared" si="30"/>
        <v>n/a</v>
      </c>
      <c r="L185" s="42" t="str">
        <f t="shared" si="31"/>
        <v>n/a</v>
      </c>
      <c r="M185" s="42" t="str">
        <f t="shared" si="32"/>
        <v>n/a</v>
      </c>
      <c r="N185" s="42" t="str">
        <f t="shared" si="33"/>
        <v>n/a</v>
      </c>
      <c r="O185" s="42" t="str">
        <f t="shared" si="34"/>
        <v>n/a</v>
      </c>
      <c r="P185" s="42" t="str">
        <f t="shared" si="35"/>
        <v>Compliant</v>
      </c>
      <c r="Q185" s="42" t="str">
        <f t="shared" si="36"/>
        <v>Violation</v>
      </c>
      <c r="R185" s="42" t="str">
        <f t="shared" si="37"/>
        <v>Violation</v>
      </c>
      <c r="S185" s="36" t="str">
        <f t="shared" si="38"/>
        <v>TP-10</v>
      </c>
      <c r="T185" s="42" t="str">
        <f t="shared" si="39"/>
        <v>Late</v>
      </c>
      <c r="U185" s="42" t="str">
        <f t="shared" si="40"/>
        <v>Definite</v>
      </c>
      <c r="V185" s="42" t="str">
        <f t="shared" si="41"/>
        <v/>
      </c>
      <c r="W185" s="42" t="str">
        <f t="shared" si="42"/>
        <v/>
      </c>
    </row>
    <row r="186" spans="1:23" ht="15" hidden="1" customHeight="1" x14ac:dyDescent="0.25">
      <c r="A186" s="36" t="str">
        <f>Claims!A182</f>
        <v>EXP00181</v>
      </c>
      <c r="B186" s="36" t="str">
        <f>Claims!D182</f>
        <v>M3</v>
      </c>
      <c r="C186" s="36" t="str">
        <f>Claims!E182</f>
        <v>Meals/DA</v>
      </c>
      <c r="D186" s="36" t="str">
        <f>Claims!G182</f>
        <v>Metro</v>
      </c>
      <c r="E186" s="40">
        <f>Claims!H182</f>
        <v>1080</v>
      </c>
      <c r="F186" s="36" t="str">
        <f>Claims!K182</f>
        <v>Yes</v>
      </c>
      <c r="G186" s="36" t="str">
        <f>IF(Claims!M182="","",Claims!M182)</f>
        <v/>
      </c>
      <c r="H186" s="36" t="str">
        <f>IF(Claims!N182="","",Claims!N182)</f>
        <v/>
      </c>
      <c r="I186" s="41">
        <f>Claims!J182-Claims!I182</f>
        <v>5</v>
      </c>
      <c r="J186" s="42" t="str">
        <f t="shared" si="29"/>
        <v>n/a</v>
      </c>
      <c r="K186" s="42" t="str">
        <f t="shared" si="30"/>
        <v>n/a</v>
      </c>
      <c r="L186" s="42" t="str">
        <f t="shared" si="31"/>
        <v>n/a</v>
      </c>
      <c r="M186" s="42" t="str">
        <f t="shared" si="32"/>
        <v>n/a</v>
      </c>
      <c r="N186" s="42" t="str">
        <f t="shared" si="33"/>
        <v>Compliant</v>
      </c>
      <c r="O186" s="42" t="str">
        <f t="shared" si="34"/>
        <v>n/a</v>
      </c>
      <c r="P186" s="42" t="str">
        <f t="shared" si="35"/>
        <v>Compliant</v>
      </c>
      <c r="Q186" s="42" t="str">
        <f t="shared" si="36"/>
        <v>Compliant</v>
      </c>
      <c r="R186" s="42" t="str">
        <f t="shared" si="37"/>
        <v>Compliant</v>
      </c>
      <c r="S186" s="36" t="str">
        <f t="shared" si="38"/>
        <v/>
      </c>
      <c r="T186" s="42" t="str">
        <f t="shared" si="39"/>
        <v/>
      </c>
      <c r="U186" s="42" t="str">
        <f t="shared" si="40"/>
        <v/>
      </c>
      <c r="V186" s="42" t="str">
        <f t="shared" si="41"/>
        <v/>
      </c>
      <c r="W186" s="42" t="str">
        <f t="shared" si="42"/>
        <v/>
      </c>
    </row>
    <row r="187" spans="1:23" ht="15" hidden="1" customHeight="1" x14ac:dyDescent="0.25">
      <c r="A187" s="36" t="str">
        <f>Claims!A183</f>
        <v>EXP00182</v>
      </c>
      <c r="B187" s="36" t="str">
        <f>Claims!D183</f>
        <v>M1</v>
      </c>
      <c r="C187" s="36" t="str">
        <f>Claims!E183</f>
        <v>Hotel</v>
      </c>
      <c r="D187" s="36" t="str">
        <f>Claims!G183</f>
        <v>Metro</v>
      </c>
      <c r="E187" s="40">
        <f>Claims!H183</f>
        <v>11639</v>
      </c>
      <c r="F187" s="36" t="str">
        <f>Claims!K183</f>
        <v>Yes</v>
      </c>
      <c r="G187" s="36" t="str">
        <f>IF(Claims!M183="","",Claims!M183)</f>
        <v/>
      </c>
      <c r="H187" s="36" t="str">
        <f>IF(Claims!N183="","",Claims!N183)</f>
        <v/>
      </c>
      <c r="I187" s="41">
        <f>Claims!J183-Claims!I183</f>
        <v>2</v>
      </c>
      <c r="J187" s="42" t="str">
        <f t="shared" si="29"/>
        <v>n/a</v>
      </c>
      <c r="K187" s="42" t="str">
        <f t="shared" si="30"/>
        <v>n/a</v>
      </c>
      <c r="L187" s="42" t="str">
        <f t="shared" si="31"/>
        <v>Violation</v>
      </c>
      <c r="M187" s="42" t="str">
        <f t="shared" si="32"/>
        <v>n/a</v>
      </c>
      <c r="N187" s="42" t="str">
        <f t="shared" si="33"/>
        <v>n/a</v>
      </c>
      <c r="O187" s="42" t="str">
        <f t="shared" si="34"/>
        <v>n/a</v>
      </c>
      <c r="P187" s="42" t="str">
        <f t="shared" si="35"/>
        <v>Compliant</v>
      </c>
      <c r="Q187" s="42" t="str">
        <f t="shared" si="36"/>
        <v>Compliant</v>
      </c>
      <c r="R187" s="42" t="str">
        <f t="shared" si="37"/>
        <v>Violation</v>
      </c>
      <c r="S187" s="36" t="str">
        <f t="shared" si="38"/>
        <v>TP-04</v>
      </c>
      <c r="T187" s="42" t="str">
        <f t="shared" si="39"/>
        <v/>
      </c>
      <c r="U187" s="42" t="str">
        <f t="shared" si="40"/>
        <v>Assumption-based</v>
      </c>
      <c r="V187" s="42">
        <f t="shared" si="41"/>
        <v>2</v>
      </c>
      <c r="W187" s="42" t="str">
        <f t="shared" si="42"/>
        <v>Needs nights</v>
      </c>
    </row>
    <row r="188" spans="1:23" ht="15" hidden="1" customHeight="1" x14ac:dyDescent="0.25">
      <c r="A188" s="36" t="str">
        <f>Claims!A184</f>
        <v>EXP00183</v>
      </c>
      <c r="B188" s="36" t="str">
        <f>Claims!D184</f>
        <v>M1</v>
      </c>
      <c r="C188" s="36" t="str">
        <f>Claims!E184</f>
        <v>Local Cab</v>
      </c>
      <c r="D188" s="36" t="str">
        <f>Claims!G184</f>
        <v>Non-metro</v>
      </c>
      <c r="E188" s="40">
        <f>Claims!H184</f>
        <v>217</v>
      </c>
      <c r="F188" s="36" t="str">
        <f>Claims!K184</f>
        <v>No</v>
      </c>
      <c r="G188" s="36" t="str">
        <f>IF(Claims!M184="","",Claims!M184)</f>
        <v/>
      </c>
      <c r="H188" s="36" t="str">
        <f>IF(Claims!N184="","",Claims!N184)</f>
        <v/>
      </c>
      <c r="I188" s="41">
        <f>Claims!J184-Claims!I184</f>
        <v>5</v>
      </c>
      <c r="J188" s="42" t="str">
        <f t="shared" si="29"/>
        <v>n/a</v>
      </c>
      <c r="K188" s="42" t="str">
        <f t="shared" si="30"/>
        <v>n/a</v>
      </c>
      <c r="L188" s="42" t="str">
        <f t="shared" si="31"/>
        <v>n/a</v>
      </c>
      <c r="M188" s="42" t="str">
        <f t="shared" si="32"/>
        <v>n/a</v>
      </c>
      <c r="N188" s="42" t="str">
        <f t="shared" si="33"/>
        <v>n/a</v>
      </c>
      <c r="O188" s="42" t="str">
        <f t="shared" si="34"/>
        <v>n/a</v>
      </c>
      <c r="P188" s="42" t="str">
        <f t="shared" si="35"/>
        <v>Compliant</v>
      </c>
      <c r="Q188" s="42" t="str">
        <f t="shared" si="36"/>
        <v>Compliant</v>
      </c>
      <c r="R188" s="42" t="str">
        <f t="shared" si="37"/>
        <v>Compliant</v>
      </c>
      <c r="S188" s="36" t="str">
        <f t="shared" si="38"/>
        <v/>
      </c>
      <c r="T188" s="42" t="str">
        <f t="shared" si="39"/>
        <v/>
      </c>
      <c r="U188" s="42" t="str">
        <f t="shared" si="40"/>
        <v/>
      </c>
      <c r="V188" s="42" t="str">
        <f t="shared" si="41"/>
        <v/>
      </c>
      <c r="W188" s="42" t="str">
        <f t="shared" si="42"/>
        <v/>
      </c>
    </row>
    <row r="189" spans="1:23" ht="15" hidden="1" customHeight="1" x14ac:dyDescent="0.25">
      <c r="A189" s="36" t="str">
        <f>Claims!A185</f>
        <v>EXP00184</v>
      </c>
      <c r="B189" s="36" t="str">
        <f>Claims!D185</f>
        <v>M3</v>
      </c>
      <c r="C189" s="36" t="str">
        <f>Claims!E185</f>
        <v>Client Entertainment</v>
      </c>
      <c r="D189" s="36" t="str">
        <f>Claims!G185</f>
        <v>Metro</v>
      </c>
      <c r="E189" s="40">
        <f>Claims!H185</f>
        <v>16960</v>
      </c>
      <c r="F189" s="36" t="str">
        <f>Claims!K185</f>
        <v>Yes</v>
      </c>
      <c r="G189" s="36" t="str">
        <f>IF(Claims!M185="","",Claims!M185)</f>
        <v/>
      </c>
      <c r="H189" s="36" t="str">
        <f>IF(Claims!N185="","",Claims!N185)</f>
        <v/>
      </c>
      <c r="I189" s="41">
        <f>Claims!J185-Claims!I185</f>
        <v>5</v>
      </c>
      <c r="J189" s="42" t="str">
        <f t="shared" si="29"/>
        <v>n/a</v>
      </c>
      <c r="K189" s="42" t="str">
        <f t="shared" si="30"/>
        <v>n/a</v>
      </c>
      <c r="L189" s="42" t="str">
        <f t="shared" si="31"/>
        <v>n/a</v>
      </c>
      <c r="M189" s="42" t="str">
        <f t="shared" si="32"/>
        <v>n/a</v>
      </c>
      <c r="N189" s="42" t="str">
        <f t="shared" si="33"/>
        <v>n/a</v>
      </c>
      <c r="O189" s="42" t="str">
        <f t="shared" si="34"/>
        <v>n/a</v>
      </c>
      <c r="P189" s="42" t="str">
        <f t="shared" si="35"/>
        <v>Compliant</v>
      </c>
      <c r="Q189" s="42" t="str">
        <f t="shared" si="36"/>
        <v>Compliant</v>
      </c>
      <c r="R189" s="42" t="str">
        <f t="shared" si="37"/>
        <v>Compliant</v>
      </c>
      <c r="S189" s="36" t="str">
        <f t="shared" si="38"/>
        <v/>
      </c>
      <c r="T189" s="42" t="str">
        <f t="shared" si="39"/>
        <v/>
      </c>
      <c r="U189" s="42" t="str">
        <f t="shared" si="40"/>
        <v/>
      </c>
      <c r="V189" s="42" t="str">
        <f t="shared" si="41"/>
        <v/>
      </c>
      <c r="W189" s="42" t="str">
        <f t="shared" si="42"/>
        <v/>
      </c>
    </row>
    <row r="190" spans="1:23" ht="15" hidden="1" customHeight="1" x14ac:dyDescent="0.25">
      <c r="A190" s="36" t="str">
        <f>Claims!A186</f>
        <v>EXP00185</v>
      </c>
      <c r="B190" s="36" t="str">
        <f>Claims!D186</f>
        <v>M3</v>
      </c>
      <c r="C190" s="36" t="str">
        <f>Claims!E186</f>
        <v>Train</v>
      </c>
      <c r="D190" s="36" t="str">
        <f>Claims!G186</f>
        <v>Non-metro</v>
      </c>
      <c r="E190" s="40">
        <f>Claims!H186</f>
        <v>2020</v>
      </c>
      <c r="F190" s="36" t="str">
        <f>Claims!K186</f>
        <v>Yes</v>
      </c>
      <c r="G190" s="36" t="str">
        <f>IF(Claims!M186="","",Claims!M186)</f>
        <v/>
      </c>
      <c r="H190" s="36" t="str">
        <f>IF(Claims!N186="","",Claims!N186)</f>
        <v/>
      </c>
      <c r="I190" s="41">
        <f>Claims!J186-Claims!I186</f>
        <v>14</v>
      </c>
      <c r="J190" s="42" t="str">
        <f t="shared" si="29"/>
        <v>n/a</v>
      </c>
      <c r="K190" s="42" t="str">
        <f t="shared" si="30"/>
        <v>n/a</v>
      </c>
      <c r="L190" s="42" t="str">
        <f t="shared" si="31"/>
        <v>n/a</v>
      </c>
      <c r="M190" s="42" t="str">
        <f t="shared" si="32"/>
        <v>n/a</v>
      </c>
      <c r="N190" s="42" t="str">
        <f t="shared" si="33"/>
        <v>n/a</v>
      </c>
      <c r="O190" s="42" t="str">
        <f t="shared" si="34"/>
        <v>n/a</v>
      </c>
      <c r="P190" s="42" t="str">
        <f t="shared" si="35"/>
        <v>Compliant</v>
      </c>
      <c r="Q190" s="42" t="str">
        <f t="shared" si="36"/>
        <v>Compliant</v>
      </c>
      <c r="R190" s="42" t="str">
        <f t="shared" si="37"/>
        <v>Compliant</v>
      </c>
      <c r="S190" s="36" t="str">
        <f t="shared" si="38"/>
        <v/>
      </c>
      <c r="T190" s="42" t="str">
        <f t="shared" si="39"/>
        <v/>
      </c>
      <c r="U190" s="42" t="str">
        <f t="shared" si="40"/>
        <v/>
      </c>
      <c r="V190" s="42" t="str">
        <f t="shared" si="41"/>
        <v/>
      </c>
      <c r="W190" s="42" t="str">
        <f t="shared" si="42"/>
        <v/>
      </c>
    </row>
    <row r="191" spans="1:23" ht="15" hidden="1" customHeight="1" x14ac:dyDescent="0.25">
      <c r="A191" s="36" t="str">
        <f>Claims!A187</f>
        <v>EXP00186</v>
      </c>
      <c r="B191" s="36" t="str">
        <f>Claims!D187</f>
        <v>M2</v>
      </c>
      <c r="C191" s="36" t="str">
        <f>Claims!E187</f>
        <v>Flight</v>
      </c>
      <c r="D191" s="36" t="str">
        <f>Claims!G187</f>
        <v>Non-metro</v>
      </c>
      <c r="E191" s="40">
        <f>Claims!H187</f>
        <v>15855</v>
      </c>
      <c r="F191" s="36" t="str">
        <f>Claims!K187</f>
        <v>Yes</v>
      </c>
      <c r="G191" s="36">
        <f>IF(Claims!M187="","",Claims!M187)</f>
        <v>18</v>
      </c>
      <c r="H191" s="36" t="str">
        <f>IF(Claims!N187="","",Claims!N187)</f>
        <v>Economy</v>
      </c>
      <c r="I191" s="41">
        <f>Claims!J187-Claims!I187</f>
        <v>2</v>
      </c>
      <c r="J191" s="42" t="str">
        <f t="shared" si="29"/>
        <v>Compliant</v>
      </c>
      <c r="K191" s="42" t="str">
        <f t="shared" si="30"/>
        <v>Compliant</v>
      </c>
      <c r="L191" s="42" t="str">
        <f t="shared" si="31"/>
        <v>n/a</v>
      </c>
      <c r="M191" s="42" t="str">
        <f t="shared" si="32"/>
        <v>n/a</v>
      </c>
      <c r="N191" s="42" t="str">
        <f t="shared" si="33"/>
        <v>n/a</v>
      </c>
      <c r="O191" s="42" t="str">
        <f t="shared" si="34"/>
        <v>n/a</v>
      </c>
      <c r="P191" s="42" t="str">
        <f t="shared" si="35"/>
        <v>Compliant</v>
      </c>
      <c r="Q191" s="42" t="str">
        <f t="shared" si="36"/>
        <v>Compliant</v>
      </c>
      <c r="R191" s="42" t="str">
        <f t="shared" si="37"/>
        <v>Compliant</v>
      </c>
      <c r="S191" s="36" t="str">
        <f t="shared" si="38"/>
        <v/>
      </c>
      <c r="T191" s="42" t="str">
        <f t="shared" si="39"/>
        <v/>
      </c>
      <c r="U191" s="42" t="str">
        <f t="shared" si="40"/>
        <v/>
      </c>
      <c r="V191" s="42" t="str">
        <f t="shared" si="41"/>
        <v/>
      </c>
      <c r="W191" s="42" t="str">
        <f t="shared" si="42"/>
        <v/>
      </c>
    </row>
    <row r="192" spans="1:23" ht="15" hidden="1" customHeight="1" x14ac:dyDescent="0.25">
      <c r="A192" s="36" t="str">
        <f>Claims!A188</f>
        <v>EXP00187</v>
      </c>
      <c r="B192" s="36" t="str">
        <f>Claims!D188</f>
        <v>M1</v>
      </c>
      <c r="C192" s="36" t="str">
        <f>Claims!E188</f>
        <v>Train</v>
      </c>
      <c r="D192" s="36" t="str">
        <f>Claims!G188</f>
        <v>Metro</v>
      </c>
      <c r="E192" s="40">
        <f>Claims!H188</f>
        <v>1467</v>
      </c>
      <c r="F192" s="36" t="str">
        <f>Claims!K188</f>
        <v>Yes</v>
      </c>
      <c r="G192" s="36" t="str">
        <f>IF(Claims!M188="","",Claims!M188)</f>
        <v/>
      </c>
      <c r="H192" s="36" t="str">
        <f>IF(Claims!N188="","",Claims!N188)</f>
        <v/>
      </c>
      <c r="I192" s="41">
        <f>Claims!J188-Claims!I188</f>
        <v>9</v>
      </c>
      <c r="J192" s="42" t="str">
        <f t="shared" si="29"/>
        <v>n/a</v>
      </c>
      <c r="K192" s="42" t="str">
        <f t="shared" si="30"/>
        <v>n/a</v>
      </c>
      <c r="L192" s="42" t="str">
        <f t="shared" si="31"/>
        <v>n/a</v>
      </c>
      <c r="M192" s="42" t="str">
        <f t="shared" si="32"/>
        <v>n/a</v>
      </c>
      <c r="N192" s="42" t="str">
        <f t="shared" si="33"/>
        <v>n/a</v>
      </c>
      <c r="O192" s="42" t="str">
        <f t="shared" si="34"/>
        <v>n/a</v>
      </c>
      <c r="P192" s="42" t="str">
        <f t="shared" si="35"/>
        <v>Compliant</v>
      </c>
      <c r="Q192" s="42" t="str">
        <f t="shared" si="36"/>
        <v>Compliant</v>
      </c>
      <c r="R192" s="42" t="str">
        <f t="shared" si="37"/>
        <v>Compliant</v>
      </c>
      <c r="S192" s="36" t="str">
        <f t="shared" si="38"/>
        <v/>
      </c>
      <c r="T192" s="42" t="str">
        <f t="shared" si="39"/>
        <v/>
      </c>
      <c r="U192" s="42" t="str">
        <f t="shared" si="40"/>
        <v/>
      </c>
      <c r="V192" s="42" t="str">
        <f t="shared" si="41"/>
        <v/>
      </c>
      <c r="W192" s="42" t="str">
        <f t="shared" si="42"/>
        <v/>
      </c>
    </row>
    <row r="193" spans="1:23" ht="15" hidden="1" customHeight="1" x14ac:dyDescent="0.25">
      <c r="A193" s="36" t="str">
        <f>Claims!A189</f>
        <v>EXP00188</v>
      </c>
      <c r="B193" s="36" t="str">
        <f>Claims!D189</f>
        <v>M1</v>
      </c>
      <c r="C193" s="36" t="str">
        <f>Claims!E189</f>
        <v>Stationery</v>
      </c>
      <c r="D193" s="36" t="str">
        <f>Claims!G189</f>
        <v>Non-metro</v>
      </c>
      <c r="E193" s="40">
        <f>Claims!H189</f>
        <v>1028</v>
      </c>
      <c r="F193" s="36" t="str">
        <f>Claims!K189</f>
        <v>No</v>
      </c>
      <c r="G193" s="36" t="str">
        <f>IF(Claims!M189="","",Claims!M189)</f>
        <v/>
      </c>
      <c r="H193" s="36" t="str">
        <f>IF(Claims!N189="","",Claims!N189)</f>
        <v/>
      </c>
      <c r="I193" s="41">
        <f>Claims!J189-Claims!I189</f>
        <v>9</v>
      </c>
      <c r="J193" s="42" t="str">
        <f t="shared" si="29"/>
        <v>n/a</v>
      </c>
      <c r="K193" s="42" t="str">
        <f t="shared" si="30"/>
        <v>n/a</v>
      </c>
      <c r="L193" s="42" t="str">
        <f t="shared" si="31"/>
        <v>n/a</v>
      </c>
      <c r="M193" s="42" t="str">
        <f t="shared" si="32"/>
        <v>n/a</v>
      </c>
      <c r="N193" s="42" t="str">
        <f t="shared" si="33"/>
        <v>n/a</v>
      </c>
      <c r="O193" s="42" t="str">
        <f t="shared" si="34"/>
        <v>n/a</v>
      </c>
      <c r="P193" s="42" t="str">
        <f t="shared" si="35"/>
        <v>Violation</v>
      </c>
      <c r="Q193" s="42" t="str">
        <f t="shared" si="36"/>
        <v>Compliant</v>
      </c>
      <c r="R193" s="42" t="str">
        <f t="shared" si="37"/>
        <v>Violation</v>
      </c>
      <c r="S193" s="36" t="str">
        <f t="shared" si="38"/>
        <v>TP-09</v>
      </c>
      <c r="T193" s="42" t="str">
        <f t="shared" si="39"/>
        <v/>
      </c>
      <c r="U193" s="42" t="str">
        <f t="shared" si="40"/>
        <v>Definite</v>
      </c>
      <c r="V193" s="42" t="str">
        <f t="shared" si="41"/>
        <v/>
      </c>
      <c r="W193" s="42" t="str">
        <f t="shared" si="42"/>
        <v/>
      </c>
    </row>
    <row r="194" spans="1:23" ht="15" hidden="1" customHeight="1" x14ac:dyDescent="0.25">
      <c r="A194" s="36" t="str">
        <f>Claims!A190</f>
        <v>EXP00189</v>
      </c>
      <c r="B194" s="36" t="str">
        <f>Claims!D190</f>
        <v>M1</v>
      </c>
      <c r="C194" s="36" t="str">
        <f>Claims!E190</f>
        <v>Local Cab</v>
      </c>
      <c r="D194" s="36" t="str">
        <f>Claims!G190</f>
        <v>Non-metro</v>
      </c>
      <c r="E194" s="40">
        <f>Claims!H190</f>
        <v>1563</v>
      </c>
      <c r="F194" s="36" t="str">
        <f>Claims!K190</f>
        <v>Yes</v>
      </c>
      <c r="G194" s="36" t="str">
        <f>IF(Claims!M190="","",Claims!M190)</f>
        <v/>
      </c>
      <c r="H194" s="36" t="str">
        <f>IF(Claims!N190="","",Claims!N190)</f>
        <v/>
      </c>
      <c r="I194" s="41">
        <f>Claims!J190-Claims!I190</f>
        <v>9</v>
      </c>
      <c r="J194" s="42" t="str">
        <f t="shared" si="29"/>
        <v>n/a</v>
      </c>
      <c r="K194" s="42" t="str">
        <f t="shared" si="30"/>
        <v>n/a</v>
      </c>
      <c r="L194" s="42" t="str">
        <f t="shared" si="31"/>
        <v>n/a</v>
      </c>
      <c r="M194" s="42" t="str">
        <f t="shared" si="32"/>
        <v>n/a</v>
      </c>
      <c r="N194" s="42" t="str">
        <f t="shared" si="33"/>
        <v>n/a</v>
      </c>
      <c r="O194" s="42" t="str">
        <f t="shared" si="34"/>
        <v>n/a</v>
      </c>
      <c r="P194" s="42" t="str">
        <f t="shared" si="35"/>
        <v>Compliant</v>
      </c>
      <c r="Q194" s="42" t="str">
        <f t="shared" si="36"/>
        <v>Compliant</v>
      </c>
      <c r="R194" s="42" t="str">
        <f t="shared" si="37"/>
        <v>Compliant</v>
      </c>
      <c r="S194" s="36" t="str">
        <f t="shared" si="38"/>
        <v/>
      </c>
      <c r="T194" s="42" t="str">
        <f t="shared" si="39"/>
        <v/>
      </c>
      <c r="U194" s="42" t="str">
        <f t="shared" si="40"/>
        <v/>
      </c>
      <c r="V194" s="42" t="str">
        <f t="shared" si="41"/>
        <v/>
      </c>
      <c r="W194" s="42" t="str">
        <f t="shared" si="42"/>
        <v/>
      </c>
    </row>
    <row r="195" spans="1:23" ht="15" hidden="1" customHeight="1" x14ac:dyDescent="0.25">
      <c r="A195" s="36" t="str">
        <f>Claims!A191</f>
        <v>EXP00190</v>
      </c>
      <c r="B195" s="36" t="str">
        <f>Claims!D191</f>
        <v>M3</v>
      </c>
      <c r="C195" s="36" t="str">
        <f>Claims!E191</f>
        <v>Local Cab</v>
      </c>
      <c r="D195" s="36" t="str">
        <f>Claims!G191</f>
        <v>Metro</v>
      </c>
      <c r="E195" s="40">
        <f>Claims!H191</f>
        <v>1402</v>
      </c>
      <c r="F195" s="36" t="str">
        <f>Claims!K191</f>
        <v>Yes</v>
      </c>
      <c r="G195" s="36" t="str">
        <f>IF(Claims!M191="","",Claims!M191)</f>
        <v/>
      </c>
      <c r="H195" s="36" t="str">
        <f>IF(Claims!N191="","",Claims!N191)</f>
        <v/>
      </c>
      <c r="I195" s="41">
        <f>Claims!J191-Claims!I191</f>
        <v>2</v>
      </c>
      <c r="J195" s="42" t="str">
        <f t="shared" si="29"/>
        <v>n/a</v>
      </c>
      <c r="K195" s="42" t="str">
        <f t="shared" si="30"/>
        <v>n/a</v>
      </c>
      <c r="L195" s="42" t="str">
        <f t="shared" si="31"/>
        <v>n/a</v>
      </c>
      <c r="M195" s="42" t="str">
        <f t="shared" si="32"/>
        <v>n/a</v>
      </c>
      <c r="N195" s="42" t="str">
        <f t="shared" si="33"/>
        <v>n/a</v>
      </c>
      <c r="O195" s="42" t="str">
        <f t="shared" si="34"/>
        <v>n/a</v>
      </c>
      <c r="P195" s="42" t="str">
        <f t="shared" si="35"/>
        <v>Compliant</v>
      </c>
      <c r="Q195" s="42" t="str">
        <f t="shared" si="36"/>
        <v>Compliant</v>
      </c>
      <c r="R195" s="42" t="str">
        <f t="shared" si="37"/>
        <v>Compliant</v>
      </c>
      <c r="S195" s="36" t="str">
        <f t="shared" si="38"/>
        <v/>
      </c>
      <c r="T195" s="42" t="str">
        <f t="shared" si="39"/>
        <v/>
      </c>
      <c r="U195" s="42" t="str">
        <f t="shared" si="40"/>
        <v/>
      </c>
      <c r="V195" s="42" t="str">
        <f t="shared" si="41"/>
        <v/>
      </c>
      <c r="W195" s="42" t="str">
        <f t="shared" si="42"/>
        <v/>
      </c>
    </row>
    <row r="196" spans="1:23" ht="15" hidden="1" customHeight="1" x14ac:dyDescent="0.25">
      <c r="A196" s="36" t="str">
        <f>Claims!A192</f>
        <v>EXP00191</v>
      </c>
      <c r="B196" s="36" t="str">
        <f>Claims!D192</f>
        <v>M1</v>
      </c>
      <c r="C196" s="36" t="str">
        <f>Claims!E192</f>
        <v>Hotel</v>
      </c>
      <c r="D196" s="36" t="str">
        <f>Claims!G192</f>
        <v>Non-metro</v>
      </c>
      <c r="E196" s="40">
        <f>Claims!H192</f>
        <v>15881</v>
      </c>
      <c r="F196" s="36" t="str">
        <f>Claims!K192</f>
        <v>Yes</v>
      </c>
      <c r="G196" s="36" t="str">
        <f>IF(Claims!M192="","",Claims!M192)</f>
        <v/>
      </c>
      <c r="H196" s="36" t="str">
        <f>IF(Claims!N192="","",Claims!N192)</f>
        <v/>
      </c>
      <c r="I196" s="41">
        <f>Claims!J192-Claims!I192</f>
        <v>70</v>
      </c>
      <c r="J196" s="42" t="str">
        <f t="shared" si="29"/>
        <v>n/a</v>
      </c>
      <c r="K196" s="42" t="str">
        <f t="shared" si="30"/>
        <v>n/a</v>
      </c>
      <c r="L196" s="42" t="str">
        <f t="shared" si="31"/>
        <v>n/a</v>
      </c>
      <c r="M196" s="42" t="str">
        <f t="shared" si="32"/>
        <v>Violation</v>
      </c>
      <c r="N196" s="42" t="str">
        <f t="shared" si="33"/>
        <v>n/a</v>
      </c>
      <c r="O196" s="42" t="str">
        <f t="shared" si="34"/>
        <v>n/a</v>
      </c>
      <c r="P196" s="42" t="str">
        <f t="shared" si="35"/>
        <v>Compliant</v>
      </c>
      <c r="Q196" s="42" t="str">
        <f t="shared" si="36"/>
        <v>Violation</v>
      </c>
      <c r="R196" s="42" t="str">
        <f t="shared" si="37"/>
        <v>Violation</v>
      </c>
      <c r="S196" s="36" t="str">
        <f t="shared" si="38"/>
        <v>TP-05, TP-10</v>
      </c>
      <c r="T196" s="42" t="str">
        <f t="shared" si="39"/>
        <v>Expired</v>
      </c>
      <c r="U196" s="42" t="str">
        <f t="shared" si="40"/>
        <v>Definite</v>
      </c>
      <c r="V196" s="42">
        <f t="shared" si="41"/>
        <v>4</v>
      </c>
      <c r="W196" s="42" t="str">
        <f t="shared" si="42"/>
        <v>Needs nights</v>
      </c>
    </row>
    <row r="197" spans="1:23" ht="15" hidden="1" customHeight="1" x14ac:dyDescent="0.25">
      <c r="A197" s="36" t="str">
        <f>Claims!A193</f>
        <v>EXP00192</v>
      </c>
      <c r="B197" s="36" t="str">
        <f>Claims!D193</f>
        <v>M3</v>
      </c>
      <c r="C197" s="36" t="str">
        <f>Claims!E193</f>
        <v>Local Cab</v>
      </c>
      <c r="D197" s="36" t="str">
        <f>Claims!G193</f>
        <v>Metro</v>
      </c>
      <c r="E197" s="40">
        <f>Claims!H193</f>
        <v>2035</v>
      </c>
      <c r="F197" s="36" t="str">
        <f>Claims!K193</f>
        <v>No</v>
      </c>
      <c r="G197" s="36" t="str">
        <f>IF(Claims!M193="","",Claims!M193)</f>
        <v/>
      </c>
      <c r="H197" s="36" t="str">
        <f>IF(Claims!N193="","",Claims!N193)</f>
        <v/>
      </c>
      <c r="I197" s="41">
        <f>Claims!J193-Claims!I193</f>
        <v>35</v>
      </c>
      <c r="J197" s="42" t="str">
        <f t="shared" si="29"/>
        <v>n/a</v>
      </c>
      <c r="K197" s="42" t="str">
        <f t="shared" si="30"/>
        <v>n/a</v>
      </c>
      <c r="L197" s="42" t="str">
        <f t="shared" si="31"/>
        <v>n/a</v>
      </c>
      <c r="M197" s="42" t="str">
        <f t="shared" si="32"/>
        <v>n/a</v>
      </c>
      <c r="N197" s="42" t="str">
        <f t="shared" si="33"/>
        <v>n/a</v>
      </c>
      <c r="O197" s="42" t="str">
        <f t="shared" si="34"/>
        <v>n/a</v>
      </c>
      <c r="P197" s="42" t="str">
        <f t="shared" si="35"/>
        <v>Violation</v>
      </c>
      <c r="Q197" s="42" t="str">
        <f t="shared" si="36"/>
        <v>Violation</v>
      </c>
      <c r="R197" s="42" t="str">
        <f t="shared" si="37"/>
        <v>Violation</v>
      </c>
      <c r="S197" s="36" t="str">
        <f t="shared" si="38"/>
        <v>TP-09, TP-10</v>
      </c>
      <c r="T197" s="42" t="str">
        <f t="shared" si="39"/>
        <v>Late</v>
      </c>
      <c r="U197" s="42" t="str">
        <f t="shared" si="40"/>
        <v>Definite</v>
      </c>
      <c r="V197" s="42" t="str">
        <f t="shared" si="41"/>
        <v/>
      </c>
      <c r="W197" s="42" t="str">
        <f t="shared" si="42"/>
        <v/>
      </c>
    </row>
    <row r="198" spans="1:23" ht="15" hidden="1" customHeight="1" x14ac:dyDescent="0.25">
      <c r="A198" s="36" t="str">
        <f>Claims!A194</f>
        <v>EXP00193</v>
      </c>
      <c r="B198" s="36" t="str">
        <f>Claims!D194</f>
        <v>M3</v>
      </c>
      <c r="C198" s="36" t="str">
        <f>Claims!E194</f>
        <v>Local Cab</v>
      </c>
      <c r="D198" s="36" t="str">
        <f>Claims!G194</f>
        <v>Non-metro</v>
      </c>
      <c r="E198" s="40">
        <f>Claims!H194</f>
        <v>1684</v>
      </c>
      <c r="F198" s="36" t="str">
        <f>Claims!K194</f>
        <v>No</v>
      </c>
      <c r="G198" s="36" t="str">
        <f>IF(Claims!M194="","",Claims!M194)</f>
        <v/>
      </c>
      <c r="H198" s="36" t="str">
        <f>IF(Claims!N194="","",Claims!N194)</f>
        <v/>
      </c>
      <c r="I198" s="41">
        <f>Claims!J194-Claims!I194</f>
        <v>14</v>
      </c>
      <c r="J198" s="42" t="str">
        <f t="shared" ref="J198:J261" si="43">IF(C198=Lbl_Flight,IF(AND(H198=Lbl_Business,INDEX(Biz_Permitted,MATCH(B198,Caps_Grade,0))=Lbl_BizNo),Lbl_Viol,Lbl_Comp),Lbl_NA)</f>
        <v>n/a</v>
      </c>
      <c r="K198" s="42" t="str">
        <f t="shared" ref="K198:K261" si="44">IF(C198=Lbl_Flight,IF(G198&lt;Min_Days_Booked,Lbl_Viol,Lbl_Comp),Lbl_NA)</f>
        <v>n/a</v>
      </c>
      <c r="L198" s="42" t="str">
        <f t="shared" ref="L198:L261" si="45">IF(AND(C198=Lbl_Hotel,D198=Lbl_Metro),IF(E198&gt;INDEX(Caps_Metro,MATCH(B198,Caps_Grade,0)),Lbl_Viol,Lbl_Comp),Lbl_NA)</f>
        <v>n/a</v>
      </c>
      <c r="M198" s="42" t="str">
        <f t="shared" ref="M198:M261" si="46">IF(AND(C198=Lbl_Hotel,D198=Lbl_NonMetro),IF(E198&gt;INDEX(Caps_NonMetro,MATCH(B198,Caps_Grade,0)),Lbl_Viol,Lbl_Comp),Lbl_NA)</f>
        <v>n/a</v>
      </c>
      <c r="N198" s="42" t="str">
        <f t="shared" ref="N198:N261" si="47">IF(C198=Lbl_Meals,IF(E198&gt;IF(D198=Lbl_Metro,Limit_Metro,Limit_NonMetro),Lbl_Viol,Lbl_Comp),Lbl_NA)</f>
        <v>n/a</v>
      </c>
      <c r="O198" s="42" t="str">
        <f t="shared" ref="O198:O261" si="48">IF(C198=Lbl_Alcohol,Lbl_Viol,Lbl_NA)</f>
        <v>n/a</v>
      </c>
      <c r="P198" s="42" t="str">
        <f t="shared" ref="P198:P261" si="49">IF(AND(F198=Lbl_NoReceipt,E198&gt;Receipt_Threshold),Lbl_Viol,Lbl_Comp)</f>
        <v>Violation</v>
      </c>
      <c r="Q198" s="42" t="str">
        <f t="shared" ref="Q198:Q261" si="50">IF(I198&gt;Late_Days,Lbl_Viol,Lbl_Comp)</f>
        <v>Compliant</v>
      </c>
      <c r="R198" s="42" t="str">
        <f t="shared" ref="R198:R261" si="51">IF(COUNTIF(J198:Q198,Lbl_Viol)&gt;0,Lbl_Viol,Lbl_Comp)</f>
        <v>Violation</v>
      </c>
      <c r="S198" s="36" t="str">
        <f t="shared" ref="S198:S261" si="52">_xlfn.TEXTJOIN(", ",TRUE(),IF(J198=Lbl_Viol,J$5,""),IF(K198=Lbl_Viol,K$5,""),IF(L198=Lbl_Viol,L$5,""),IF(M198=Lbl_Viol,M$5,""),IF(N198=Lbl_Viol,N$5,""),IF(O198=Lbl_Viol,O$5,""),IF(P198=Lbl_Viol,P$5,""),IF(Q198=Lbl_Viol,Q$5,""))</f>
        <v>TP-09</v>
      </c>
      <c r="T198" s="42" t="str">
        <f t="shared" ref="T198:T261" si="53">IF(Q198=Lbl_Viol,IF(I198&gt;Expired_Days,Lbl_Expired,Lbl_Late),"")</f>
        <v/>
      </c>
      <c r="U198" s="42" t="str">
        <f t="shared" ref="U198:U261" si="54">IF(R198=Lbl_Comp,"",IF(SUMPRODUCT((J198:Q198=Lbl_Viol)*(J$4:Q$4=Lbl_Definite))&gt;0,Lbl_Definite,Lbl_Assumption))</f>
        <v>Definite</v>
      </c>
      <c r="V198" s="42" t="str">
        <f t="shared" ref="V198:V261" si="55">IF(L198=Lbl_Viol,ROUNDUP(E198/INDEX(Caps_Metro,MATCH(B198,Caps_Grade,0)),0),IF(M198=Lbl_Viol,ROUNDUP(E198/INDEX(Caps_NonMetro,MATCH(B198,Caps_Grade,0)),0),IF(N198=Lbl_Viol,ROUNDUP(E198/IF(D198=Lbl_Metro,Limit_Metro,Limit_NonMetro),0),"")))</f>
        <v/>
      </c>
      <c r="W198" s="42" t="str">
        <f t="shared" ref="W198:W261" si="56">IF(OR(L198=Lbl_Viol,M198=Lbl_Viol),Lbl_NeedNights,IF(N198=Lbl_Viol,Lbl_NeedDays,IF(K198=Lbl_Viol,Lbl_NeedApproval,"")))</f>
        <v/>
      </c>
    </row>
    <row r="199" spans="1:23" ht="15" hidden="1" customHeight="1" x14ac:dyDescent="0.25">
      <c r="A199" s="36" t="str">
        <f>Claims!A195</f>
        <v>EXP00194</v>
      </c>
      <c r="B199" s="36" t="str">
        <f>Claims!D195</f>
        <v>M2</v>
      </c>
      <c r="C199" s="36" t="str">
        <f>Claims!E195</f>
        <v>Stationery</v>
      </c>
      <c r="D199" s="36" t="str">
        <f>Claims!G195</f>
        <v>Non-metro</v>
      </c>
      <c r="E199" s="40">
        <f>Claims!H195</f>
        <v>757</v>
      </c>
      <c r="F199" s="36" t="str">
        <f>Claims!K195</f>
        <v>Yes</v>
      </c>
      <c r="G199" s="36" t="str">
        <f>IF(Claims!M195="","",Claims!M195)</f>
        <v/>
      </c>
      <c r="H199" s="36" t="str">
        <f>IF(Claims!N195="","",Claims!N195)</f>
        <v/>
      </c>
      <c r="I199" s="41">
        <f>Claims!J195-Claims!I195</f>
        <v>35</v>
      </c>
      <c r="J199" s="42" t="str">
        <f t="shared" si="43"/>
        <v>n/a</v>
      </c>
      <c r="K199" s="42" t="str">
        <f t="shared" si="44"/>
        <v>n/a</v>
      </c>
      <c r="L199" s="42" t="str">
        <f t="shared" si="45"/>
        <v>n/a</v>
      </c>
      <c r="M199" s="42" t="str">
        <f t="shared" si="46"/>
        <v>n/a</v>
      </c>
      <c r="N199" s="42" t="str">
        <f t="shared" si="47"/>
        <v>n/a</v>
      </c>
      <c r="O199" s="42" t="str">
        <f t="shared" si="48"/>
        <v>n/a</v>
      </c>
      <c r="P199" s="42" t="str">
        <f t="shared" si="49"/>
        <v>Compliant</v>
      </c>
      <c r="Q199" s="42" t="str">
        <f t="shared" si="50"/>
        <v>Violation</v>
      </c>
      <c r="R199" s="42" t="str">
        <f t="shared" si="51"/>
        <v>Violation</v>
      </c>
      <c r="S199" s="36" t="str">
        <f t="shared" si="52"/>
        <v>TP-10</v>
      </c>
      <c r="T199" s="42" t="str">
        <f t="shared" si="53"/>
        <v>Late</v>
      </c>
      <c r="U199" s="42" t="str">
        <f t="shared" si="54"/>
        <v>Definite</v>
      </c>
      <c r="V199" s="42" t="str">
        <f t="shared" si="55"/>
        <v/>
      </c>
      <c r="W199" s="42" t="str">
        <f t="shared" si="56"/>
        <v/>
      </c>
    </row>
    <row r="200" spans="1:23" ht="15" hidden="1" customHeight="1" x14ac:dyDescent="0.25">
      <c r="A200" s="36" t="str">
        <f>Claims!A196</f>
        <v>EXP00195</v>
      </c>
      <c r="B200" s="36" t="str">
        <f>Claims!D196</f>
        <v>M3</v>
      </c>
      <c r="C200" s="36" t="str">
        <f>Claims!E196</f>
        <v>Train</v>
      </c>
      <c r="D200" s="36" t="str">
        <f>Claims!G196</f>
        <v>Non-metro</v>
      </c>
      <c r="E200" s="40">
        <f>Claims!H196</f>
        <v>2394</v>
      </c>
      <c r="F200" s="36" t="str">
        <f>Claims!K196</f>
        <v>Yes</v>
      </c>
      <c r="G200" s="36" t="str">
        <f>IF(Claims!M196="","",Claims!M196)</f>
        <v/>
      </c>
      <c r="H200" s="36" t="str">
        <f>IF(Claims!N196="","",Claims!N196)</f>
        <v/>
      </c>
      <c r="I200" s="41">
        <f>Claims!J196-Claims!I196</f>
        <v>35</v>
      </c>
      <c r="J200" s="42" t="str">
        <f t="shared" si="43"/>
        <v>n/a</v>
      </c>
      <c r="K200" s="42" t="str">
        <f t="shared" si="44"/>
        <v>n/a</v>
      </c>
      <c r="L200" s="42" t="str">
        <f t="shared" si="45"/>
        <v>n/a</v>
      </c>
      <c r="M200" s="42" t="str">
        <f t="shared" si="46"/>
        <v>n/a</v>
      </c>
      <c r="N200" s="42" t="str">
        <f t="shared" si="47"/>
        <v>n/a</v>
      </c>
      <c r="O200" s="42" t="str">
        <f t="shared" si="48"/>
        <v>n/a</v>
      </c>
      <c r="P200" s="42" t="str">
        <f t="shared" si="49"/>
        <v>Compliant</v>
      </c>
      <c r="Q200" s="42" t="str">
        <f t="shared" si="50"/>
        <v>Violation</v>
      </c>
      <c r="R200" s="42" t="str">
        <f t="shared" si="51"/>
        <v>Violation</v>
      </c>
      <c r="S200" s="36" t="str">
        <f t="shared" si="52"/>
        <v>TP-10</v>
      </c>
      <c r="T200" s="42" t="str">
        <f t="shared" si="53"/>
        <v>Late</v>
      </c>
      <c r="U200" s="42" t="str">
        <f t="shared" si="54"/>
        <v>Definite</v>
      </c>
      <c r="V200" s="42" t="str">
        <f t="shared" si="55"/>
        <v/>
      </c>
      <c r="W200" s="42" t="str">
        <f t="shared" si="56"/>
        <v/>
      </c>
    </row>
    <row r="201" spans="1:23" ht="15" hidden="1" customHeight="1" x14ac:dyDescent="0.25">
      <c r="A201" s="36" t="str">
        <f>Claims!A197</f>
        <v>EXP00196</v>
      </c>
      <c r="B201" s="36" t="str">
        <f>Claims!D197</f>
        <v>M2</v>
      </c>
      <c r="C201" s="36" t="str">
        <f>Claims!E197</f>
        <v>Local Cab</v>
      </c>
      <c r="D201" s="36" t="str">
        <f>Claims!G197</f>
        <v>Non-metro</v>
      </c>
      <c r="E201" s="40">
        <f>Claims!H197</f>
        <v>2005</v>
      </c>
      <c r="F201" s="36" t="str">
        <f>Claims!K197</f>
        <v>Yes</v>
      </c>
      <c r="G201" s="36" t="str">
        <f>IF(Claims!M197="","",Claims!M197)</f>
        <v/>
      </c>
      <c r="H201" s="36" t="str">
        <f>IF(Claims!N197="","",Claims!N197)</f>
        <v/>
      </c>
      <c r="I201" s="41">
        <f>Claims!J197-Claims!I197</f>
        <v>14</v>
      </c>
      <c r="J201" s="42" t="str">
        <f t="shared" si="43"/>
        <v>n/a</v>
      </c>
      <c r="K201" s="42" t="str">
        <f t="shared" si="44"/>
        <v>n/a</v>
      </c>
      <c r="L201" s="42" t="str">
        <f t="shared" si="45"/>
        <v>n/a</v>
      </c>
      <c r="M201" s="42" t="str">
        <f t="shared" si="46"/>
        <v>n/a</v>
      </c>
      <c r="N201" s="42" t="str">
        <f t="shared" si="47"/>
        <v>n/a</v>
      </c>
      <c r="O201" s="42" t="str">
        <f t="shared" si="48"/>
        <v>n/a</v>
      </c>
      <c r="P201" s="42" t="str">
        <f t="shared" si="49"/>
        <v>Compliant</v>
      </c>
      <c r="Q201" s="42" t="str">
        <f t="shared" si="50"/>
        <v>Compliant</v>
      </c>
      <c r="R201" s="42" t="str">
        <f t="shared" si="51"/>
        <v>Compliant</v>
      </c>
      <c r="S201" s="36" t="str">
        <f t="shared" si="52"/>
        <v/>
      </c>
      <c r="T201" s="42" t="str">
        <f t="shared" si="53"/>
        <v/>
      </c>
      <c r="U201" s="42" t="str">
        <f t="shared" si="54"/>
        <v/>
      </c>
      <c r="V201" s="42" t="str">
        <f t="shared" si="55"/>
        <v/>
      </c>
      <c r="W201" s="42" t="str">
        <f t="shared" si="56"/>
        <v/>
      </c>
    </row>
    <row r="202" spans="1:23" ht="15" hidden="1" customHeight="1" x14ac:dyDescent="0.25">
      <c r="A202" s="36" t="str">
        <f>Claims!A198</f>
        <v>EXP00197</v>
      </c>
      <c r="B202" s="36" t="str">
        <f>Claims!D198</f>
        <v>M3</v>
      </c>
      <c r="C202" s="36" t="str">
        <f>Claims!E198</f>
        <v>Hotel</v>
      </c>
      <c r="D202" s="36" t="str">
        <f>Claims!G198</f>
        <v>Non-metro</v>
      </c>
      <c r="E202" s="40">
        <f>Claims!H198</f>
        <v>3644</v>
      </c>
      <c r="F202" s="36" t="str">
        <f>Claims!K198</f>
        <v>Yes</v>
      </c>
      <c r="G202" s="36" t="str">
        <f>IF(Claims!M198="","",Claims!M198)</f>
        <v/>
      </c>
      <c r="H202" s="36" t="str">
        <f>IF(Claims!N198="","",Claims!N198)</f>
        <v/>
      </c>
      <c r="I202" s="41">
        <f>Claims!J198-Claims!I198</f>
        <v>2</v>
      </c>
      <c r="J202" s="42" t="str">
        <f t="shared" si="43"/>
        <v>n/a</v>
      </c>
      <c r="K202" s="42" t="str">
        <f t="shared" si="44"/>
        <v>n/a</v>
      </c>
      <c r="L202" s="42" t="str">
        <f t="shared" si="45"/>
        <v>n/a</v>
      </c>
      <c r="M202" s="42" t="str">
        <f t="shared" si="46"/>
        <v>Compliant</v>
      </c>
      <c r="N202" s="42" t="str">
        <f t="shared" si="47"/>
        <v>n/a</v>
      </c>
      <c r="O202" s="42" t="str">
        <f t="shared" si="48"/>
        <v>n/a</v>
      </c>
      <c r="P202" s="42" t="str">
        <f t="shared" si="49"/>
        <v>Compliant</v>
      </c>
      <c r="Q202" s="42" t="str">
        <f t="shared" si="50"/>
        <v>Compliant</v>
      </c>
      <c r="R202" s="42" t="str">
        <f t="shared" si="51"/>
        <v>Compliant</v>
      </c>
      <c r="S202" s="36" t="str">
        <f t="shared" si="52"/>
        <v/>
      </c>
      <c r="T202" s="42" t="str">
        <f t="shared" si="53"/>
        <v/>
      </c>
      <c r="U202" s="42" t="str">
        <f t="shared" si="54"/>
        <v/>
      </c>
      <c r="V202" s="42" t="str">
        <f t="shared" si="55"/>
        <v/>
      </c>
      <c r="W202" s="42" t="str">
        <f t="shared" si="56"/>
        <v/>
      </c>
    </row>
    <row r="203" spans="1:23" ht="15" hidden="1" customHeight="1" x14ac:dyDescent="0.25">
      <c r="A203" s="36" t="str">
        <f>Claims!A199</f>
        <v>EXP00198</v>
      </c>
      <c r="B203" s="36" t="str">
        <f>Claims!D199</f>
        <v>M1</v>
      </c>
      <c r="C203" s="36" t="str">
        <f>Claims!E199</f>
        <v>Hotel</v>
      </c>
      <c r="D203" s="36" t="str">
        <f>Claims!G199</f>
        <v>Metro</v>
      </c>
      <c r="E203" s="40">
        <f>Claims!H199</f>
        <v>10985</v>
      </c>
      <c r="F203" s="36" t="str">
        <f>Claims!K199</f>
        <v>Yes</v>
      </c>
      <c r="G203" s="36" t="str">
        <f>IF(Claims!M199="","",Claims!M199)</f>
        <v/>
      </c>
      <c r="H203" s="36" t="str">
        <f>IF(Claims!N199="","",Claims!N199)</f>
        <v/>
      </c>
      <c r="I203" s="41">
        <f>Claims!J199-Claims!I199</f>
        <v>14</v>
      </c>
      <c r="J203" s="42" t="str">
        <f t="shared" si="43"/>
        <v>n/a</v>
      </c>
      <c r="K203" s="42" t="str">
        <f t="shared" si="44"/>
        <v>n/a</v>
      </c>
      <c r="L203" s="42" t="str">
        <f t="shared" si="45"/>
        <v>Violation</v>
      </c>
      <c r="M203" s="42" t="str">
        <f t="shared" si="46"/>
        <v>n/a</v>
      </c>
      <c r="N203" s="42" t="str">
        <f t="shared" si="47"/>
        <v>n/a</v>
      </c>
      <c r="O203" s="42" t="str">
        <f t="shared" si="48"/>
        <v>n/a</v>
      </c>
      <c r="P203" s="42" t="str">
        <f t="shared" si="49"/>
        <v>Compliant</v>
      </c>
      <c r="Q203" s="42" t="str">
        <f t="shared" si="50"/>
        <v>Compliant</v>
      </c>
      <c r="R203" s="42" t="str">
        <f t="shared" si="51"/>
        <v>Violation</v>
      </c>
      <c r="S203" s="36" t="str">
        <f t="shared" si="52"/>
        <v>TP-04</v>
      </c>
      <c r="T203" s="42" t="str">
        <f t="shared" si="53"/>
        <v/>
      </c>
      <c r="U203" s="42" t="str">
        <f t="shared" si="54"/>
        <v>Assumption-based</v>
      </c>
      <c r="V203" s="42">
        <f t="shared" si="55"/>
        <v>2</v>
      </c>
      <c r="W203" s="42" t="str">
        <f t="shared" si="56"/>
        <v>Needs nights</v>
      </c>
    </row>
    <row r="204" spans="1:23" ht="15" hidden="1" customHeight="1" x14ac:dyDescent="0.25">
      <c r="A204" s="36" t="str">
        <f>Claims!A200</f>
        <v>EXP00199</v>
      </c>
      <c r="B204" s="36" t="str">
        <f>Claims!D200</f>
        <v>M2</v>
      </c>
      <c r="C204" s="36" t="str">
        <f>Claims!E200</f>
        <v>Hotel</v>
      </c>
      <c r="D204" s="36" t="str">
        <f>Claims!G200</f>
        <v>Metro</v>
      </c>
      <c r="E204" s="40">
        <f>Claims!H200</f>
        <v>6404</v>
      </c>
      <c r="F204" s="36" t="str">
        <f>Claims!K200</f>
        <v>Yes</v>
      </c>
      <c r="G204" s="36" t="str">
        <f>IF(Claims!M200="","",Claims!M200)</f>
        <v/>
      </c>
      <c r="H204" s="36" t="str">
        <f>IF(Claims!N200="","",Claims!N200)</f>
        <v/>
      </c>
      <c r="I204" s="41">
        <f>Claims!J200-Claims!I200</f>
        <v>20</v>
      </c>
      <c r="J204" s="42" t="str">
        <f t="shared" si="43"/>
        <v>n/a</v>
      </c>
      <c r="K204" s="42" t="str">
        <f t="shared" si="44"/>
        <v>n/a</v>
      </c>
      <c r="L204" s="42" t="str">
        <f t="shared" si="45"/>
        <v>Compliant</v>
      </c>
      <c r="M204" s="42" t="str">
        <f t="shared" si="46"/>
        <v>n/a</v>
      </c>
      <c r="N204" s="42" t="str">
        <f t="shared" si="47"/>
        <v>n/a</v>
      </c>
      <c r="O204" s="42" t="str">
        <f t="shared" si="48"/>
        <v>n/a</v>
      </c>
      <c r="P204" s="42" t="str">
        <f t="shared" si="49"/>
        <v>Compliant</v>
      </c>
      <c r="Q204" s="42" t="str">
        <f t="shared" si="50"/>
        <v>Violation</v>
      </c>
      <c r="R204" s="42" t="str">
        <f t="shared" si="51"/>
        <v>Violation</v>
      </c>
      <c r="S204" s="36" t="str">
        <f t="shared" si="52"/>
        <v>TP-10</v>
      </c>
      <c r="T204" s="42" t="str">
        <f t="shared" si="53"/>
        <v>Late</v>
      </c>
      <c r="U204" s="42" t="str">
        <f t="shared" si="54"/>
        <v>Definite</v>
      </c>
      <c r="V204" s="42" t="str">
        <f t="shared" si="55"/>
        <v/>
      </c>
      <c r="W204" s="42" t="str">
        <f t="shared" si="56"/>
        <v/>
      </c>
    </row>
    <row r="205" spans="1:23" ht="15" hidden="1" customHeight="1" x14ac:dyDescent="0.25">
      <c r="A205" s="36" t="str">
        <f>Claims!A201</f>
        <v>EXP00200</v>
      </c>
      <c r="B205" s="36" t="str">
        <f>Claims!D201</f>
        <v>M1</v>
      </c>
      <c r="C205" s="36" t="str">
        <f>Claims!E201</f>
        <v>Flight</v>
      </c>
      <c r="D205" s="36" t="str">
        <f>Claims!G201</f>
        <v>Non-metro</v>
      </c>
      <c r="E205" s="40">
        <f>Claims!H201</f>
        <v>11325</v>
      </c>
      <c r="F205" s="36" t="str">
        <f>Claims!K201</f>
        <v>Yes</v>
      </c>
      <c r="G205" s="36">
        <f>IF(Claims!M201="","",Claims!M201)</f>
        <v>8</v>
      </c>
      <c r="H205" s="36" t="str">
        <f>IF(Claims!N201="","",Claims!N201)</f>
        <v>Economy</v>
      </c>
      <c r="I205" s="41">
        <f>Claims!J201-Claims!I201</f>
        <v>9</v>
      </c>
      <c r="J205" s="42" t="str">
        <f t="shared" si="43"/>
        <v>Compliant</v>
      </c>
      <c r="K205" s="42" t="str">
        <f t="shared" si="44"/>
        <v>Compliant</v>
      </c>
      <c r="L205" s="42" t="str">
        <f t="shared" si="45"/>
        <v>n/a</v>
      </c>
      <c r="M205" s="42" t="str">
        <f t="shared" si="46"/>
        <v>n/a</v>
      </c>
      <c r="N205" s="42" t="str">
        <f t="shared" si="47"/>
        <v>n/a</v>
      </c>
      <c r="O205" s="42" t="str">
        <f t="shared" si="48"/>
        <v>n/a</v>
      </c>
      <c r="P205" s="42" t="str">
        <f t="shared" si="49"/>
        <v>Compliant</v>
      </c>
      <c r="Q205" s="42" t="str">
        <f t="shared" si="50"/>
        <v>Compliant</v>
      </c>
      <c r="R205" s="42" t="str">
        <f t="shared" si="51"/>
        <v>Compliant</v>
      </c>
      <c r="S205" s="36" t="str">
        <f t="shared" si="52"/>
        <v/>
      </c>
      <c r="T205" s="42" t="str">
        <f t="shared" si="53"/>
        <v/>
      </c>
      <c r="U205" s="42" t="str">
        <f t="shared" si="54"/>
        <v/>
      </c>
      <c r="V205" s="42" t="str">
        <f t="shared" si="55"/>
        <v/>
      </c>
      <c r="W205" s="42" t="str">
        <f t="shared" si="56"/>
        <v/>
      </c>
    </row>
    <row r="206" spans="1:23" ht="15" hidden="1" customHeight="1" x14ac:dyDescent="0.25">
      <c r="A206" s="36" t="str">
        <f>Claims!A202</f>
        <v>EXP00201</v>
      </c>
      <c r="B206" s="36" t="str">
        <f>Claims!D202</f>
        <v>M2</v>
      </c>
      <c r="C206" s="36" t="str">
        <f>Claims!E202</f>
        <v>Hotel</v>
      </c>
      <c r="D206" s="36" t="str">
        <f>Claims!G202</f>
        <v>Non-metro</v>
      </c>
      <c r="E206" s="40">
        <f>Claims!H202</f>
        <v>9162</v>
      </c>
      <c r="F206" s="36" t="str">
        <f>Claims!K202</f>
        <v>Yes</v>
      </c>
      <c r="G206" s="36" t="str">
        <f>IF(Claims!M202="","",Claims!M202)</f>
        <v/>
      </c>
      <c r="H206" s="36" t="str">
        <f>IF(Claims!N202="","",Claims!N202)</f>
        <v/>
      </c>
      <c r="I206" s="41">
        <f>Claims!J202-Claims!I202</f>
        <v>2</v>
      </c>
      <c r="J206" s="42" t="str">
        <f t="shared" si="43"/>
        <v>n/a</v>
      </c>
      <c r="K206" s="42" t="str">
        <f t="shared" si="44"/>
        <v>n/a</v>
      </c>
      <c r="L206" s="42" t="str">
        <f t="shared" si="45"/>
        <v>n/a</v>
      </c>
      <c r="M206" s="42" t="str">
        <f t="shared" si="46"/>
        <v>Violation</v>
      </c>
      <c r="N206" s="42" t="str">
        <f t="shared" si="47"/>
        <v>n/a</v>
      </c>
      <c r="O206" s="42" t="str">
        <f t="shared" si="48"/>
        <v>n/a</v>
      </c>
      <c r="P206" s="42" t="str">
        <f t="shared" si="49"/>
        <v>Compliant</v>
      </c>
      <c r="Q206" s="42" t="str">
        <f t="shared" si="50"/>
        <v>Compliant</v>
      </c>
      <c r="R206" s="42" t="str">
        <f t="shared" si="51"/>
        <v>Violation</v>
      </c>
      <c r="S206" s="36" t="str">
        <f t="shared" si="52"/>
        <v>TP-05</v>
      </c>
      <c r="T206" s="42" t="str">
        <f t="shared" si="53"/>
        <v/>
      </c>
      <c r="U206" s="42" t="str">
        <f t="shared" si="54"/>
        <v>Assumption-based</v>
      </c>
      <c r="V206" s="42">
        <f t="shared" si="55"/>
        <v>3</v>
      </c>
      <c r="W206" s="42" t="str">
        <f t="shared" si="56"/>
        <v>Needs nights</v>
      </c>
    </row>
    <row r="207" spans="1:23" ht="15" hidden="1" customHeight="1" x14ac:dyDescent="0.25">
      <c r="A207" s="36" t="str">
        <f>Claims!A203</f>
        <v>EXP00202</v>
      </c>
      <c r="B207" s="36" t="str">
        <f>Claims!D203</f>
        <v>M2</v>
      </c>
      <c r="C207" s="36" t="str">
        <f>Claims!E203</f>
        <v>Flight</v>
      </c>
      <c r="D207" s="36" t="str">
        <f>Claims!G203</f>
        <v>Metro</v>
      </c>
      <c r="E207" s="40">
        <f>Claims!H203</f>
        <v>4694</v>
      </c>
      <c r="F207" s="36" t="str">
        <f>Claims!K203</f>
        <v>Yes</v>
      </c>
      <c r="G207" s="36">
        <f>IF(Claims!M203="","",Claims!M203)</f>
        <v>15</v>
      </c>
      <c r="H207" s="36" t="str">
        <f>IF(Claims!N203="","",Claims!N203)</f>
        <v>Economy</v>
      </c>
      <c r="I207" s="41">
        <f>Claims!J203-Claims!I203</f>
        <v>2</v>
      </c>
      <c r="J207" s="42" t="str">
        <f t="shared" si="43"/>
        <v>Compliant</v>
      </c>
      <c r="K207" s="42" t="str">
        <f t="shared" si="44"/>
        <v>Compliant</v>
      </c>
      <c r="L207" s="42" t="str">
        <f t="shared" si="45"/>
        <v>n/a</v>
      </c>
      <c r="M207" s="42" t="str">
        <f t="shared" si="46"/>
        <v>n/a</v>
      </c>
      <c r="N207" s="42" t="str">
        <f t="shared" si="47"/>
        <v>n/a</v>
      </c>
      <c r="O207" s="42" t="str">
        <f t="shared" si="48"/>
        <v>n/a</v>
      </c>
      <c r="P207" s="42" t="str">
        <f t="shared" si="49"/>
        <v>Compliant</v>
      </c>
      <c r="Q207" s="42" t="str">
        <f t="shared" si="50"/>
        <v>Compliant</v>
      </c>
      <c r="R207" s="42" t="str">
        <f t="shared" si="51"/>
        <v>Compliant</v>
      </c>
      <c r="S207" s="36" t="str">
        <f t="shared" si="52"/>
        <v/>
      </c>
      <c r="T207" s="42" t="str">
        <f t="shared" si="53"/>
        <v/>
      </c>
      <c r="U207" s="42" t="str">
        <f t="shared" si="54"/>
        <v/>
      </c>
      <c r="V207" s="42" t="str">
        <f t="shared" si="55"/>
        <v/>
      </c>
      <c r="W207" s="42" t="str">
        <f t="shared" si="56"/>
        <v/>
      </c>
    </row>
    <row r="208" spans="1:23" ht="15" hidden="1" customHeight="1" x14ac:dyDescent="0.25">
      <c r="A208" s="36" t="str">
        <f>Claims!A204</f>
        <v>EXP00203</v>
      </c>
      <c r="B208" s="36" t="str">
        <f>Claims!D204</f>
        <v>M1</v>
      </c>
      <c r="C208" s="36" t="str">
        <f>Claims!E204</f>
        <v>Local Cab</v>
      </c>
      <c r="D208" s="36" t="str">
        <f>Claims!G204</f>
        <v>Metro</v>
      </c>
      <c r="E208" s="40">
        <f>Claims!H204</f>
        <v>704</v>
      </c>
      <c r="F208" s="36" t="str">
        <f>Claims!K204</f>
        <v>Yes</v>
      </c>
      <c r="G208" s="36" t="str">
        <f>IF(Claims!M204="","",Claims!M204)</f>
        <v/>
      </c>
      <c r="H208" s="36" t="str">
        <f>IF(Claims!N204="","",Claims!N204)</f>
        <v/>
      </c>
      <c r="I208" s="41">
        <f>Claims!J204-Claims!I204</f>
        <v>20</v>
      </c>
      <c r="J208" s="42" t="str">
        <f t="shared" si="43"/>
        <v>n/a</v>
      </c>
      <c r="K208" s="42" t="str">
        <f t="shared" si="44"/>
        <v>n/a</v>
      </c>
      <c r="L208" s="42" t="str">
        <f t="shared" si="45"/>
        <v>n/a</v>
      </c>
      <c r="M208" s="42" t="str">
        <f t="shared" si="46"/>
        <v>n/a</v>
      </c>
      <c r="N208" s="42" t="str">
        <f t="shared" si="47"/>
        <v>n/a</v>
      </c>
      <c r="O208" s="42" t="str">
        <f t="shared" si="48"/>
        <v>n/a</v>
      </c>
      <c r="P208" s="42" t="str">
        <f t="shared" si="49"/>
        <v>Compliant</v>
      </c>
      <c r="Q208" s="42" t="str">
        <f t="shared" si="50"/>
        <v>Violation</v>
      </c>
      <c r="R208" s="42" t="str">
        <f t="shared" si="51"/>
        <v>Violation</v>
      </c>
      <c r="S208" s="36" t="str">
        <f t="shared" si="52"/>
        <v>TP-10</v>
      </c>
      <c r="T208" s="42" t="str">
        <f t="shared" si="53"/>
        <v>Late</v>
      </c>
      <c r="U208" s="42" t="str">
        <f t="shared" si="54"/>
        <v>Definite</v>
      </c>
      <c r="V208" s="42" t="str">
        <f t="shared" si="55"/>
        <v/>
      </c>
      <c r="W208" s="42" t="str">
        <f t="shared" si="56"/>
        <v/>
      </c>
    </row>
    <row r="209" spans="1:23" ht="15" hidden="1" customHeight="1" x14ac:dyDescent="0.25">
      <c r="A209" s="36" t="str">
        <f>Claims!A205</f>
        <v>EXP00204</v>
      </c>
      <c r="B209" s="36" t="str">
        <f>Claims!D205</f>
        <v>M2</v>
      </c>
      <c r="C209" s="36" t="str">
        <f>Claims!E205</f>
        <v>Flight</v>
      </c>
      <c r="D209" s="36" t="str">
        <f>Claims!G205</f>
        <v>Non-metro</v>
      </c>
      <c r="E209" s="40">
        <f>Claims!H205</f>
        <v>18346</v>
      </c>
      <c r="F209" s="36" t="str">
        <f>Claims!K205</f>
        <v>Yes</v>
      </c>
      <c r="G209" s="36">
        <f>IF(Claims!M205="","",Claims!M205)</f>
        <v>2</v>
      </c>
      <c r="H209" s="36" t="str">
        <f>IF(Claims!N205="","",Claims!N205)</f>
        <v>Economy</v>
      </c>
      <c r="I209" s="41">
        <f>Claims!J205-Claims!I205</f>
        <v>5</v>
      </c>
      <c r="J209" s="42" t="str">
        <f t="shared" si="43"/>
        <v>Compliant</v>
      </c>
      <c r="K209" s="42" t="str">
        <f t="shared" si="44"/>
        <v>Violation</v>
      </c>
      <c r="L209" s="42" t="str">
        <f t="shared" si="45"/>
        <v>n/a</v>
      </c>
      <c r="M209" s="42" t="str">
        <f t="shared" si="46"/>
        <v>n/a</v>
      </c>
      <c r="N209" s="42" t="str">
        <f t="shared" si="47"/>
        <v>n/a</v>
      </c>
      <c r="O209" s="42" t="str">
        <f t="shared" si="48"/>
        <v>n/a</v>
      </c>
      <c r="P209" s="42" t="str">
        <f t="shared" si="49"/>
        <v>Compliant</v>
      </c>
      <c r="Q209" s="42" t="str">
        <f t="shared" si="50"/>
        <v>Compliant</v>
      </c>
      <c r="R209" s="42" t="str">
        <f t="shared" si="51"/>
        <v>Violation</v>
      </c>
      <c r="S209" s="36" t="str">
        <f t="shared" si="52"/>
        <v>TP-02</v>
      </c>
      <c r="T209" s="42" t="str">
        <f t="shared" si="53"/>
        <v/>
      </c>
      <c r="U209" s="42" t="str">
        <f t="shared" si="54"/>
        <v>Assumption-based</v>
      </c>
      <c r="V209" s="42" t="str">
        <f t="shared" si="55"/>
        <v/>
      </c>
      <c r="W209" s="42" t="str">
        <f t="shared" si="56"/>
        <v>Needs approval</v>
      </c>
    </row>
    <row r="210" spans="1:23" ht="15" hidden="1" customHeight="1" x14ac:dyDescent="0.25">
      <c r="A210" s="36" t="str">
        <f>Claims!A206</f>
        <v>EXP00205</v>
      </c>
      <c r="B210" s="36" t="str">
        <f>Claims!D206</f>
        <v>M3</v>
      </c>
      <c r="C210" s="36" t="str">
        <f>Claims!E206</f>
        <v>Hotel</v>
      </c>
      <c r="D210" s="36" t="str">
        <f>Claims!G206</f>
        <v>Metro</v>
      </c>
      <c r="E210" s="40">
        <f>Claims!H206</f>
        <v>12326</v>
      </c>
      <c r="F210" s="36" t="str">
        <f>Claims!K206</f>
        <v>Yes</v>
      </c>
      <c r="G210" s="36" t="str">
        <f>IF(Claims!M206="","",Claims!M206)</f>
        <v/>
      </c>
      <c r="H210" s="36" t="str">
        <f>IF(Claims!N206="","",Claims!N206)</f>
        <v/>
      </c>
      <c r="I210" s="41">
        <f>Claims!J206-Claims!I206</f>
        <v>2</v>
      </c>
      <c r="J210" s="42" t="str">
        <f t="shared" si="43"/>
        <v>n/a</v>
      </c>
      <c r="K210" s="42" t="str">
        <f t="shared" si="44"/>
        <v>n/a</v>
      </c>
      <c r="L210" s="42" t="str">
        <f t="shared" si="45"/>
        <v>Violation</v>
      </c>
      <c r="M210" s="42" t="str">
        <f t="shared" si="46"/>
        <v>n/a</v>
      </c>
      <c r="N210" s="42" t="str">
        <f t="shared" si="47"/>
        <v>n/a</v>
      </c>
      <c r="O210" s="42" t="str">
        <f t="shared" si="48"/>
        <v>n/a</v>
      </c>
      <c r="P210" s="42" t="str">
        <f t="shared" si="49"/>
        <v>Compliant</v>
      </c>
      <c r="Q210" s="42" t="str">
        <f t="shared" si="50"/>
        <v>Compliant</v>
      </c>
      <c r="R210" s="42" t="str">
        <f t="shared" si="51"/>
        <v>Violation</v>
      </c>
      <c r="S210" s="36" t="str">
        <f t="shared" si="52"/>
        <v>TP-04</v>
      </c>
      <c r="T210" s="42" t="str">
        <f t="shared" si="53"/>
        <v/>
      </c>
      <c r="U210" s="42" t="str">
        <f t="shared" si="54"/>
        <v>Assumption-based</v>
      </c>
      <c r="V210" s="42">
        <f t="shared" si="55"/>
        <v>2</v>
      </c>
      <c r="W210" s="42" t="str">
        <f t="shared" si="56"/>
        <v>Needs nights</v>
      </c>
    </row>
    <row r="211" spans="1:23" ht="15" hidden="1" customHeight="1" x14ac:dyDescent="0.25">
      <c r="A211" s="36" t="str">
        <f>Claims!A207</f>
        <v>EXP00206</v>
      </c>
      <c r="B211" s="36" t="str">
        <f>Claims!D207</f>
        <v>M2</v>
      </c>
      <c r="C211" s="36" t="str">
        <f>Claims!E207</f>
        <v>Flight</v>
      </c>
      <c r="D211" s="36" t="str">
        <f>Claims!G207</f>
        <v>Non-metro</v>
      </c>
      <c r="E211" s="40">
        <f>Claims!H207</f>
        <v>15875</v>
      </c>
      <c r="F211" s="36" t="str">
        <f>Claims!K207</f>
        <v>Yes</v>
      </c>
      <c r="G211" s="36">
        <f>IF(Claims!M207="","",Claims!M207)</f>
        <v>1</v>
      </c>
      <c r="H211" s="36" t="str">
        <f>IF(Claims!N207="","",Claims!N207)</f>
        <v>Economy</v>
      </c>
      <c r="I211" s="41">
        <f>Claims!J207-Claims!I207</f>
        <v>14</v>
      </c>
      <c r="J211" s="42" t="str">
        <f t="shared" si="43"/>
        <v>Compliant</v>
      </c>
      <c r="K211" s="42" t="str">
        <f t="shared" si="44"/>
        <v>Violation</v>
      </c>
      <c r="L211" s="42" t="str">
        <f t="shared" si="45"/>
        <v>n/a</v>
      </c>
      <c r="M211" s="42" t="str">
        <f t="shared" si="46"/>
        <v>n/a</v>
      </c>
      <c r="N211" s="42" t="str">
        <f t="shared" si="47"/>
        <v>n/a</v>
      </c>
      <c r="O211" s="42" t="str">
        <f t="shared" si="48"/>
        <v>n/a</v>
      </c>
      <c r="P211" s="42" t="str">
        <f t="shared" si="49"/>
        <v>Compliant</v>
      </c>
      <c r="Q211" s="42" t="str">
        <f t="shared" si="50"/>
        <v>Compliant</v>
      </c>
      <c r="R211" s="42" t="str">
        <f t="shared" si="51"/>
        <v>Violation</v>
      </c>
      <c r="S211" s="36" t="str">
        <f t="shared" si="52"/>
        <v>TP-02</v>
      </c>
      <c r="T211" s="42" t="str">
        <f t="shared" si="53"/>
        <v/>
      </c>
      <c r="U211" s="42" t="str">
        <f t="shared" si="54"/>
        <v>Assumption-based</v>
      </c>
      <c r="V211" s="42" t="str">
        <f t="shared" si="55"/>
        <v/>
      </c>
      <c r="W211" s="42" t="str">
        <f t="shared" si="56"/>
        <v>Needs approval</v>
      </c>
    </row>
    <row r="212" spans="1:23" ht="15" hidden="1" customHeight="1" x14ac:dyDescent="0.25">
      <c r="A212" s="36" t="str">
        <f>Claims!A208</f>
        <v>EXP00207</v>
      </c>
      <c r="B212" s="36" t="str">
        <f>Claims!D208</f>
        <v>M3</v>
      </c>
      <c r="C212" s="36" t="str">
        <f>Claims!E208</f>
        <v>Meals/DA</v>
      </c>
      <c r="D212" s="36" t="str">
        <f>Claims!G208</f>
        <v>Non-metro</v>
      </c>
      <c r="E212" s="40">
        <f>Claims!H208</f>
        <v>1266</v>
      </c>
      <c r="F212" s="36" t="str">
        <f>Claims!K208</f>
        <v>Yes</v>
      </c>
      <c r="G212" s="36" t="str">
        <f>IF(Claims!M208="","",Claims!M208)</f>
        <v/>
      </c>
      <c r="H212" s="36" t="str">
        <f>IF(Claims!N208="","",Claims!N208)</f>
        <v/>
      </c>
      <c r="I212" s="41">
        <f>Claims!J208-Claims!I208</f>
        <v>9</v>
      </c>
      <c r="J212" s="42" t="str">
        <f t="shared" si="43"/>
        <v>n/a</v>
      </c>
      <c r="K212" s="42" t="str">
        <f t="shared" si="44"/>
        <v>n/a</v>
      </c>
      <c r="L212" s="42" t="str">
        <f t="shared" si="45"/>
        <v>n/a</v>
      </c>
      <c r="M212" s="42" t="str">
        <f t="shared" si="46"/>
        <v>n/a</v>
      </c>
      <c r="N212" s="42" t="str">
        <f t="shared" si="47"/>
        <v>Violation</v>
      </c>
      <c r="O212" s="42" t="str">
        <f t="shared" si="48"/>
        <v>n/a</v>
      </c>
      <c r="P212" s="42" t="str">
        <f t="shared" si="49"/>
        <v>Compliant</v>
      </c>
      <c r="Q212" s="42" t="str">
        <f t="shared" si="50"/>
        <v>Compliant</v>
      </c>
      <c r="R212" s="42" t="str">
        <f t="shared" si="51"/>
        <v>Violation</v>
      </c>
      <c r="S212" s="36" t="str">
        <f t="shared" si="52"/>
        <v>TP-06</v>
      </c>
      <c r="T212" s="42" t="str">
        <f t="shared" si="53"/>
        <v/>
      </c>
      <c r="U212" s="42" t="str">
        <f t="shared" si="54"/>
        <v>Assumption-based</v>
      </c>
      <c r="V212" s="42">
        <f t="shared" si="55"/>
        <v>2</v>
      </c>
      <c r="W212" s="42" t="str">
        <f t="shared" si="56"/>
        <v>Needs days</v>
      </c>
    </row>
    <row r="213" spans="1:23" ht="15" hidden="1" customHeight="1" x14ac:dyDescent="0.25">
      <c r="A213" s="36" t="str">
        <f>Claims!A209</f>
        <v>EXP00208</v>
      </c>
      <c r="B213" s="36" t="str">
        <f>Claims!D209</f>
        <v>M1</v>
      </c>
      <c r="C213" s="36" t="str">
        <f>Claims!E209</f>
        <v>Flight</v>
      </c>
      <c r="D213" s="36" t="str">
        <f>Claims!G209</f>
        <v>Non-metro</v>
      </c>
      <c r="E213" s="40">
        <f>Claims!H209</f>
        <v>15133</v>
      </c>
      <c r="F213" s="36" t="str">
        <f>Claims!K209</f>
        <v>Yes</v>
      </c>
      <c r="G213" s="36">
        <f>IF(Claims!M209="","",Claims!M209)</f>
        <v>14</v>
      </c>
      <c r="H213" s="36" t="str">
        <f>IF(Claims!N209="","",Claims!N209)</f>
        <v>Economy</v>
      </c>
      <c r="I213" s="41">
        <f>Claims!J209-Claims!I209</f>
        <v>5</v>
      </c>
      <c r="J213" s="42" t="str">
        <f t="shared" si="43"/>
        <v>Compliant</v>
      </c>
      <c r="K213" s="42" t="str">
        <f t="shared" si="44"/>
        <v>Compliant</v>
      </c>
      <c r="L213" s="42" t="str">
        <f t="shared" si="45"/>
        <v>n/a</v>
      </c>
      <c r="M213" s="42" t="str">
        <f t="shared" si="46"/>
        <v>n/a</v>
      </c>
      <c r="N213" s="42" t="str">
        <f t="shared" si="47"/>
        <v>n/a</v>
      </c>
      <c r="O213" s="42" t="str">
        <f t="shared" si="48"/>
        <v>n/a</v>
      </c>
      <c r="P213" s="42" t="str">
        <f t="shared" si="49"/>
        <v>Compliant</v>
      </c>
      <c r="Q213" s="42" t="str">
        <f t="shared" si="50"/>
        <v>Compliant</v>
      </c>
      <c r="R213" s="42" t="str">
        <f t="shared" si="51"/>
        <v>Compliant</v>
      </c>
      <c r="S213" s="36" t="str">
        <f t="shared" si="52"/>
        <v/>
      </c>
      <c r="T213" s="42" t="str">
        <f t="shared" si="53"/>
        <v/>
      </c>
      <c r="U213" s="42" t="str">
        <f t="shared" si="54"/>
        <v/>
      </c>
      <c r="V213" s="42" t="str">
        <f t="shared" si="55"/>
        <v/>
      </c>
      <c r="W213" s="42" t="str">
        <f t="shared" si="56"/>
        <v/>
      </c>
    </row>
    <row r="214" spans="1:23" ht="15" hidden="1" customHeight="1" x14ac:dyDescent="0.25">
      <c r="A214" s="36" t="str">
        <f>Claims!A210</f>
        <v>EXP00209</v>
      </c>
      <c r="B214" s="36" t="str">
        <f>Claims!D210</f>
        <v>M2</v>
      </c>
      <c r="C214" s="36" t="str">
        <f>Claims!E210</f>
        <v>Local Cab</v>
      </c>
      <c r="D214" s="36" t="str">
        <f>Claims!G210</f>
        <v>Non-metro</v>
      </c>
      <c r="E214" s="40">
        <f>Claims!H210</f>
        <v>766</v>
      </c>
      <c r="F214" s="36" t="str">
        <f>Claims!K210</f>
        <v>Yes</v>
      </c>
      <c r="G214" s="36" t="str">
        <f>IF(Claims!M210="","",Claims!M210)</f>
        <v/>
      </c>
      <c r="H214" s="36" t="str">
        <f>IF(Claims!N210="","",Claims!N210)</f>
        <v/>
      </c>
      <c r="I214" s="41">
        <f>Claims!J210-Claims!I210</f>
        <v>14</v>
      </c>
      <c r="J214" s="42" t="str">
        <f t="shared" si="43"/>
        <v>n/a</v>
      </c>
      <c r="K214" s="42" t="str">
        <f t="shared" si="44"/>
        <v>n/a</v>
      </c>
      <c r="L214" s="42" t="str">
        <f t="shared" si="45"/>
        <v>n/a</v>
      </c>
      <c r="M214" s="42" t="str">
        <f t="shared" si="46"/>
        <v>n/a</v>
      </c>
      <c r="N214" s="42" t="str">
        <f t="shared" si="47"/>
        <v>n/a</v>
      </c>
      <c r="O214" s="42" t="str">
        <f t="shared" si="48"/>
        <v>n/a</v>
      </c>
      <c r="P214" s="42" t="str">
        <f t="shared" si="49"/>
        <v>Compliant</v>
      </c>
      <c r="Q214" s="42" t="str">
        <f t="shared" si="50"/>
        <v>Compliant</v>
      </c>
      <c r="R214" s="42" t="str">
        <f t="shared" si="51"/>
        <v>Compliant</v>
      </c>
      <c r="S214" s="36" t="str">
        <f t="shared" si="52"/>
        <v/>
      </c>
      <c r="T214" s="42" t="str">
        <f t="shared" si="53"/>
        <v/>
      </c>
      <c r="U214" s="42" t="str">
        <f t="shared" si="54"/>
        <v/>
      </c>
      <c r="V214" s="42" t="str">
        <f t="shared" si="55"/>
        <v/>
      </c>
      <c r="W214" s="42" t="str">
        <f t="shared" si="56"/>
        <v/>
      </c>
    </row>
    <row r="215" spans="1:23" ht="15" hidden="1" customHeight="1" x14ac:dyDescent="0.25">
      <c r="A215" s="36" t="str">
        <f>Claims!A211</f>
        <v>EXP00210</v>
      </c>
      <c r="B215" s="36" t="str">
        <f>Claims!D211</f>
        <v>M1</v>
      </c>
      <c r="C215" s="36" t="str">
        <f>Claims!E211</f>
        <v>Meals/DA</v>
      </c>
      <c r="D215" s="36" t="str">
        <f>Claims!G211</f>
        <v>Metro</v>
      </c>
      <c r="E215" s="40">
        <f>Claims!H211</f>
        <v>441</v>
      </c>
      <c r="F215" s="36" t="str">
        <f>Claims!K211</f>
        <v>Yes</v>
      </c>
      <c r="G215" s="36" t="str">
        <f>IF(Claims!M211="","",Claims!M211)</f>
        <v/>
      </c>
      <c r="H215" s="36" t="str">
        <f>IF(Claims!N211="","",Claims!N211)</f>
        <v/>
      </c>
      <c r="I215" s="41">
        <f>Claims!J211-Claims!I211</f>
        <v>35</v>
      </c>
      <c r="J215" s="42" t="str">
        <f t="shared" si="43"/>
        <v>n/a</v>
      </c>
      <c r="K215" s="42" t="str">
        <f t="shared" si="44"/>
        <v>n/a</v>
      </c>
      <c r="L215" s="42" t="str">
        <f t="shared" si="45"/>
        <v>n/a</v>
      </c>
      <c r="M215" s="42" t="str">
        <f t="shared" si="46"/>
        <v>n/a</v>
      </c>
      <c r="N215" s="42" t="str">
        <f t="shared" si="47"/>
        <v>Compliant</v>
      </c>
      <c r="O215" s="42" t="str">
        <f t="shared" si="48"/>
        <v>n/a</v>
      </c>
      <c r="P215" s="42" t="str">
        <f t="shared" si="49"/>
        <v>Compliant</v>
      </c>
      <c r="Q215" s="42" t="str">
        <f t="shared" si="50"/>
        <v>Violation</v>
      </c>
      <c r="R215" s="42" t="str">
        <f t="shared" si="51"/>
        <v>Violation</v>
      </c>
      <c r="S215" s="36" t="str">
        <f t="shared" si="52"/>
        <v>TP-10</v>
      </c>
      <c r="T215" s="42" t="str">
        <f t="shared" si="53"/>
        <v>Late</v>
      </c>
      <c r="U215" s="42" t="str">
        <f t="shared" si="54"/>
        <v>Definite</v>
      </c>
      <c r="V215" s="42" t="str">
        <f t="shared" si="55"/>
        <v/>
      </c>
      <c r="W215" s="42" t="str">
        <f t="shared" si="56"/>
        <v/>
      </c>
    </row>
    <row r="216" spans="1:23" ht="15" hidden="1" customHeight="1" x14ac:dyDescent="0.25">
      <c r="A216" s="36" t="str">
        <f>Claims!A212</f>
        <v>EXP00211</v>
      </c>
      <c r="B216" s="36" t="str">
        <f>Claims!D212</f>
        <v>M1</v>
      </c>
      <c r="C216" s="36" t="str">
        <f>Claims!E212</f>
        <v>Client Entertainment</v>
      </c>
      <c r="D216" s="36" t="str">
        <f>Claims!G212</f>
        <v>Non-metro</v>
      </c>
      <c r="E216" s="40">
        <f>Claims!H212</f>
        <v>15773</v>
      </c>
      <c r="F216" s="36" t="str">
        <f>Claims!K212</f>
        <v>No</v>
      </c>
      <c r="G216" s="36" t="str">
        <f>IF(Claims!M212="","",Claims!M212)</f>
        <v/>
      </c>
      <c r="H216" s="36" t="str">
        <f>IF(Claims!N212="","",Claims!N212)</f>
        <v/>
      </c>
      <c r="I216" s="41">
        <f>Claims!J212-Claims!I212</f>
        <v>9</v>
      </c>
      <c r="J216" s="42" t="str">
        <f t="shared" si="43"/>
        <v>n/a</v>
      </c>
      <c r="K216" s="42" t="str">
        <f t="shared" si="44"/>
        <v>n/a</v>
      </c>
      <c r="L216" s="42" t="str">
        <f t="shared" si="45"/>
        <v>n/a</v>
      </c>
      <c r="M216" s="42" t="str">
        <f t="shared" si="46"/>
        <v>n/a</v>
      </c>
      <c r="N216" s="42" t="str">
        <f t="shared" si="47"/>
        <v>n/a</v>
      </c>
      <c r="O216" s="42" t="str">
        <f t="shared" si="48"/>
        <v>n/a</v>
      </c>
      <c r="P216" s="42" t="str">
        <f t="shared" si="49"/>
        <v>Violation</v>
      </c>
      <c r="Q216" s="42" t="str">
        <f t="shared" si="50"/>
        <v>Compliant</v>
      </c>
      <c r="R216" s="42" t="str">
        <f t="shared" si="51"/>
        <v>Violation</v>
      </c>
      <c r="S216" s="36" t="str">
        <f t="shared" si="52"/>
        <v>TP-09</v>
      </c>
      <c r="T216" s="42" t="str">
        <f t="shared" si="53"/>
        <v/>
      </c>
      <c r="U216" s="42" t="str">
        <f t="shared" si="54"/>
        <v>Definite</v>
      </c>
      <c r="V216" s="42" t="str">
        <f t="shared" si="55"/>
        <v/>
      </c>
      <c r="W216" s="42" t="str">
        <f t="shared" si="56"/>
        <v/>
      </c>
    </row>
    <row r="217" spans="1:23" ht="15" hidden="1" customHeight="1" x14ac:dyDescent="0.25">
      <c r="A217" s="36" t="str">
        <f>Claims!A213</f>
        <v>EXP00212</v>
      </c>
      <c r="B217" s="36" t="str">
        <f>Claims!D213</f>
        <v>M3</v>
      </c>
      <c r="C217" s="36" t="str">
        <f>Claims!E213</f>
        <v>Meals/DA</v>
      </c>
      <c r="D217" s="36" t="str">
        <f>Claims!G213</f>
        <v>Metro</v>
      </c>
      <c r="E217" s="40">
        <f>Claims!H213</f>
        <v>832</v>
      </c>
      <c r="F217" s="36" t="str">
        <f>Claims!K213</f>
        <v>Yes</v>
      </c>
      <c r="G217" s="36" t="str">
        <f>IF(Claims!M213="","",Claims!M213)</f>
        <v/>
      </c>
      <c r="H217" s="36" t="str">
        <f>IF(Claims!N213="","",Claims!N213)</f>
        <v/>
      </c>
      <c r="I217" s="41">
        <f>Claims!J213-Claims!I213</f>
        <v>2</v>
      </c>
      <c r="J217" s="42" t="str">
        <f t="shared" si="43"/>
        <v>n/a</v>
      </c>
      <c r="K217" s="42" t="str">
        <f t="shared" si="44"/>
        <v>n/a</v>
      </c>
      <c r="L217" s="42" t="str">
        <f t="shared" si="45"/>
        <v>n/a</v>
      </c>
      <c r="M217" s="42" t="str">
        <f t="shared" si="46"/>
        <v>n/a</v>
      </c>
      <c r="N217" s="42" t="str">
        <f t="shared" si="47"/>
        <v>Compliant</v>
      </c>
      <c r="O217" s="42" t="str">
        <f t="shared" si="48"/>
        <v>n/a</v>
      </c>
      <c r="P217" s="42" t="str">
        <f t="shared" si="49"/>
        <v>Compliant</v>
      </c>
      <c r="Q217" s="42" t="str">
        <f t="shared" si="50"/>
        <v>Compliant</v>
      </c>
      <c r="R217" s="42" t="str">
        <f t="shared" si="51"/>
        <v>Compliant</v>
      </c>
      <c r="S217" s="36" t="str">
        <f t="shared" si="52"/>
        <v/>
      </c>
      <c r="T217" s="42" t="str">
        <f t="shared" si="53"/>
        <v/>
      </c>
      <c r="U217" s="42" t="str">
        <f t="shared" si="54"/>
        <v/>
      </c>
      <c r="V217" s="42" t="str">
        <f t="shared" si="55"/>
        <v/>
      </c>
      <c r="W217" s="42" t="str">
        <f t="shared" si="56"/>
        <v/>
      </c>
    </row>
    <row r="218" spans="1:23" ht="15" hidden="1" customHeight="1" x14ac:dyDescent="0.25">
      <c r="A218" s="36" t="str">
        <f>Claims!A214</f>
        <v>EXP00213</v>
      </c>
      <c r="B218" s="36" t="str">
        <f>Claims!D214</f>
        <v>M3</v>
      </c>
      <c r="C218" s="36" t="str">
        <f>Claims!E214</f>
        <v>Local Cab</v>
      </c>
      <c r="D218" s="36" t="str">
        <f>Claims!G214</f>
        <v>Non-metro</v>
      </c>
      <c r="E218" s="40">
        <f>Claims!H214</f>
        <v>1669</v>
      </c>
      <c r="F218" s="36" t="str">
        <f>Claims!K214</f>
        <v>Yes</v>
      </c>
      <c r="G218" s="36" t="str">
        <f>IF(Claims!M214="","",Claims!M214)</f>
        <v/>
      </c>
      <c r="H218" s="36" t="str">
        <f>IF(Claims!N214="","",Claims!N214)</f>
        <v/>
      </c>
      <c r="I218" s="41">
        <f>Claims!J214-Claims!I214</f>
        <v>70</v>
      </c>
      <c r="J218" s="42" t="str">
        <f t="shared" si="43"/>
        <v>n/a</v>
      </c>
      <c r="K218" s="42" t="str">
        <f t="shared" si="44"/>
        <v>n/a</v>
      </c>
      <c r="L218" s="42" t="str">
        <f t="shared" si="45"/>
        <v>n/a</v>
      </c>
      <c r="M218" s="42" t="str">
        <f t="shared" si="46"/>
        <v>n/a</v>
      </c>
      <c r="N218" s="42" t="str">
        <f t="shared" si="47"/>
        <v>n/a</v>
      </c>
      <c r="O218" s="42" t="str">
        <f t="shared" si="48"/>
        <v>n/a</v>
      </c>
      <c r="P218" s="42" t="str">
        <f t="shared" si="49"/>
        <v>Compliant</v>
      </c>
      <c r="Q218" s="42" t="str">
        <f t="shared" si="50"/>
        <v>Violation</v>
      </c>
      <c r="R218" s="42" t="str">
        <f t="shared" si="51"/>
        <v>Violation</v>
      </c>
      <c r="S218" s="36" t="str">
        <f t="shared" si="52"/>
        <v>TP-10</v>
      </c>
      <c r="T218" s="42" t="str">
        <f t="shared" si="53"/>
        <v>Expired</v>
      </c>
      <c r="U218" s="42" t="str">
        <f t="shared" si="54"/>
        <v>Definite</v>
      </c>
      <c r="V218" s="42" t="str">
        <f t="shared" si="55"/>
        <v/>
      </c>
      <c r="W218" s="42" t="str">
        <f t="shared" si="56"/>
        <v/>
      </c>
    </row>
    <row r="219" spans="1:23" ht="15" hidden="1" customHeight="1" x14ac:dyDescent="0.25">
      <c r="A219" s="36" t="str">
        <f>Claims!A215</f>
        <v>EXP00214</v>
      </c>
      <c r="B219" s="36" t="str">
        <f>Claims!D215</f>
        <v>M1</v>
      </c>
      <c r="C219" s="36" t="str">
        <f>Claims!E215</f>
        <v>Meals/DA</v>
      </c>
      <c r="D219" s="36" t="str">
        <f>Claims!G215</f>
        <v>Non-metro</v>
      </c>
      <c r="E219" s="40">
        <f>Claims!H215</f>
        <v>925</v>
      </c>
      <c r="F219" s="36" t="str">
        <f>Claims!K215</f>
        <v>Yes</v>
      </c>
      <c r="G219" s="36" t="str">
        <f>IF(Claims!M215="","",Claims!M215)</f>
        <v/>
      </c>
      <c r="H219" s="36" t="str">
        <f>IF(Claims!N215="","",Claims!N215)</f>
        <v/>
      </c>
      <c r="I219" s="41">
        <f>Claims!J215-Claims!I215</f>
        <v>5</v>
      </c>
      <c r="J219" s="42" t="str">
        <f t="shared" si="43"/>
        <v>n/a</v>
      </c>
      <c r="K219" s="42" t="str">
        <f t="shared" si="44"/>
        <v>n/a</v>
      </c>
      <c r="L219" s="42" t="str">
        <f t="shared" si="45"/>
        <v>n/a</v>
      </c>
      <c r="M219" s="42" t="str">
        <f t="shared" si="46"/>
        <v>n/a</v>
      </c>
      <c r="N219" s="42" t="str">
        <f t="shared" si="47"/>
        <v>Violation</v>
      </c>
      <c r="O219" s="42" t="str">
        <f t="shared" si="48"/>
        <v>n/a</v>
      </c>
      <c r="P219" s="42" t="str">
        <f t="shared" si="49"/>
        <v>Compliant</v>
      </c>
      <c r="Q219" s="42" t="str">
        <f t="shared" si="50"/>
        <v>Compliant</v>
      </c>
      <c r="R219" s="42" t="str">
        <f t="shared" si="51"/>
        <v>Violation</v>
      </c>
      <c r="S219" s="36" t="str">
        <f t="shared" si="52"/>
        <v>TP-06</v>
      </c>
      <c r="T219" s="42" t="str">
        <f t="shared" si="53"/>
        <v/>
      </c>
      <c r="U219" s="42" t="str">
        <f t="shared" si="54"/>
        <v>Assumption-based</v>
      </c>
      <c r="V219" s="42">
        <f t="shared" si="55"/>
        <v>2</v>
      </c>
      <c r="W219" s="42" t="str">
        <f t="shared" si="56"/>
        <v>Needs days</v>
      </c>
    </row>
    <row r="220" spans="1:23" ht="15" hidden="1" customHeight="1" x14ac:dyDescent="0.25">
      <c r="A220" s="36" t="str">
        <f>Claims!A216</f>
        <v>EXP00215</v>
      </c>
      <c r="B220" s="36" t="str">
        <f>Claims!D216</f>
        <v>M1</v>
      </c>
      <c r="C220" s="36" t="str">
        <f>Claims!E216</f>
        <v>Flight</v>
      </c>
      <c r="D220" s="36" t="str">
        <f>Claims!G216</f>
        <v>Non-metro</v>
      </c>
      <c r="E220" s="40">
        <f>Claims!H216</f>
        <v>7038</v>
      </c>
      <c r="F220" s="36" t="str">
        <f>Claims!K216</f>
        <v>No</v>
      </c>
      <c r="G220" s="36">
        <f>IF(Claims!M216="","",Claims!M216)</f>
        <v>17</v>
      </c>
      <c r="H220" s="36" t="str">
        <f>IF(Claims!N216="","",Claims!N216)</f>
        <v>Economy</v>
      </c>
      <c r="I220" s="41">
        <f>Claims!J216-Claims!I216</f>
        <v>2</v>
      </c>
      <c r="J220" s="42" t="str">
        <f t="shared" si="43"/>
        <v>Compliant</v>
      </c>
      <c r="K220" s="42" t="str">
        <f t="shared" si="44"/>
        <v>Compliant</v>
      </c>
      <c r="L220" s="42" t="str">
        <f t="shared" si="45"/>
        <v>n/a</v>
      </c>
      <c r="M220" s="42" t="str">
        <f t="shared" si="46"/>
        <v>n/a</v>
      </c>
      <c r="N220" s="42" t="str">
        <f t="shared" si="47"/>
        <v>n/a</v>
      </c>
      <c r="O220" s="42" t="str">
        <f t="shared" si="48"/>
        <v>n/a</v>
      </c>
      <c r="P220" s="42" t="str">
        <f t="shared" si="49"/>
        <v>Violation</v>
      </c>
      <c r="Q220" s="42" t="str">
        <f t="shared" si="50"/>
        <v>Compliant</v>
      </c>
      <c r="R220" s="42" t="str">
        <f t="shared" si="51"/>
        <v>Violation</v>
      </c>
      <c r="S220" s="36" t="str">
        <f t="shared" si="52"/>
        <v>TP-09</v>
      </c>
      <c r="T220" s="42" t="str">
        <f t="shared" si="53"/>
        <v/>
      </c>
      <c r="U220" s="42" t="str">
        <f t="shared" si="54"/>
        <v>Definite</v>
      </c>
      <c r="V220" s="42" t="str">
        <f t="shared" si="55"/>
        <v/>
      </c>
      <c r="W220" s="42" t="str">
        <f t="shared" si="56"/>
        <v/>
      </c>
    </row>
    <row r="221" spans="1:23" ht="15" hidden="1" customHeight="1" x14ac:dyDescent="0.25">
      <c r="A221" s="36" t="str">
        <f>Claims!A217</f>
        <v>EXP00216</v>
      </c>
      <c r="B221" s="36" t="str">
        <f>Claims!D217</f>
        <v>M4</v>
      </c>
      <c r="C221" s="36" t="str">
        <f>Claims!E217</f>
        <v>Local Cab</v>
      </c>
      <c r="D221" s="36" t="str">
        <f>Claims!G217</f>
        <v>Metro</v>
      </c>
      <c r="E221" s="40">
        <f>Claims!H217</f>
        <v>1949</v>
      </c>
      <c r="F221" s="36" t="str">
        <f>Claims!K217</f>
        <v>Yes</v>
      </c>
      <c r="G221" s="36" t="str">
        <f>IF(Claims!M217="","",Claims!M217)</f>
        <v/>
      </c>
      <c r="H221" s="36" t="str">
        <f>IF(Claims!N217="","",Claims!N217)</f>
        <v/>
      </c>
      <c r="I221" s="41">
        <f>Claims!J217-Claims!I217</f>
        <v>2</v>
      </c>
      <c r="J221" s="42" t="str">
        <f t="shared" si="43"/>
        <v>n/a</v>
      </c>
      <c r="K221" s="42" t="str">
        <f t="shared" si="44"/>
        <v>n/a</v>
      </c>
      <c r="L221" s="42" t="str">
        <f t="shared" si="45"/>
        <v>n/a</v>
      </c>
      <c r="M221" s="42" t="str">
        <f t="shared" si="46"/>
        <v>n/a</v>
      </c>
      <c r="N221" s="42" t="str">
        <f t="shared" si="47"/>
        <v>n/a</v>
      </c>
      <c r="O221" s="42" t="str">
        <f t="shared" si="48"/>
        <v>n/a</v>
      </c>
      <c r="P221" s="42" t="str">
        <f t="shared" si="49"/>
        <v>Compliant</v>
      </c>
      <c r="Q221" s="42" t="str">
        <f t="shared" si="50"/>
        <v>Compliant</v>
      </c>
      <c r="R221" s="42" t="str">
        <f t="shared" si="51"/>
        <v>Compliant</v>
      </c>
      <c r="S221" s="36" t="str">
        <f t="shared" si="52"/>
        <v/>
      </c>
      <c r="T221" s="42" t="str">
        <f t="shared" si="53"/>
        <v/>
      </c>
      <c r="U221" s="42" t="str">
        <f t="shared" si="54"/>
        <v/>
      </c>
      <c r="V221" s="42" t="str">
        <f t="shared" si="55"/>
        <v/>
      </c>
      <c r="W221" s="42" t="str">
        <f t="shared" si="56"/>
        <v/>
      </c>
    </row>
    <row r="222" spans="1:23" ht="15" hidden="1" customHeight="1" x14ac:dyDescent="0.25">
      <c r="A222" s="36" t="str">
        <f>Claims!A218</f>
        <v>EXP00217</v>
      </c>
      <c r="B222" s="36" t="str">
        <f>Claims!D218</f>
        <v>M3</v>
      </c>
      <c r="C222" s="36" t="str">
        <f>Claims!E218</f>
        <v>Hotel</v>
      </c>
      <c r="D222" s="36" t="str">
        <f>Claims!G218</f>
        <v>Non-metro</v>
      </c>
      <c r="E222" s="40">
        <f>Claims!H218</f>
        <v>7899</v>
      </c>
      <c r="F222" s="36" t="str">
        <f>Claims!K218</f>
        <v>Yes</v>
      </c>
      <c r="G222" s="36" t="str">
        <f>IF(Claims!M218="","",Claims!M218)</f>
        <v/>
      </c>
      <c r="H222" s="36" t="str">
        <f>IF(Claims!N218="","",Claims!N218)</f>
        <v/>
      </c>
      <c r="I222" s="41">
        <f>Claims!J218-Claims!I218</f>
        <v>5</v>
      </c>
      <c r="J222" s="42" t="str">
        <f t="shared" si="43"/>
        <v>n/a</v>
      </c>
      <c r="K222" s="42" t="str">
        <f t="shared" si="44"/>
        <v>n/a</v>
      </c>
      <c r="L222" s="42" t="str">
        <f t="shared" si="45"/>
        <v>n/a</v>
      </c>
      <c r="M222" s="42" t="str">
        <f t="shared" si="46"/>
        <v>Violation</v>
      </c>
      <c r="N222" s="42" t="str">
        <f t="shared" si="47"/>
        <v>n/a</v>
      </c>
      <c r="O222" s="42" t="str">
        <f t="shared" si="48"/>
        <v>n/a</v>
      </c>
      <c r="P222" s="42" t="str">
        <f t="shared" si="49"/>
        <v>Compliant</v>
      </c>
      <c r="Q222" s="42" t="str">
        <f t="shared" si="50"/>
        <v>Compliant</v>
      </c>
      <c r="R222" s="42" t="str">
        <f t="shared" si="51"/>
        <v>Violation</v>
      </c>
      <c r="S222" s="36" t="str">
        <f t="shared" si="52"/>
        <v>TP-05</v>
      </c>
      <c r="T222" s="42" t="str">
        <f t="shared" si="53"/>
        <v/>
      </c>
      <c r="U222" s="42" t="str">
        <f t="shared" si="54"/>
        <v>Assumption-based</v>
      </c>
      <c r="V222" s="42">
        <f t="shared" si="55"/>
        <v>2</v>
      </c>
      <c r="W222" s="42" t="str">
        <f t="shared" si="56"/>
        <v>Needs nights</v>
      </c>
    </row>
    <row r="223" spans="1:23" ht="15" hidden="1" customHeight="1" x14ac:dyDescent="0.25">
      <c r="A223" s="36" t="str">
        <f>Claims!A219</f>
        <v>EXP00218</v>
      </c>
      <c r="B223" s="36" t="str">
        <f>Claims!D219</f>
        <v>M1</v>
      </c>
      <c r="C223" s="36" t="str">
        <f>Claims!E219</f>
        <v>Hotel</v>
      </c>
      <c r="D223" s="36" t="str">
        <f>Claims!G219</f>
        <v>Non-metro</v>
      </c>
      <c r="E223" s="40">
        <f>Claims!H219</f>
        <v>12401</v>
      </c>
      <c r="F223" s="36" t="str">
        <f>Claims!K219</f>
        <v>Yes</v>
      </c>
      <c r="G223" s="36" t="str">
        <f>IF(Claims!M219="","",Claims!M219)</f>
        <v/>
      </c>
      <c r="H223" s="36" t="str">
        <f>IF(Claims!N219="","",Claims!N219)</f>
        <v/>
      </c>
      <c r="I223" s="41">
        <f>Claims!J219-Claims!I219</f>
        <v>2</v>
      </c>
      <c r="J223" s="42" t="str">
        <f t="shared" si="43"/>
        <v>n/a</v>
      </c>
      <c r="K223" s="42" t="str">
        <f t="shared" si="44"/>
        <v>n/a</v>
      </c>
      <c r="L223" s="42" t="str">
        <f t="shared" si="45"/>
        <v>n/a</v>
      </c>
      <c r="M223" s="42" t="str">
        <f t="shared" si="46"/>
        <v>Violation</v>
      </c>
      <c r="N223" s="42" t="str">
        <f t="shared" si="47"/>
        <v>n/a</v>
      </c>
      <c r="O223" s="42" t="str">
        <f t="shared" si="48"/>
        <v>n/a</v>
      </c>
      <c r="P223" s="42" t="str">
        <f t="shared" si="49"/>
        <v>Compliant</v>
      </c>
      <c r="Q223" s="42" t="str">
        <f t="shared" si="50"/>
        <v>Compliant</v>
      </c>
      <c r="R223" s="42" t="str">
        <f t="shared" si="51"/>
        <v>Violation</v>
      </c>
      <c r="S223" s="36" t="str">
        <f t="shared" si="52"/>
        <v>TP-05</v>
      </c>
      <c r="T223" s="42" t="str">
        <f t="shared" si="53"/>
        <v/>
      </c>
      <c r="U223" s="42" t="str">
        <f t="shared" si="54"/>
        <v>Assumption-based</v>
      </c>
      <c r="V223" s="42">
        <f t="shared" si="55"/>
        <v>3</v>
      </c>
      <c r="W223" s="42" t="str">
        <f t="shared" si="56"/>
        <v>Needs nights</v>
      </c>
    </row>
    <row r="224" spans="1:23" ht="15" hidden="1" customHeight="1" x14ac:dyDescent="0.25">
      <c r="A224" s="36" t="str">
        <f>Claims!A220</f>
        <v>EXP00219</v>
      </c>
      <c r="B224" s="36" t="str">
        <f>Claims!D220</f>
        <v>M2</v>
      </c>
      <c r="C224" s="36" t="str">
        <f>Claims!E220</f>
        <v>Stationery</v>
      </c>
      <c r="D224" s="36" t="str">
        <f>Claims!G220</f>
        <v>Non-metro</v>
      </c>
      <c r="E224" s="40">
        <f>Claims!H220</f>
        <v>378</v>
      </c>
      <c r="F224" s="36" t="str">
        <f>Claims!K220</f>
        <v>Yes</v>
      </c>
      <c r="G224" s="36" t="str">
        <f>IF(Claims!M220="","",Claims!M220)</f>
        <v/>
      </c>
      <c r="H224" s="36" t="str">
        <f>IF(Claims!N220="","",Claims!N220)</f>
        <v/>
      </c>
      <c r="I224" s="41">
        <f>Claims!J220-Claims!I220</f>
        <v>9</v>
      </c>
      <c r="J224" s="42" t="str">
        <f t="shared" si="43"/>
        <v>n/a</v>
      </c>
      <c r="K224" s="42" t="str">
        <f t="shared" si="44"/>
        <v>n/a</v>
      </c>
      <c r="L224" s="42" t="str">
        <f t="shared" si="45"/>
        <v>n/a</v>
      </c>
      <c r="M224" s="42" t="str">
        <f t="shared" si="46"/>
        <v>n/a</v>
      </c>
      <c r="N224" s="42" t="str">
        <f t="shared" si="47"/>
        <v>n/a</v>
      </c>
      <c r="O224" s="42" t="str">
        <f t="shared" si="48"/>
        <v>n/a</v>
      </c>
      <c r="P224" s="42" t="str">
        <f t="shared" si="49"/>
        <v>Compliant</v>
      </c>
      <c r="Q224" s="42" t="str">
        <f t="shared" si="50"/>
        <v>Compliant</v>
      </c>
      <c r="R224" s="42" t="str">
        <f t="shared" si="51"/>
        <v>Compliant</v>
      </c>
      <c r="S224" s="36" t="str">
        <f t="shared" si="52"/>
        <v/>
      </c>
      <c r="T224" s="42" t="str">
        <f t="shared" si="53"/>
        <v/>
      </c>
      <c r="U224" s="42" t="str">
        <f t="shared" si="54"/>
        <v/>
      </c>
      <c r="V224" s="42" t="str">
        <f t="shared" si="55"/>
        <v/>
      </c>
      <c r="W224" s="42" t="str">
        <f t="shared" si="56"/>
        <v/>
      </c>
    </row>
    <row r="225" spans="1:23" ht="15" hidden="1" customHeight="1" x14ac:dyDescent="0.25">
      <c r="A225" s="36" t="str">
        <f>Claims!A221</f>
        <v>EXP00220</v>
      </c>
      <c r="B225" s="36" t="str">
        <f>Claims!D221</f>
        <v>M2</v>
      </c>
      <c r="C225" s="36" t="str">
        <f>Claims!E221</f>
        <v>Train</v>
      </c>
      <c r="D225" s="36" t="str">
        <f>Claims!G221</f>
        <v>Non-metro</v>
      </c>
      <c r="E225" s="40">
        <f>Claims!H221</f>
        <v>1701</v>
      </c>
      <c r="F225" s="36" t="str">
        <f>Claims!K221</f>
        <v>Yes</v>
      </c>
      <c r="G225" s="36" t="str">
        <f>IF(Claims!M221="","",Claims!M221)</f>
        <v/>
      </c>
      <c r="H225" s="36" t="str">
        <f>IF(Claims!N221="","",Claims!N221)</f>
        <v/>
      </c>
      <c r="I225" s="41">
        <f>Claims!J221-Claims!I221</f>
        <v>5</v>
      </c>
      <c r="J225" s="42" t="str">
        <f t="shared" si="43"/>
        <v>n/a</v>
      </c>
      <c r="K225" s="42" t="str">
        <f t="shared" si="44"/>
        <v>n/a</v>
      </c>
      <c r="L225" s="42" t="str">
        <f t="shared" si="45"/>
        <v>n/a</v>
      </c>
      <c r="M225" s="42" t="str">
        <f t="shared" si="46"/>
        <v>n/a</v>
      </c>
      <c r="N225" s="42" t="str">
        <f t="shared" si="47"/>
        <v>n/a</v>
      </c>
      <c r="O225" s="42" t="str">
        <f t="shared" si="48"/>
        <v>n/a</v>
      </c>
      <c r="P225" s="42" t="str">
        <f t="shared" si="49"/>
        <v>Compliant</v>
      </c>
      <c r="Q225" s="42" t="str">
        <f t="shared" si="50"/>
        <v>Compliant</v>
      </c>
      <c r="R225" s="42" t="str">
        <f t="shared" si="51"/>
        <v>Compliant</v>
      </c>
      <c r="S225" s="36" t="str">
        <f t="shared" si="52"/>
        <v/>
      </c>
      <c r="T225" s="42" t="str">
        <f t="shared" si="53"/>
        <v/>
      </c>
      <c r="U225" s="42" t="str">
        <f t="shared" si="54"/>
        <v/>
      </c>
      <c r="V225" s="42" t="str">
        <f t="shared" si="55"/>
        <v/>
      </c>
      <c r="W225" s="42" t="str">
        <f t="shared" si="56"/>
        <v/>
      </c>
    </row>
    <row r="226" spans="1:23" ht="15" hidden="1" customHeight="1" x14ac:dyDescent="0.25">
      <c r="A226" s="36" t="str">
        <f>Claims!A222</f>
        <v>EXP00221</v>
      </c>
      <c r="B226" s="36" t="str">
        <f>Claims!D222</f>
        <v>M2</v>
      </c>
      <c r="C226" s="36" t="str">
        <f>Claims!E222</f>
        <v>Flight</v>
      </c>
      <c r="D226" s="36" t="str">
        <f>Claims!G222</f>
        <v>Non-metro</v>
      </c>
      <c r="E226" s="40">
        <f>Claims!H222</f>
        <v>20346</v>
      </c>
      <c r="F226" s="36" t="str">
        <f>Claims!K222</f>
        <v>No</v>
      </c>
      <c r="G226" s="36">
        <f>IF(Claims!M222="","",Claims!M222)</f>
        <v>6</v>
      </c>
      <c r="H226" s="36" t="str">
        <f>IF(Claims!N222="","",Claims!N222)</f>
        <v>Economy</v>
      </c>
      <c r="I226" s="41">
        <f>Claims!J222-Claims!I222</f>
        <v>9</v>
      </c>
      <c r="J226" s="42" t="str">
        <f t="shared" si="43"/>
        <v>Compliant</v>
      </c>
      <c r="K226" s="42" t="str">
        <f t="shared" si="44"/>
        <v>Violation</v>
      </c>
      <c r="L226" s="42" t="str">
        <f t="shared" si="45"/>
        <v>n/a</v>
      </c>
      <c r="M226" s="42" t="str">
        <f t="shared" si="46"/>
        <v>n/a</v>
      </c>
      <c r="N226" s="42" t="str">
        <f t="shared" si="47"/>
        <v>n/a</v>
      </c>
      <c r="O226" s="42" t="str">
        <f t="shared" si="48"/>
        <v>n/a</v>
      </c>
      <c r="P226" s="42" t="str">
        <f t="shared" si="49"/>
        <v>Violation</v>
      </c>
      <c r="Q226" s="42" t="str">
        <f t="shared" si="50"/>
        <v>Compliant</v>
      </c>
      <c r="R226" s="42" t="str">
        <f t="shared" si="51"/>
        <v>Violation</v>
      </c>
      <c r="S226" s="36" t="str">
        <f t="shared" si="52"/>
        <v>TP-02, TP-09</v>
      </c>
      <c r="T226" s="42" t="str">
        <f t="shared" si="53"/>
        <v/>
      </c>
      <c r="U226" s="42" t="str">
        <f t="shared" si="54"/>
        <v>Definite</v>
      </c>
      <c r="V226" s="42" t="str">
        <f t="shared" si="55"/>
        <v/>
      </c>
      <c r="W226" s="42" t="str">
        <f t="shared" si="56"/>
        <v>Needs approval</v>
      </c>
    </row>
    <row r="227" spans="1:23" ht="15" hidden="1" customHeight="1" x14ac:dyDescent="0.25">
      <c r="A227" s="36" t="str">
        <f>Claims!A223</f>
        <v>EXP00222</v>
      </c>
      <c r="B227" s="36" t="str">
        <f>Claims!D223</f>
        <v>M3</v>
      </c>
      <c r="C227" s="36" t="str">
        <f>Claims!E223</f>
        <v>Alcohol</v>
      </c>
      <c r="D227" s="36" t="str">
        <f>Claims!G223</f>
        <v>Metro</v>
      </c>
      <c r="E227" s="40">
        <f>Claims!H223</f>
        <v>1442</v>
      </c>
      <c r="F227" s="36" t="str">
        <f>Claims!K223</f>
        <v>Yes</v>
      </c>
      <c r="G227" s="36" t="str">
        <f>IF(Claims!M223="","",Claims!M223)</f>
        <v/>
      </c>
      <c r="H227" s="36" t="str">
        <f>IF(Claims!N223="","",Claims!N223)</f>
        <v/>
      </c>
      <c r="I227" s="41">
        <f>Claims!J223-Claims!I223</f>
        <v>70</v>
      </c>
      <c r="J227" s="42" t="str">
        <f t="shared" si="43"/>
        <v>n/a</v>
      </c>
      <c r="K227" s="42" t="str">
        <f t="shared" si="44"/>
        <v>n/a</v>
      </c>
      <c r="L227" s="42" t="str">
        <f t="shared" si="45"/>
        <v>n/a</v>
      </c>
      <c r="M227" s="42" t="str">
        <f t="shared" si="46"/>
        <v>n/a</v>
      </c>
      <c r="N227" s="42" t="str">
        <f t="shared" si="47"/>
        <v>n/a</v>
      </c>
      <c r="O227" s="42" t="str">
        <f t="shared" si="48"/>
        <v>Violation</v>
      </c>
      <c r="P227" s="42" t="str">
        <f t="shared" si="49"/>
        <v>Compliant</v>
      </c>
      <c r="Q227" s="42" t="str">
        <f t="shared" si="50"/>
        <v>Violation</v>
      </c>
      <c r="R227" s="42" t="str">
        <f t="shared" si="51"/>
        <v>Violation</v>
      </c>
      <c r="S227" s="36" t="str">
        <f t="shared" si="52"/>
        <v>TP-08, TP-10</v>
      </c>
      <c r="T227" s="42" t="str">
        <f t="shared" si="53"/>
        <v>Expired</v>
      </c>
      <c r="U227" s="42" t="str">
        <f t="shared" si="54"/>
        <v>Definite</v>
      </c>
      <c r="V227" s="42" t="str">
        <f t="shared" si="55"/>
        <v/>
      </c>
      <c r="W227" s="42" t="str">
        <f t="shared" si="56"/>
        <v/>
      </c>
    </row>
    <row r="228" spans="1:23" ht="15" hidden="1" customHeight="1" x14ac:dyDescent="0.25">
      <c r="A228" s="36" t="str">
        <f>Claims!A224</f>
        <v>EXP00223</v>
      </c>
      <c r="B228" s="36" t="str">
        <f>Claims!D224</f>
        <v>M3</v>
      </c>
      <c r="C228" s="36" t="str">
        <f>Claims!E224</f>
        <v>Flight</v>
      </c>
      <c r="D228" s="36" t="str">
        <f>Claims!G224</f>
        <v>Non-metro</v>
      </c>
      <c r="E228" s="40">
        <f>Claims!H224</f>
        <v>10057</v>
      </c>
      <c r="F228" s="36" t="str">
        <f>Claims!K224</f>
        <v>Yes</v>
      </c>
      <c r="G228" s="36">
        <f>IF(Claims!M224="","",Claims!M224)</f>
        <v>8</v>
      </c>
      <c r="H228" s="36" t="str">
        <f>IF(Claims!N224="","",Claims!N224)</f>
        <v>Economy</v>
      </c>
      <c r="I228" s="41">
        <f>Claims!J224-Claims!I224</f>
        <v>20</v>
      </c>
      <c r="J228" s="42" t="str">
        <f t="shared" si="43"/>
        <v>Compliant</v>
      </c>
      <c r="K228" s="42" t="str">
        <f t="shared" si="44"/>
        <v>Compliant</v>
      </c>
      <c r="L228" s="42" t="str">
        <f t="shared" si="45"/>
        <v>n/a</v>
      </c>
      <c r="M228" s="42" t="str">
        <f t="shared" si="46"/>
        <v>n/a</v>
      </c>
      <c r="N228" s="42" t="str">
        <f t="shared" si="47"/>
        <v>n/a</v>
      </c>
      <c r="O228" s="42" t="str">
        <f t="shared" si="48"/>
        <v>n/a</v>
      </c>
      <c r="P228" s="42" t="str">
        <f t="shared" si="49"/>
        <v>Compliant</v>
      </c>
      <c r="Q228" s="42" t="str">
        <f t="shared" si="50"/>
        <v>Violation</v>
      </c>
      <c r="R228" s="42" t="str">
        <f t="shared" si="51"/>
        <v>Violation</v>
      </c>
      <c r="S228" s="36" t="str">
        <f t="shared" si="52"/>
        <v>TP-10</v>
      </c>
      <c r="T228" s="42" t="str">
        <f t="shared" si="53"/>
        <v>Late</v>
      </c>
      <c r="U228" s="42" t="str">
        <f t="shared" si="54"/>
        <v>Definite</v>
      </c>
      <c r="V228" s="42" t="str">
        <f t="shared" si="55"/>
        <v/>
      </c>
      <c r="W228" s="42" t="str">
        <f t="shared" si="56"/>
        <v/>
      </c>
    </row>
    <row r="229" spans="1:23" ht="15" hidden="1" customHeight="1" x14ac:dyDescent="0.25">
      <c r="A229" s="36" t="str">
        <f>Claims!A225</f>
        <v>EXP00224</v>
      </c>
      <c r="B229" s="36" t="str">
        <f>Claims!D225</f>
        <v>M4</v>
      </c>
      <c r="C229" s="36" t="str">
        <f>Claims!E225</f>
        <v>Flight</v>
      </c>
      <c r="D229" s="36" t="str">
        <f>Claims!G225</f>
        <v>Non-metro</v>
      </c>
      <c r="E229" s="40">
        <f>Claims!H225</f>
        <v>15167</v>
      </c>
      <c r="F229" s="36" t="str">
        <f>Claims!K225</f>
        <v>Yes</v>
      </c>
      <c r="G229" s="36">
        <f>IF(Claims!M225="","",Claims!M225)</f>
        <v>1</v>
      </c>
      <c r="H229" s="36" t="str">
        <f>IF(Claims!N225="","",Claims!N225)</f>
        <v>Economy</v>
      </c>
      <c r="I229" s="41">
        <f>Claims!J225-Claims!I225</f>
        <v>5</v>
      </c>
      <c r="J229" s="42" t="str">
        <f t="shared" si="43"/>
        <v>Compliant</v>
      </c>
      <c r="K229" s="42" t="str">
        <f t="shared" si="44"/>
        <v>Violation</v>
      </c>
      <c r="L229" s="42" t="str">
        <f t="shared" si="45"/>
        <v>n/a</v>
      </c>
      <c r="M229" s="42" t="str">
        <f t="shared" si="46"/>
        <v>n/a</v>
      </c>
      <c r="N229" s="42" t="str">
        <f t="shared" si="47"/>
        <v>n/a</v>
      </c>
      <c r="O229" s="42" t="str">
        <f t="shared" si="48"/>
        <v>n/a</v>
      </c>
      <c r="P229" s="42" t="str">
        <f t="shared" si="49"/>
        <v>Compliant</v>
      </c>
      <c r="Q229" s="42" t="str">
        <f t="shared" si="50"/>
        <v>Compliant</v>
      </c>
      <c r="R229" s="42" t="str">
        <f t="shared" si="51"/>
        <v>Violation</v>
      </c>
      <c r="S229" s="36" t="str">
        <f t="shared" si="52"/>
        <v>TP-02</v>
      </c>
      <c r="T229" s="42" t="str">
        <f t="shared" si="53"/>
        <v/>
      </c>
      <c r="U229" s="42" t="str">
        <f t="shared" si="54"/>
        <v>Assumption-based</v>
      </c>
      <c r="V229" s="42" t="str">
        <f t="shared" si="55"/>
        <v/>
      </c>
      <c r="W229" s="42" t="str">
        <f t="shared" si="56"/>
        <v>Needs approval</v>
      </c>
    </row>
    <row r="230" spans="1:23" ht="15" hidden="1" customHeight="1" x14ac:dyDescent="0.25">
      <c r="A230" s="36" t="str">
        <f>Claims!A226</f>
        <v>EXP00225</v>
      </c>
      <c r="B230" s="36" t="str">
        <f>Claims!D226</f>
        <v>M2</v>
      </c>
      <c r="C230" s="36" t="str">
        <f>Claims!E226</f>
        <v>Hotel</v>
      </c>
      <c r="D230" s="36" t="str">
        <f>Claims!G226</f>
        <v>Metro</v>
      </c>
      <c r="E230" s="40">
        <f>Claims!H226</f>
        <v>11809</v>
      </c>
      <c r="F230" s="36" t="str">
        <f>Claims!K226</f>
        <v>Yes</v>
      </c>
      <c r="G230" s="36" t="str">
        <f>IF(Claims!M226="","",Claims!M226)</f>
        <v/>
      </c>
      <c r="H230" s="36" t="str">
        <f>IF(Claims!N226="","",Claims!N226)</f>
        <v/>
      </c>
      <c r="I230" s="41">
        <f>Claims!J226-Claims!I226</f>
        <v>2</v>
      </c>
      <c r="J230" s="42" t="str">
        <f t="shared" si="43"/>
        <v>n/a</v>
      </c>
      <c r="K230" s="42" t="str">
        <f t="shared" si="44"/>
        <v>n/a</v>
      </c>
      <c r="L230" s="42" t="str">
        <f t="shared" si="45"/>
        <v>Violation</v>
      </c>
      <c r="M230" s="42" t="str">
        <f t="shared" si="46"/>
        <v>n/a</v>
      </c>
      <c r="N230" s="42" t="str">
        <f t="shared" si="47"/>
        <v>n/a</v>
      </c>
      <c r="O230" s="42" t="str">
        <f t="shared" si="48"/>
        <v>n/a</v>
      </c>
      <c r="P230" s="42" t="str">
        <f t="shared" si="49"/>
        <v>Compliant</v>
      </c>
      <c r="Q230" s="42" t="str">
        <f t="shared" si="50"/>
        <v>Compliant</v>
      </c>
      <c r="R230" s="42" t="str">
        <f t="shared" si="51"/>
        <v>Violation</v>
      </c>
      <c r="S230" s="36" t="str">
        <f t="shared" si="52"/>
        <v>TP-04</v>
      </c>
      <c r="T230" s="42" t="str">
        <f t="shared" si="53"/>
        <v/>
      </c>
      <c r="U230" s="42" t="str">
        <f t="shared" si="54"/>
        <v>Assumption-based</v>
      </c>
      <c r="V230" s="42">
        <f t="shared" si="55"/>
        <v>2</v>
      </c>
      <c r="W230" s="42" t="str">
        <f t="shared" si="56"/>
        <v>Needs nights</v>
      </c>
    </row>
    <row r="231" spans="1:23" ht="15" hidden="1" customHeight="1" x14ac:dyDescent="0.25">
      <c r="A231" s="36" t="str">
        <f>Claims!A227</f>
        <v>EXP00226</v>
      </c>
      <c r="B231" s="36" t="str">
        <f>Claims!D227</f>
        <v>M1</v>
      </c>
      <c r="C231" s="36" t="str">
        <f>Claims!E227</f>
        <v>Stationery</v>
      </c>
      <c r="D231" s="36" t="str">
        <f>Claims!G227</f>
        <v>Metro</v>
      </c>
      <c r="E231" s="40">
        <f>Claims!H227</f>
        <v>273</v>
      </c>
      <c r="F231" s="36" t="str">
        <f>Claims!K227</f>
        <v>Yes</v>
      </c>
      <c r="G231" s="36" t="str">
        <f>IF(Claims!M227="","",Claims!M227)</f>
        <v/>
      </c>
      <c r="H231" s="36" t="str">
        <f>IF(Claims!N227="","",Claims!N227)</f>
        <v/>
      </c>
      <c r="I231" s="41">
        <f>Claims!J227-Claims!I227</f>
        <v>5</v>
      </c>
      <c r="J231" s="42" t="str">
        <f t="shared" si="43"/>
        <v>n/a</v>
      </c>
      <c r="K231" s="42" t="str">
        <f t="shared" si="44"/>
        <v>n/a</v>
      </c>
      <c r="L231" s="42" t="str">
        <f t="shared" si="45"/>
        <v>n/a</v>
      </c>
      <c r="M231" s="42" t="str">
        <f t="shared" si="46"/>
        <v>n/a</v>
      </c>
      <c r="N231" s="42" t="str">
        <f t="shared" si="47"/>
        <v>n/a</v>
      </c>
      <c r="O231" s="42" t="str">
        <f t="shared" si="48"/>
        <v>n/a</v>
      </c>
      <c r="P231" s="42" t="str">
        <f t="shared" si="49"/>
        <v>Compliant</v>
      </c>
      <c r="Q231" s="42" t="str">
        <f t="shared" si="50"/>
        <v>Compliant</v>
      </c>
      <c r="R231" s="42" t="str">
        <f t="shared" si="51"/>
        <v>Compliant</v>
      </c>
      <c r="S231" s="36" t="str">
        <f t="shared" si="52"/>
        <v/>
      </c>
      <c r="T231" s="42" t="str">
        <f t="shared" si="53"/>
        <v/>
      </c>
      <c r="U231" s="42" t="str">
        <f t="shared" si="54"/>
        <v/>
      </c>
      <c r="V231" s="42" t="str">
        <f t="shared" si="55"/>
        <v/>
      </c>
      <c r="W231" s="42" t="str">
        <f t="shared" si="56"/>
        <v/>
      </c>
    </row>
    <row r="232" spans="1:23" ht="15" hidden="1" customHeight="1" x14ac:dyDescent="0.25">
      <c r="A232" s="36" t="str">
        <f>Claims!A228</f>
        <v>EXP00227</v>
      </c>
      <c r="B232" s="36" t="str">
        <f>Claims!D228</f>
        <v>M5</v>
      </c>
      <c r="C232" s="36" t="str">
        <f>Claims!E228</f>
        <v>Stationery</v>
      </c>
      <c r="D232" s="36" t="str">
        <f>Claims!G228</f>
        <v>Metro</v>
      </c>
      <c r="E232" s="40">
        <f>Claims!H228</f>
        <v>753</v>
      </c>
      <c r="F232" s="36" t="str">
        <f>Claims!K228</f>
        <v>Yes</v>
      </c>
      <c r="G232" s="36" t="str">
        <f>IF(Claims!M228="","",Claims!M228)</f>
        <v/>
      </c>
      <c r="H232" s="36" t="str">
        <f>IF(Claims!N228="","",Claims!N228)</f>
        <v/>
      </c>
      <c r="I232" s="41">
        <f>Claims!J228-Claims!I228</f>
        <v>14</v>
      </c>
      <c r="J232" s="42" t="str">
        <f t="shared" si="43"/>
        <v>n/a</v>
      </c>
      <c r="K232" s="42" t="str">
        <f t="shared" si="44"/>
        <v>n/a</v>
      </c>
      <c r="L232" s="42" t="str">
        <f t="shared" si="45"/>
        <v>n/a</v>
      </c>
      <c r="M232" s="42" t="str">
        <f t="shared" si="46"/>
        <v>n/a</v>
      </c>
      <c r="N232" s="42" t="str">
        <f t="shared" si="47"/>
        <v>n/a</v>
      </c>
      <c r="O232" s="42" t="str">
        <f t="shared" si="48"/>
        <v>n/a</v>
      </c>
      <c r="P232" s="42" t="str">
        <f t="shared" si="49"/>
        <v>Compliant</v>
      </c>
      <c r="Q232" s="42" t="str">
        <f t="shared" si="50"/>
        <v>Compliant</v>
      </c>
      <c r="R232" s="42" t="str">
        <f t="shared" si="51"/>
        <v>Compliant</v>
      </c>
      <c r="S232" s="36" t="str">
        <f t="shared" si="52"/>
        <v/>
      </c>
      <c r="T232" s="42" t="str">
        <f t="shared" si="53"/>
        <v/>
      </c>
      <c r="U232" s="42" t="str">
        <f t="shared" si="54"/>
        <v/>
      </c>
      <c r="V232" s="42" t="str">
        <f t="shared" si="55"/>
        <v/>
      </c>
      <c r="W232" s="42" t="str">
        <f t="shared" si="56"/>
        <v/>
      </c>
    </row>
    <row r="233" spans="1:23" ht="15" hidden="1" customHeight="1" x14ac:dyDescent="0.25">
      <c r="A233" s="36" t="str">
        <f>Claims!A229</f>
        <v>EXP00228</v>
      </c>
      <c r="B233" s="36" t="str">
        <f>Claims!D229</f>
        <v>M1</v>
      </c>
      <c r="C233" s="36" t="str">
        <f>Claims!E229</f>
        <v>Hotel</v>
      </c>
      <c r="D233" s="36" t="str">
        <f>Claims!G229</f>
        <v>Metro</v>
      </c>
      <c r="E233" s="40">
        <f>Claims!H229</f>
        <v>5391</v>
      </c>
      <c r="F233" s="36" t="str">
        <f>Claims!K229</f>
        <v>Yes</v>
      </c>
      <c r="G233" s="36" t="str">
        <f>IF(Claims!M229="","",Claims!M229)</f>
        <v/>
      </c>
      <c r="H233" s="36" t="str">
        <f>IF(Claims!N229="","",Claims!N229)</f>
        <v/>
      </c>
      <c r="I233" s="41">
        <f>Claims!J229-Claims!I229</f>
        <v>9</v>
      </c>
      <c r="J233" s="42" t="str">
        <f t="shared" si="43"/>
        <v>n/a</v>
      </c>
      <c r="K233" s="42" t="str">
        <f t="shared" si="44"/>
        <v>n/a</v>
      </c>
      <c r="L233" s="42" t="str">
        <f t="shared" si="45"/>
        <v>Compliant</v>
      </c>
      <c r="M233" s="42" t="str">
        <f t="shared" si="46"/>
        <v>n/a</v>
      </c>
      <c r="N233" s="42" t="str">
        <f t="shared" si="47"/>
        <v>n/a</v>
      </c>
      <c r="O233" s="42" t="str">
        <f t="shared" si="48"/>
        <v>n/a</v>
      </c>
      <c r="P233" s="42" t="str">
        <f t="shared" si="49"/>
        <v>Compliant</v>
      </c>
      <c r="Q233" s="42" t="str">
        <f t="shared" si="50"/>
        <v>Compliant</v>
      </c>
      <c r="R233" s="42" t="str">
        <f t="shared" si="51"/>
        <v>Compliant</v>
      </c>
      <c r="S233" s="36" t="str">
        <f t="shared" si="52"/>
        <v/>
      </c>
      <c r="T233" s="42" t="str">
        <f t="shared" si="53"/>
        <v/>
      </c>
      <c r="U233" s="42" t="str">
        <f t="shared" si="54"/>
        <v/>
      </c>
      <c r="V233" s="42" t="str">
        <f t="shared" si="55"/>
        <v/>
      </c>
      <c r="W233" s="42" t="str">
        <f t="shared" si="56"/>
        <v/>
      </c>
    </row>
    <row r="234" spans="1:23" ht="15" hidden="1" customHeight="1" x14ac:dyDescent="0.25">
      <c r="A234" s="36" t="str">
        <f>Claims!A230</f>
        <v>EXP00229</v>
      </c>
      <c r="B234" s="36" t="str">
        <f>Claims!D230</f>
        <v>M3</v>
      </c>
      <c r="C234" s="36" t="str">
        <f>Claims!E230</f>
        <v>Stationery</v>
      </c>
      <c r="D234" s="36" t="str">
        <f>Claims!G230</f>
        <v>Metro</v>
      </c>
      <c r="E234" s="40">
        <f>Claims!H230</f>
        <v>119</v>
      </c>
      <c r="F234" s="36" t="str">
        <f>Claims!K230</f>
        <v>Yes</v>
      </c>
      <c r="G234" s="36" t="str">
        <f>IF(Claims!M230="","",Claims!M230)</f>
        <v/>
      </c>
      <c r="H234" s="36" t="str">
        <f>IF(Claims!N230="","",Claims!N230)</f>
        <v/>
      </c>
      <c r="I234" s="41">
        <f>Claims!J230-Claims!I230</f>
        <v>2</v>
      </c>
      <c r="J234" s="42" t="str">
        <f t="shared" si="43"/>
        <v>n/a</v>
      </c>
      <c r="K234" s="42" t="str">
        <f t="shared" si="44"/>
        <v>n/a</v>
      </c>
      <c r="L234" s="42" t="str">
        <f t="shared" si="45"/>
        <v>n/a</v>
      </c>
      <c r="M234" s="42" t="str">
        <f t="shared" si="46"/>
        <v>n/a</v>
      </c>
      <c r="N234" s="42" t="str">
        <f t="shared" si="47"/>
        <v>n/a</v>
      </c>
      <c r="O234" s="42" t="str">
        <f t="shared" si="48"/>
        <v>n/a</v>
      </c>
      <c r="P234" s="42" t="str">
        <f t="shared" si="49"/>
        <v>Compliant</v>
      </c>
      <c r="Q234" s="42" t="str">
        <f t="shared" si="50"/>
        <v>Compliant</v>
      </c>
      <c r="R234" s="42" t="str">
        <f t="shared" si="51"/>
        <v>Compliant</v>
      </c>
      <c r="S234" s="36" t="str">
        <f t="shared" si="52"/>
        <v/>
      </c>
      <c r="T234" s="42" t="str">
        <f t="shared" si="53"/>
        <v/>
      </c>
      <c r="U234" s="42" t="str">
        <f t="shared" si="54"/>
        <v/>
      </c>
      <c r="V234" s="42" t="str">
        <f t="shared" si="55"/>
        <v/>
      </c>
      <c r="W234" s="42" t="str">
        <f t="shared" si="56"/>
        <v/>
      </c>
    </row>
    <row r="235" spans="1:23" ht="15" hidden="1" customHeight="1" x14ac:dyDescent="0.25">
      <c r="A235" s="36" t="str">
        <f>Claims!A231</f>
        <v>EXP00230</v>
      </c>
      <c r="B235" s="36" t="str">
        <f>Claims!D231</f>
        <v>M1</v>
      </c>
      <c r="C235" s="36" t="str">
        <f>Claims!E231</f>
        <v>Meals/DA</v>
      </c>
      <c r="D235" s="36" t="str">
        <f>Claims!G231</f>
        <v>Metro</v>
      </c>
      <c r="E235" s="40">
        <f>Claims!H231</f>
        <v>1573</v>
      </c>
      <c r="F235" s="36" t="str">
        <f>Claims!K231</f>
        <v>Yes</v>
      </c>
      <c r="G235" s="36" t="str">
        <f>IF(Claims!M231="","",Claims!M231)</f>
        <v/>
      </c>
      <c r="H235" s="36" t="str">
        <f>IF(Claims!N231="","",Claims!N231)</f>
        <v/>
      </c>
      <c r="I235" s="41">
        <f>Claims!J231-Claims!I231</f>
        <v>5</v>
      </c>
      <c r="J235" s="42" t="str">
        <f t="shared" si="43"/>
        <v>n/a</v>
      </c>
      <c r="K235" s="42" t="str">
        <f t="shared" si="44"/>
        <v>n/a</v>
      </c>
      <c r="L235" s="42" t="str">
        <f t="shared" si="45"/>
        <v>n/a</v>
      </c>
      <c r="M235" s="42" t="str">
        <f t="shared" si="46"/>
        <v>n/a</v>
      </c>
      <c r="N235" s="42" t="str">
        <f t="shared" si="47"/>
        <v>Violation</v>
      </c>
      <c r="O235" s="42" t="str">
        <f t="shared" si="48"/>
        <v>n/a</v>
      </c>
      <c r="P235" s="42" t="str">
        <f t="shared" si="49"/>
        <v>Compliant</v>
      </c>
      <c r="Q235" s="42" t="str">
        <f t="shared" si="50"/>
        <v>Compliant</v>
      </c>
      <c r="R235" s="42" t="str">
        <f t="shared" si="51"/>
        <v>Violation</v>
      </c>
      <c r="S235" s="36" t="str">
        <f t="shared" si="52"/>
        <v>TP-06</v>
      </c>
      <c r="T235" s="42" t="str">
        <f t="shared" si="53"/>
        <v/>
      </c>
      <c r="U235" s="42" t="str">
        <f t="shared" si="54"/>
        <v>Assumption-based</v>
      </c>
      <c r="V235" s="42">
        <f t="shared" si="55"/>
        <v>2</v>
      </c>
      <c r="W235" s="42" t="str">
        <f t="shared" si="56"/>
        <v>Needs days</v>
      </c>
    </row>
    <row r="236" spans="1:23" ht="15" hidden="1" customHeight="1" x14ac:dyDescent="0.25">
      <c r="A236" s="36" t="str">
        <f>Claims!A232</f>
        <v>EXP00231</v>
      </c>
      <c r="B236" s="36" t="str">
        <f>Claims!D232</f>
        <v>M2</v>
      </c>
      <c r="C236" s="36" t="str">
        <f>Claims!E232</f>
        <v>Meals/DA</v>
      </c>
      <c r="D236" s="36" t="str">
        <f>Claims!G232</f>
        <v>Non-metro</v>
      </c>
      <c r="E236" s="40">
        <f>Claims!H232</f>
        <v>1131</v>
      </c>
      <c r="F236" s="36" t="str">
        <f>Claims!K232</f>
        <v>Yes</v>
      </c>
      <c r="G236" s="36" t="str">
        <f>IF(Claims!M232="","",Claims!M232)</f>
        <v/>
      </c>
      <c r="H236" s="36" t="str">
        <f>IF(Claims!N232="","",Claims!N232)</f>
        <v/>
      </c>
      <c r="I236" s="41">
        <f>Claims!J232-Claims!I232</f>
        <v>9</v>
      </c>
      <c r="J236" s="42" t="str">
        <f t="shared" si="43"/>
        <v>n/a</v>
      </c>
      <c r="K236" s="42" t="str">
        <f t="shared" si="44"/>
        <v>n/a</v>
      </c>
      <c r="L236" s="42" t="str">
        <f t="shared" si="45"/>
        <v>n/a</v>
      </c>
      <c r="M236" s="42" t="str">
        <f t="shared" si="46"/>
        <v>n/a</v>
      </c>
      <c r="N236" s="42" t="str">
        <f t="shared" si="47"/>
        <v>Violation</v>
      </c>
      <c r="O236" s="42" t="str">
        <f t="shared" si="48"/>
        <v>n/a</v>
      </c>
      <c r="P236" s="42" t="str">
        <f t="shared" si="49"/>
        <v>Compliant</v>
      </c>
      <c r="Q236" s="42" t="str">
        <f t="shared" si="50"/>
        <v>Compliant</v>
      </c>
      <c r="R236" s="42" t="str">
        <f t="shared" si="51"/>
        <v>Violation</v>
      </c>
      <c r="S236" s="36" t="str">
        <f t="shared" si="52"/>
        <v>TP-06</v>
      </c>
      <c r="T236" s="42" t="str">
        <f t="shared" si="53"/>
        <v/>
      </c>
      <c r="U236" s="42" t="str">
        <f t="shared" si="54"/>
        <v>Assumption-based</v>
      </c>
      <c r="V236" s="42">
        <f t="shared" si="55"/>
        <v>2</v>
      </c>
      <c r="W236" s="42" t="str">
        <f t="shared" si="56"/>
        <v>Needs days</v>
      </c>
    </row>
    <row r="237" spans="1:23" ht="15" hidden="1" customHeight="1" x14ac:dyDescent="0.25">
      <c r="A237" s="36" t="str">
        <f>Claims!A233</f>
        <v>EXP00232</v>
      </c>
      <c r="B237" s="36" t="str">
        <f>Claims!D233</f>
        <v>M3</v>
      </c>
      <c r="C237" s="36" t="str">
        <f>Claims!E233</f>
        <v>Hotel</v>
      </c>
      <c r="D237" s="36" t="str">
        <f>Claims!G233</f>
        <v>Metro</v>
      </c>
      <c r="E237" s="40">
        <f>Claims!H233</f>
        <v>5139</v>
      </c>
      <c r="F237" s="36" t="str">
        <f>Claims!K233</f>
        <v>Yes</v>
      </c>
      <c r="G237" s="36" t="str">
        <f>IF(Claims!M233="","",Claims!M233)</f>
        <v/>
      </c>
      <c r="H237" s="36" t="str">
        <f>IF(Claims!N233="","",Claims!N233)</f>
        <v/>
      </c>
      <c r="I237" s="41">
        <f>Claims!J233-Claims!I233</f>
        <v>9</v>
      </c>
      <c r="J237" s="42" t="str">
        <f t="shared" si="43"/>
        <v>n/a</v>
      </c>
      <c r="K237" s="42" t="str">
        <f t="shared" si="44"/>
        <v>n/a</v>
      </c>
      <c r="L237" s="42" t="str">
        <f t="shared" si="45"/>
        <v>Compliant</v>
      </c>
      <c r="M237" s="42" t="str">
        <f t="shared" si="46"/>
        <v>n/a</v>
      </c>
      <c r="N237" s="42" t="str">
        <f t="shared" si="47"/>
        <v>n/a</v>
      </c>
      <c r="O237" s="42" t="str">
        <f t="shared" si="48"/>
        <v>n/a</v>
      </c>
      <c r="P237" s="42" t="str">
        <f t="shared" si="49"/>
        <v>Compliant</v>
      </c>
      <c r="Q237" s="42" t="str">
        <f t="shared" si="50"/>
        <v>Compliant</v>
      </c>
      <c r="R237" s="42" t="str">
        <f t="shared" si="51"/>
        <v>Compliant</v>
      </c>
      <c r="S237" s="36" t="str">
        <f t="shared" si="52"/>
        <v/>
      </c>
      <c r="T237" s="42" t="str">
        <f t="shared" si="53"/>
        <v/>
      </c>
      <c r="U237" s="42" t="str">
        <f t="shared" si="54"/>
        <v/>
      </c>
      <c r="V237" s="42" t="str">
        <f t="shared" si="55"/>
        <v/>
      </c>
      <c r="W237" s="42" t="str">
        <f t="shared" si="56"/>
        <v/>
      </c>
    </row>
    <row r="238" spans="1:23" ht="15" hidden="1" customHeight="1" x14ac:dyDescent="0.25">
      <c r="A238" s="36" t="str">
        <f>Claims!A234</f>
        <v>EXP00233</v>
      </c>
      <c r="B238" s="36" t="str">
        <f>Claims!D234</f>
        <v>M1</v>
      </c>
      <c r="C238" s="36" t="str">
        <f>Claims!E234</f>
        <v>Meals/DA</v>
      </c>
      <c r="D238" s="36" t="str">
        <f>Claims!G234</f>
        <v>Metro</v>
      </c>
      <c r="E238" s="40">
        <f>Claims!H234</f>
        <v>1627</v>
      </c>
      <c r="F238" s="36" t="str">
        <f>Claims!K234</f>
        <v>Yes</v>
      </c>
      <c r="G238" s="36" t="str">
        <f>IF(Claims!M234="","",Claims!M234)</f>
        <v/>
      </c>
      <c r="H238" s="36" t="str">
        <f>IF(Claims!N234="","",Claims!N234)</f>
        <v/>
      </c>
      <c r="I238" s="41">
        <f>Claims!J234-Claims!I234</f>
        <v>2</v>
      </c>
      <c r="J238" s="42" t="str">
        <f t="shared" si="43"/>
        <v>n/a</v>
      </c>
      <c r="K238" s="42" t="str">
        <f t="shared" si="44"/>
        <v>n/a</v>
      </c>
      <c r="L238" s="42" t="str">
        <f t="shared" si="45"/>
        <v>n/a</v>
      </c>
      <c r="M238" s="42" t="str">
        <f t="shared" si="46"/>
        <v>n/a</v>
      </c>
      <c r="N238" s="42" t="str">
        <f t="shared" si="47"/>
        <v>Violation</v>
      </c>
      <c r="O238" s="42" t="str">
        <f t="shared" si="48"/>
        <v>n/a</v>
      </c>
      <c r="P238" s="42" t="str">
        <f t="shared" si="49"/>
        <v>Compliant</v>
      </c>
      <c r="Q238" s="42" t="str">
        <f t="shared" si="50"/>
        <v>Compliant</v>
      </c>
      <c r="R238" s="42" t="str">
        <f t="shared" si="51"/>
        <v>Violation</v>
      </c>
      <c r="S238" s="36" t="str">
        <f t="shared" si="52"/>
        <v>TP-06</v>
      </c>
      <c r="T238" s="42" t="str">
        <f t="shared" si="53"/>
        <v/>
      </c>
      <c r="U238" s="42" t="str">
        <f t="shared" si="54"/>
        <v>Assumption-based</v>
      </c>
      <c r="V238" s="42">
        <f t="shared" si="55"/>
        <v>2</v>
      </c>
      <c r="W238" s="42" t="str">
        <f t="shared" si="56"/>
        <v>Needs days</v>
      </c>
    </row>
    <row r="239" spans="1:23" ht="15" hidden="1" customHeight="1" x14ac:dyDescent="0.25">
      <c r="A239" s="36" t="str">
        <f>Claims!A235</f>
        <v>EXP00234</v>
      </c>
      <c r="B239" s="36" t="str">
        <f>Claims!D235</f>
        <v>M3</v>
      </c>
      <c r="C239" s="36" t="str">
        <f>Claims!E235</f>
        <v>Meals/DA</v>
      </c>
      <c r="D239" s="36" t="str">
        <f>Claims!G235</f>
        <v>Metro</v>
      </c>
      <c r="E239" s="40">
        <f>Claims!H235</f>
        <v>1596</v>
      </c>
      <c r="F239" s="36" t="str">
        <f>Claims!K235</f>
        <v>Yes</v>
      </c>
      <c r="G239" s="36" t="str">
        <f>IF(Claims!M235="","",Claims!M235)</f>
        <v/>
      </c>
      <c r="H239" s="36" t="str">
        <f>IF(Claims!N235="","",Claims!N235)</f>
        <v/>
      </c>
      <c r="I239" s="41">
        <f>Claims!J235-Claims!I235</f>
        <v>20</v>
      </c>
      <c r="J239" s="42" t="str">
        <f t="shared" si="43"/>
        <v>n/a</v>
      </c>
      <c r="K239" s="42" t="str">
        <f t="shared" si="44"/>
        <v>n/a</v>
      </c>
      <c r="L239" s="42" t="str">
        <f t="shared" si="45"/>
        <v>n/a</v>
      </c>
      <c r="M239" s="42" t="str">
        <f t="shared" si="46"/>
        <v>n/a</v>
      </c>
      <c r="N239" s="42" t="str">
        <f t="shared" si="47"/>
        <v>Violation</v>
      </c>
      <c r="O239" s="42" t="str">
        <f t="shared" si="48"/>
        <v>n/a</v>
      </c>
      <c r="P239" s="42" t="str">
        <f t="shared" si="49"/>
        <v>Compliant</v>
      </c>
      <c r="Q239" s="42" t="str">
        <f t="shared" si="50"/>
        <v>Violation</v>
      </c>
      <c r="R239" s="42" t="str">
        <f t="shared" si="51"/>
        <v>Violation</v>
      </c>
      <c r="S239" s="36" t="str">
        <f t="shared" si="52"/>
        <v>TP-06, TP-10</v>
      </c>
      <c r="T239" s="42" t="str">
        <f t="shared" si="53"/>
        <v>Late</v>
      </c>
      <c r="U239" s="42" t="str">
        <f t="shared" si="54"/>
        <v>Definite</v>
      </c>
      <c r="V239" s="42">
        <f t="shared" si="55"/>
        <v>2</v>
      </c>
      <c r="W239" s="42" t="str">
        <f t="shared" si="56"/>
        <v>Needs days</v>
      </c>
    </row>
    <row r="240" spans="1:23" ht="15" hidden="1" customHeight="1" x14ac:dyDescent="0.25">
      <c r="A240" s="36" t="str">
        <f>Claims!A236</f>
        <v>EXP00235</v>
      </c>
      <c r="B240" s="36" t="str">
        <f>Claims!D236</f>
        <v>M2</v>
      </c>
      <c r="C240" s="36" t="str">
        <f>Claims!E236</f>
        <v>Flight</v>
      </c>
      <c r="D240" s="36" t="str">
        <f>Claims!G236</f>
        <v>Non-metro</v>
      </c>
      <c r="E240" s="40">
        <f>Claims!H236</f>
        <v>13270</v>
      </c>
      <c r="F240" s="36" t="str">
        <f>Claims!K236</f>
        <v>Yes</v>
      </c>
      <c r="G240" s="36">
        <f>IF(Claims!M236="","",Claims!M236)</f>
        <v>14</v>
      </c>
      <c r="H240" s="36" t="str">
        <f>IF(Claims!N236="","",Claims!N236)</f>
        <v>Economy</v>
      </c>
      <c r="I240" s="41">
        <f>Claims!J236-Claims!I236</f>
        <v>9</v>
      </c>
      <c r="J240" s="42" t="str">
        <f t="shared" si="43"/>
        <v>Compliant</v>
      </c>
      <c r="K240" s="42" t="str">
        <f t="shared" si="44"/>
        <v>Compliant</v>
      </c>
      <c r="L240" s="42" t="str">
        <f t="shared" si="45"/>
        <v>n/a</v>
      </c>
      <c r="M240" s="42" t="str">
        <f t="shared" si="46"/>
        <v>n/a</v>
      </c>
      <c r="N240" s="42" t="str">
        <f t="shared" si="47"/>
        <v>n/a</v>
      </c>
      <c r="O240" s="42" t="str">
        <f t="shared" si="48"/>
        <v>n/a</v>
      </c>
      <c r="P240" s="42" t="str">
        <f t="shared" si="49"/>
        <v>Compliant</v>
      </c>
      <c r="Q240" s="42" t="str">
        <f t="shared" si="50"/>
        <v>Compliant</v>
      </c>
      <c r="R240" s="42" t="str">
        <f t="shared" si="51"/>
        <v>Compliant</v>
      </c>
      <c r="S240" s="36" t="str">
        <f t="shared" si="52"/>
        <v/>
      </c>
      <c r="T240" s="42" t="str">
        <f t="shared" si="53"/>
        <v/>
      </c>
      <c r="U240" s="42" t="str">
        <f t="shared" si="54"/>
        <v/>
      </c>
      <c r="V240" s="42" t="str">
        <f t="shared" si="55"/>
        <v/>
      </c>
      <c r="W240" s="42" t="str">
        <f t="shared" si="56"/>
        <v/>
      </c>
    </row>
    <row r="241" spans="1:23" ht="15" hidden="1" customHeight="1" x14ac:dyDescent="0.25">
      <c r="A241" s="36" t="str">
        <f>Claims!A237</f>
        <v>EXP00236</v>
      </c>
      <c r="B241" s="36" t="str">
        <f>Claims!D237</f>
        <v>M2</v>
      </c>
      <c r="C241" s="36" t="str">
        <f>Claims!E237</f>
        <v>Flight</v>
      </c>
      <c r="D241" s="36" t="str">
        <f>Claims!G237</f>
        <v>Non-metro</v>
      </c>
      <c r="E241" s="40">
        <f>Claims!H237</f>
        <v>7368</v>
      </c>
      <c r="F241" s="36" t="str">
        <f>Claims!K237</f>
        <v>Yes</v>
      </c>
      <c r="G241" s="36">
        <f>IF(Claims!M237="","",Claims!M237)</f>
        <v>8</v>
      </c>
      <c r="H241" s="36" t="str">
        <f>IF(Claims!N237="","",Claims!N237)</f>
        <v>Economy</v>
      </c>
      <c r="I241" s="41">
        <f>Claims!J237-Claims!I237</f>
        <v>14</v>
      </c>
      <c r="J241" s="42" t="str">
        <f t="shared" si="43"/>
        <v>Compliant</v>
      </c>
      <c r="K241" s="42" t="str">
        <f t="shared" si="44"/>
        <v>Compliant</v>
      </c>
      <c r="L241" s="42" t="str">
        <f t="shared" si="45"/>
        <v>n/a</v>
      </c>
      <c r="M241" s="42" t="str">
        <f t="shared" si="46"/>
        <v>n/a</v>
      </c>
      <c r="N241" s="42" t="str">
        <f t="shared" si="47"/>
        <v>n/a</v>
      </c>
      <c r="O241" s="42" t="str">
        <f t="shared" si="48"/>
        <v>n/a</v>
      </c>
      <c r="P241" s="42" t="str">
        <f t="shared" si="49"/>
        <v>Compliant</v>
      </c>
      <c r="Q241" s="42" t="str">
        <f t="shared" si="50"/>
        <v>Compliant</v>
      </c>
      <c r="R241" s="42" t="str">
        <f t="shared" si="51"/>
        <v>Compliant</v>
      </c>
      <c r="S241" s="36" t="str">
        <f t="shared" si="52"/>
        <v/>
      </c>
      <c r="T241" s="42" t="str">
        <f t="shared" si="53"/>
        <v/>
      </c>
      <c r="U241" s="42" t="str">
        <f t="shared" si="54"/>
        <v/>
      </c>
      <c r="V241" s="42" t="str">
        <f t="shared" si="55"/>
        <v/>
      </c>
      <c r="W241" s="42" t="str">
        <f t="shared" si="56"/>
        <v/>
      </c>
    </row>
    <row r="242" spans="1:23" ht="15" hidden="1" customHeight="1" x14ac:dyDescent="0.25">
      <c r="A242" s="36" t="str">
        <f>Claims!A238</f>
        <v>EXP00237</v>
      </c>
      <c r="B242" s="36" t="str">
        <f>Claims!D238</f>
        <v>M3</v>
      </c>
      <c r="C242" s="36" t="str">
        <f>Claims!E238</f>
        <v>Local Cab</v>
      </c>
      <c r="D242" s="36" t="str">
        <f>Claims!G238</f>
        <v>Metro</v>
      </c>
      <c r="E242" s="40">
        <f>Claims!H238</f>
        <v>1040</v>
      </c>
      <c r="F242" s="36" t="str">
        <f>Claims!K238</f>
        <v>Yes</v>
      </c>
      <c r="G242" s="36" t="str">
        <f>IF(Claims!M238="","",Claims!M238)</f>
        <v/>
      </c>
      <c r="H242" s="36" t="str">
        <f>IF(Claims!N238="","",Claims!N238)</f>
        <v/>
      </c>
      <c r="I242" s="41">
        <f>Claims!J238-Claims!I238</f>
        <v>14</v>
      </c>
      <c r="J242" s="42" t="str">
        <f t="shared" si="43"/>
        <v>n/a</v>
      </c>
      <c r="K242" s="42" t="str">
        <f t="shared" si="44"/>
        <v>n/a</v>
      </c>
      <c r="L242" s="42" t="str">
        <f t="shared" si="45"/>
        <v>n/a</v>
      </c>
      <c r="M242" s="42" t="str">
        <f t="shared" si="46"/>
        <v>n/a</v>
      </c>
      <c r="N242" s="42" t="str">
        <f t="shared" si="47"/>
        <v>n/a</v>
      </c>
      <c r="O242" s="42" t="str">
        <f t="shared" si="48"/>
        <v>n/a</v>
      </c>
      <c r="P242" s="42" t="str">
        <f t="shared" si="49"/>
        <v>Compliant</v>
      </c>
      <c r="Q242" s="42" t="str">
        <f t="shared" si="50"/>
        <v>Compliant</v>
      </c>
      <c r="R242" s="42" t="str">
        <f t="shared" si="51"/>
        <v>Compliant</v>
      </c>
      <c r="S242" s="36" t="str">
        <f t="shared" si="52"/>
        <v/>
      </c>
      <c r="T242" s="42" t="str">
        <f t="shared" si="53"/>
        <v/>
      </c>
      <c r="U242" s="42" t="str">
        <f t="shared" si="54"/>
        <v/>
      </c>
      <c r="V242" s="42" t="str">
        <f t="shared" si="55"/>
        <v/>
      </c>
      <c r="W242" s="42" t="str">
        <f t="shared" si="56"/>
        <v/>
      </c>
    </row>
    <row r="243" spans="1:23" ht="15" hidden="1" customHeight="1" x14ac:dyDescent="0.25">
      <c r="A243" s="36" t="str">
        <f>Claims!A239</f>
        <v>EXP00238</v>
      </c>
      <c r="B243" s="36" t="str">
        <f>Claims!D239</f>
        <v>M1</v>
      </c>
      <c r="C243" s="36" t="str">
        <f>Claims!E239</f>
        <v>Hotel</v>
      </c>
      <c r="D243" s="36" t="str">
        <f>Claims!G239</f>
        <v>Metro</v>
      </c>
      <c r="E243" s="40">
        <f>Claims!H239</f>
        <v>10412</v>
      </c>
      <c r="F243" s="36" t="str">
        <f>Claims!K239</f>
        <v>Yes</v>
      </c>
      <c r="G243" s="36" t="str">
        <f>IF(Claims!M239="","",Claims!M239)</f>
        <v/>
      </c>
      <c r="H243" s="36" t="str">
        <f>IF(Claims!N239="","",Claims!N239)</f>
        <v/>
      </c>
      <c r="I243" s="41">
        <f>Claims!J239-Claims!I239</f>
        <v>20</v>
      </c>
      <c r="J243" s="42" t="str">
        <f t="shared" si="43"/>
        <v>n/a</v>
      </c>
      <c r="K243" s="42" t="str">
        <f t="shared" si="44"/>
        <v>n/a</v>
      </c>
      <c r="L243" s="42" t="str">
        <f t="shared" si="45"/>
        <v>Violation</v>
      </c>
      <c r="M243" s="42" t="str">
        <f t="shared" si="46"/>
        <v>n/a</v>
      </c>
      <c r="N243" s="42" t="str">
        <f t="shared" si="47"/>
        <v>n/a</v>
      </c>
      <c r="O243" s="42" t="str">
        <f t="shared" si="48"/>
        <v>n/a</v>
      </c>
      <c r="P243" s="42" t="str">
        <f t="shared" si="49"/>
        <v>Compliant</v>
      </c>
      <c r="Q243" s="42" t="str">
        <f t="shared" si="50"/>
        <v>Violation</v>
      </c>
      <c r="R243" s="42" t="str">
        <f t="shared" si="51"/>
        <v>Violation</v>
      </c>
      <c r="S243" s="36" t="str">
        <f t="shared" si="52"/>
        <v>TP-04, TP-10</v>
      </c>
      <c r="T243" s="42" t="str">
        <f t="shared" si="53"/>
        <v>Late</v>
      </c>
      <c r="U243" s="42" t="str">
        <f t="shared" si="54"/>
        <v>Definite</v>
      </c>
      <c r="V243" s="42">
        <f t="shared" si="55"/>
        <v>2</v>
      </c>
      <c r="W243" s="42" t="str">
        <f t="shared" si="56"/>
        <v>Needs nights</v>
      </c>
    </row>
    <row r="244" spans="1:23" ht="15" hidden="1" customHeight="1" x14ac:dyDescent="0.25">
      <c r="A244" s="36" t="str">
        <f>Claims!A240</f>
        <v>EXP00239</v>
      </c>
      <c r="B244" s="36" t="str">
        <f>Claims!D240</f>
        <v>M1</v>
      </c>
      <c r="C244" s="36" t="str">
        <f>Claims!E240</f>
        <v>Flight</v>
      </c>
      <c r="D244" s="36" t="str">
        <f>Claims!G240</f>
        <v>Metro</v>
      </c>
      <c r="E244" s="40">
        <f>Claims!H240</f>
        <v>21520</v>
      </c>
      <c r="F244" s="36" t="str">
        <f>Claims!K240</f>
        <v>No</v>
      </c>
      <c r="G244" s="36">
        <f>IF(Claims!M240="","",Claims!M240)</f>
        <v>18</v>
      </c>
      <c r="H244" s="36" t="str">
        <f>IF(Claims!N240="","",Claims!N240)</f>
        <v>Economy</v>
      </c>
      <c r="I244" s="41">
        <f>Claims!J240-Claims!I240</f>
        <v>5</v>
      </c>
      <c r="J244" s="42" t="str">
        <f t="shared" si="43"/>
        <v>Compliant</v>
      </c>
      <c r="K244" s="42" t="str">
        <f t="shared" si="44"/>
        <v>Compliant</v>
      </c>
      <c r="L244" s="42" t="str">
        <f t="shared" si="45"/>
        <v>n/a</v>
      </c>
      <c r="M244" s="42" t="str">
        <f t="shared" si="46"/>
        <v>n/a</v>
      </c>
      <c r="N244" s="42" t="str">
        <f t="shared" si="47"/>
        <v>n/a</v>
      </c>
      <c r="O244" s="42" t="str">
        <f t="shared" si="48"/>
        <v>n/a</v>
      </c>
      <c r="P244" s="42" t="str">
        <f t="shared" si="49"/>
        <v>Violation</v>
      </c>
      <c r="Q244" s="42" t="str">
        <f t="shared" si="50"/>
        <v>Compliant</v>
      </c>
      <c r="R244" s="42" t="str">
        <f t="shared" si="51"/>
        <v>Violation</v>
      </c>
      <c r="S244" s="36" t="str">
        <f t="shared" si="52"/>
        <v>TP-09</v>
      </c>
      <c r="T244" s="42" t="str">
        <f t="shared" si="53"/>
        <v/>
      </c>
      <c r="U244" s="42" t="str">
        <f t="shared" si="54"/>
        <v>Definite</v>
      </c>
      <c r="V244" s="42" t="str">
        <f t="shared" si="55"/>
        <v/>
      </c>
      <c r="W244" s="42" t="str">
        <f t="shared" si="56"/>
        <v/>
      </c>
    </row>
    <row r="245" spans="1:23" ht="15" hidden="1" customHeight="1" x14ac:dyDescent="0.25">
      <c r="A245" s="36" t="str">
        <f>Claims!A241</f>
        <v>EXP00240</v>
      </c>
      <c r="B245" s="36" t="str">
        <f>Claims!D241</f>
        <v>M2</v>
      </c>
      <c r="C245" s="36" t="str">
        <f>Claims!E241</f>
        <v>Hotel</v>
      </c>
      <c r="D245" s="36" t="str">
        <f>Claims!G241</f>
        <v>Metro</v>
      </c>
      <c r="E245" s="40">
        <f>Claims!H241</f>
        <v>4377</v>
      </c>
      <c r="F245" s="36" t="str">
        <f>Claims!K241</f>
        <v>Yes</v>
      </c>
      <c r="G245" s="36" t="str">
        <f>IF(Claims!M241="","",Claims!M241)</f>
        <v/>
      </c>
      <c r="H245" s="36" t="str">
        <f>IF(Claims!N241="","",Claims!N241)</f>
        <v/>
      </c>
      <c r="I245" s="41">
        <f>Claims!J241-Claims!I241</f>
        <v>35</v>
      </c>
      <c r="J245" s="42" t="str">
        <f t="shared" si="43"/>
        <v>n/a</v>
      </c>
      <c r="K245" s="42" t="str">
        <f t="shared" si="44"/>
        <v>n/a</v>
      </c>
      <c r="L245" s="42" t="str">
        <f t="shared" si="45"/>
        <v>Compliant</v>
      </c>
      <c r="M245" s="42" t="str">
        <f t="shared" si="46"/>
        <v>n/a</v>
      </c>
      <c r="N245" s="42" t="str">
        <f t="shared" si="47"/>
        <v>n/a</v>
      </c>
      <c r="O245" s="42" t="str">
        <f t="shared" si="48"/>
        <v>n/a</v>
      </c>
      <c r="P245" s="42" t="str">
        <f t="shared" si="49"/>
        <v>Compliant</v>
      </c>
      <c r="Q245" s="42" t="str">
        <f t="shared" si="50"/>
        <v>Violation</v>
      </c>
      <c r="R245" s="42" t="str">
        <f t="shared" si="51"/>
        <v>Violation</v>
      </c>
      <c r="S245" s="36" t="str">
        <f t="shared" si="52"/>
        <v>TP-10</v>
      </c>
      <c r="T245" s="42" t="str">
        <f t="shared" si="53"/>
        <v>Late</v>
      </c>
      <c r="U245" s="42" t="str">
        <f t="shared" si="54"/>
        <v>Definite</v>
      </c>
      <c r="V245" s="42" t="str">
        <f t="shared" si="55"/>
        <v/>
      </c>
      <c r="W245" s="42" t="str">
        <f t="shared" si="56"/>
        <v/>
      </c>
    </row>
    <row r="246" spans="1:23" ht="15" hidden="1" customHeight="1" x14ac:dyDescent="0.25">
      <c r="A246" s="36" t="str">
        <f>Claims!A242</f>
        <v>EXP00241</v>
      </c>
      <c r="B246" s="36" t="str">
        <f>Claims!D242</f>
        <v>M1</v>
      </c>
      <c r="C246" s="36" t="str">
        <f>Claims!E242</f>
        <v>Meals/DA</v>
      </c>
      <c r="D246" s="36" t="str">
        <f>Claims!G242</f>
        <v>Non-metro</v>
      </c>
      <c r="E246" s="40">
        <f>Claims!H242</f>
        <v>910</v>
      </c>
      <c r="F246" s="36" t="str">
        <f>Claims!K242</f>
        <v>No</v>
      </c>
      <c r="G246" s="36" t="str">
        <f>IF(Claims!M242="","",Claims!M242)</f>
        <v/>
      </c>
      <c r="H246" s="36" t="str">
        <f>IF(Claims!N242="","",Claims!N242)</f>
        <v/>
      </c>
      <c r="I246" s="41">
        <f>Claims!J242-Claims!I242</f>
        <v>9</v>
      </c>
      <c r="J246" s="42" t="str">
        <f t="shared" si="43"/>
        <v>n/a</v>
      </c>
      <c r="K246" s="42" t="str">
        <f t="shared" si="44"/>
        <v>n/a</v>
      </c>
      <c r="L246" s="42" t="str">
        <f t="shared" si="45"/>
        <v>n/a</v>
      </c>
      <c r="M246" s="42" t="str">
        <f t="shared" si="46"/>
        <v>n/a</v>
      </c>
      <c r="N246" s="42" t="str">
        <f t="shared" si="47"/>
        <v>Violation</v>
      </c>
      <c r="O246" s="42" t="str">
        <f t="shared" si="48"/>
        <v>n/a</v>
      </c>
      <c r="P246" s="42" t="str">
        <f t="shared" si="49"/>
        <v>Violation</v>
      </c>
      <c r="Q246" s="42" t="str">
        <f t="shared" si="50"/>
        <v>Compliant</v>
      </c>
      <c r="R246" s="42" t="str">
        <f t="shared" si="51"/>
        <v>Violation</v>
      </c>
      <c r="S246" s="36" t="str">
        <f t="shared" si="52"/>
        <v>TP-06, TP-09</v>
      </c>
      <c r="T246" s="42" t="str">
        <f t="shared" si="53"/>
        <v/>
      </c>
      <c r="U246" s="42" t="str">
        <f t="shared" si="54"/>
        <v>Definite</v>
      </c>
      <c r="V246" s="42">
        <f t="shared" si="55"/>
        <v>2</v>
      </c>
      <c r="W246" s="42" t="str">
        <f t="shared" si="56"/>
        <v>Needs days</v>
      </c>
    </row>
    <row r="247" spans="1:23" ht="15" hidden="1" customHeight="1" x14ac:dyDescent="0.25">
      <c r="A247" s="36" t="str">
        <f>Claims!A243</f>
        <v>EXP00242</v>
      </c>
      <c r="B247" s="36" t="str">
        <f>Claims!D243</f>
        <v>M5</v>
      </c>
      <c r="C247" s="36" t="str">
        <f>Claims!E243</f>
        <v>Stationery</v>
      </c>
      <c r="D247" s="36" t="str">
        <f>Claims!G243</f>
        <v>Non-metro</v>
      </c>
      <c r="E247" s="40">
        <f>Claims!H243</f>
        <v>176</v>
      </c>
      <c r="F247" s="36" t="str">
        <f>Claims!K243</f>
        <v>Yes</v>
      </c>
      <c r="G247" s="36" t="str">
        <f>IF(Claims!M243="","",Claims!M243)</f>
        <v/>
      </c>
      <c r="H247" s="36" t="str">
        <f>IF(Claims!N243="","",Claims!N243)</f>
        <v/>
      </c>
      <c r="I247" s="41">
        <f>Claims!J243-Claims!I243</f>
        <v>9</v>
      </c>
      <c r="J247" s="42" t="str">
        <f t="shared" si="43"/>
        <v>n/a</v>
      </c>
      <c r="K247" s="42" t="str">
        <f t="shared" si="44"/>
        <v>n/a</v>
      </c>
      <c r="L247" s="42" t="str">
        <f t="shared" si="45"/>
        <v>n/a</v>
      </c>
      <c r="M247" s="42" t="str">
        <f t="shared" si="46"/>
        <v>n/a</v>
      </c>
      <c r="N247" s="42" t="str">
        <f t="shared" si="47"/>
        <v>n/a</v>
      </c>
      <c r="O247" s="42" t="str">
        <f t="shared" si="48"/>
        <v>n/a</v>
      </c>
      <c r="P247" s="42" t="str">
        <f t="shared" si="49"/>
        <v>Compliant</v>
      </c>
      <c r="Q247" s="42" t="str">
        <f t="shared" si="50"/>
        <v>Compliant</v>
      </c>
      <c r="R247" s="42" t="str">
        <f t="shared" si="51"/>
        <v>Compliant</v>
      </c>
      <c r="S247" s="36" t="str">
        <f t="shared" si="52"/>
        <v/>
      </c>
      <c r="T247" s="42" t="str">
        <f t="shared" si="53"/>
        <v/>
      </c>
      <c r="U247" s="42" t="str">
        <f t="shared" si="54"/>
        <v/>
      </c>
      <c r="V247" s="42" t="str">
        <f t="shared" si="55"/>
        <v/>
      </c>
      <c r="W247" s="42" t="str">
        <f t="shared" si="56"/>
        <v/>
      </c>
    </row>
    <row r="248" spans="1:23" ht="15" hidden="1" customHeight="1" x14ac:dyDescent="0.25">
      <c r="A248" s="36" t="str">
        <f>Claims!A244</f>
        <v>EXP00243</v>
      </c>
      <c r="B248" s="36" t="str">
        <f>Claims!D244</f>
        <v>M2</v>
      </c>
      <c r="C248" s="36" t="str">
        <f>Claims!E244</f>
        <v>Meals/DA</v>
      </c>
      <c r="D248" s="36" t="str">
        <f>Claims!G244</f>
        <v>Metro</v>
      </c>
      <c r="E248" s="40">
        <f>Claims!H244</f>
        <v>796</v>
      </c>
      <c r="F248" s="36" t="str">
        <f>Claims!K244</f>
        <v>Yes</v>
      </c>
      <c r="G248" s="36" t="str">
        <f>IF(Claims!M244="","",Claims!M244)</f>
        <v/>
      </c>
      <c r="H248" s="36" t="str">
        <f>IF(Claims!N244="","",Claims!N244)</f>
        <v/>
      </c>
      <c r="I248" s="41">
        <f>Claims!J244-Claims!I244</f>
        <v>5</v>
      </c>
      <c r="J248" s="42" t="str">
        <f t="shared" si="43"/>
        <v>n/a</v>
      </c>
      <c r="K248" s="42" t="str">
        <f t="shared" si="44"/>
        <v>n/a</v>
      </c>
      <c r="L248" s="42" t="str">
        <f t="shared" si="45"/>
        <v>n/a</v>
      </c>
      <c r="M248" s="42" t="str">
        <f t="shared" si="46"/>
        <v>n/a</v>
      </c>
      <c r="N248" s="42" t="str">
        <f t="shared" si="47"/>
        <v>Compliant</v>
      </c>
      <c r="O248" s="42" t="str">
        <f t="shared" si="48"/>
        <v>n/a</v>
      </c>
      <c r="P248" s="42" t="str">
        <f t="shared" si="49"/>
        <v>Compliant</v>
      </c>
      <c r="Q248" s="42" t="str">
        <f t="shared" si="50"/>
        <v>Compliant</v>
      </c>
      <c r="R248" s="42" t="str">
        <f t="shared" si="51"/>
        <v>Compliant</v>
      </c>
      <c r="S248" s="36" t="str">
        <f t="shared" si="52"/>
        <v/>
      </c>
      <c r="T248" s="42" t="str">
        <f t="shared" si="53"/>
        <v/>
      </c>
      <c r="U248" s="42" t="str">
        <f t="shared" si="54"/>
        <v/>
      </c>
      <c r="V248" s="42" t="str">
        <f t="shared" si="55"/>
        <v/>
      </c>
      <c r="W248" s="42" t="str">
        <f t="shared" si="56"/>
        <v/>
      </c>
    </row>
    <row r="249" spans="1:23" ht="15" hidden="1" customHeight="1" x14ac:dyDescent="0.25">
      <c r="A249" s="36" t="str">
        <f>Claims!A245</f>
        <v>EXP00244</v>
      </c>
      <c r="B249" s="36" t="str">
        <f>Claims!D245</f>
        <v>M3</v>
      </c>
      <c r="C249" s="36" t="str">
        <f>Claims!E245</f>
        <v>Flight</v>
      </c>
      <c r="D249" s="36" t="str">
        <f>Claims!G245</f>
        <v>Non-metro</v>
      </c>
      <c r="E249" s="40">
        <f>Claims!H245</f>
        <v>7063</v>
      </c>
      <c r="F249" s="36" t="str">
        <f>Claims!K245</f>
        <v>Yes</v>
      </c>
      <c r="G249" s="36">
        <f>IF(Claims!M245="","",Claims!M245)</f>
        <v>9</v>
      </c>
      <c r="H249" s="36" t="str">
        <f>IF(Claims!N245="","",Claims!N245)</f>
        <v>Economy</v>
      </c>
      <c r="I249" s="41">
        <f>Claims!J245-Claims!I245</f>
        <v>9</v>
      </c>
      <c r="J249" s="42" t="str">
        <f t="shared" si="43"/>
        <v>Compliant</v>
      </c>
      <c r="K249" s="42" t="str">
        <f t="shared" si="44"/>
        <v>Compliant</v>
      </c>
      <c r="L249" s="42" t="str">
        <f t="shared" si="45"/>
        <v>n/a</v>
      </c>
      <c r="M249" s="42" t="str">
        <f t="shared" si="46"/>
        <v>n/a</v>
      </c>
      <c r="N249" s="42" t="str">
        <f t="shared" si="47"/>
        <v>n/a</v>
      </c>
      <c r="O249" s="42" t="str">
        <f t="shared" si="48"/>
        <v>n/a</v>
      </c>
      <c r="P249" s="42" t="str">
        <f t="shared" si="49"/>
        <v>Compliant</v>
      </c>
      <c r="Q249" s="42" t="str">
        <f t="shared" si="50"/>
        <v>Compliant</v>
      </c>
      <c r="R249" s="42" t="str">
        <f t="shared" si="51"/>
        <v>Compliant</v>
      </c>
      <c r="S249" s="36" t="str">
        <f t="shared" si="52"/>
        <v/>
      </c>
      <c r="T249" s="42" t="str">
        <f t="shared" si="53"/>
        <v/>
      </c>
      <c r="U249" s="42" t="str">
        <f t="shared" si="54"/>
        <v/>
      </c>
      <c r="V249" s="42" t="str">
        <f t="shared" si="55"/>
        <v/>
      </c>
      <c r="W249" s="42" t="str">
        <f t="shared" si="56"/>
        <v/>
      </c>
    </row>
    <row r="250" spans="1:23" ht="15" hidden="1" customHeight="1" x14ac:dyDescent="0.25">
      <c r="A250" s="36" t="str">
        <f>Claims!A246</f>
        <v>EXP00245</v>
      </c>
      <c r="B250" s="36" t="str">
        <f>Claims!D246</f>
        <v>M1</v>
      </c>
      <c r="C250" s="36" t="str">
        <f>Claims!E246</f>
        <v>Local Cab</v>
      </c>
      <c r="D250" s="36" t="str">
        <f>Claims!G246</f>
        <v>Metro</v>
      </c>
      <c r="E250" s="40">
        <f>Claims!H246</f>
        <v>662</v>
      </c>
      <c r="F250" s="36" t="str">
        <f>Claims!K246</f>
        <v>Yes</v>
      </c>
      <c r="G250" s="36" t="str">
        <f>IF(Claims!M246="","",Claims!M246)</f>
        <v/>
      </c>
      <c r="H250" s="36" t="str">
        <f>IF(Claims!N246="","",Claims!N246)</f>
        <v/>
      </c>
      <c r="I250" s="41">
        <f>Claims!J246-Claims!I246</f>
        <v>9</v>
      </c>
      <c r="J250" s="42" t="str">
        <f t="shared" si="43"/>
        <v>n/a</v>
      </c>
      <c r="K250" s="42" t="str">
        <f t="shared" si="44"/>
        <v>n/a</v>
      </c>
      <c r="L250" s="42" t="str">
        <f t="shared" si="45"/>
        <v>n/a</v>
      </c>
      <c r="M250" s="42" t="str">
        <f t="shared" si="46"/>
        <v>n/a</v>
      </c>
      <c r="N250" s="42" t="str">
        <f t="shared" si="47"/>
        <v>n/a</v>
      </c>
      <c r="O250" s="42" t="str">
        <f t="shared" si="48"/>
        <v>n/a</v>
      </c>
      <c r="P250" s="42" t="str">
        <f t="shared" si="49"/>
        <v>Compliant</v>
      </c>
      <c r="Q250" s="42" t="str">
        <f t="shared" si="50"/>
        <v>Compliant</v>
      </c>
      <c r="R250" s="42" t="str">
        <f t="shared" si="51"/>
        <v>Compliant</v>
      </c>
      <c r="S250" s="36" t="str">
        <f t="shared" si="52"/>
        <v/>
      </c>
      <c r="T250" s="42" t="str">
        <f t="shared" si="53"/>
        <v/>
      </c>
      <c r="U250" s="42" t="str">
        <f t="shared" si="54"/>
        <v/>
      </c>
      <c r="V250" s="42" t="str">
        <f t="shared" si="55"/>
        <v/>
      </c>
      <c r="W250" s="42" t="str">
        <f t="shared" si="56"/>
        <v/>
      </c>
    </row>
    <row r="251" spans="1:23" ht="15" hidden="1" customHeight="1" x14ac:dyDescent="0.25">
      <c r="A251" s="36" t="str">
        <f>Claims!A247</f>
        <v>EXP00246</v>
      </c>
      <c r="B251" s="36" t="str">
        <f>Claims!D247</f>
        <v>M4</v>
      </c>
      <c r="C251" s="36" t="str">
        <f>Claims!E247</f>
        <v>Local Cab</v>
      </c>
      <c r="D251" s="36" t="str">
        <f>Claims!G247</f>
        <v>Metro</v>
      </c>
      <c r="E251" s="40">
        <f>Claims!H247</f>
        <v>1574</v>
      </c>
      <c r="F251" s="36" t="str">
        <f>Claims!K247</f>
        <v>Yes</v>
      </c>
      <c r="G251" s="36" t="str">
        <f>IF(Claims!M247="","",Claims!M247)</f>
        <v/>
      </c>
      <c r="H251" s="36" t="str">
        <f>IF(Claims!N247="","",Claims!N247)</f>
        <v/>
      </c>
      <c r="I251" s="41">
        <f>Claims!J247-Claims!I247</f>
        <v>14</v>
      </c>
      <c r="J251" s="42" t="str">
        <f t="shared" si="43"/>
        <v>n/a</v>
      </c>
      <c r="K251" s="42" t="str">
        <f t="shared" si="44"/>
        <v>n/a</v>
      </c>
      <c r="L251" s="42" t="str">
        <f t="shared" si="45"/>
        <v>n/a</v>
      </c>
      <c r="M251" s="42" t="str">
        <f t="shared" si="46"/>
        <v>n/a</v>
      </c>
      <c r="N251" s="42" t="str">
        <f t="shared" si="47"/>
        <v>n/a</v>
      </c>
      <c r="O251" s="42" t="str">
        <f t="shared" si="48"/>
        <v>n/a</v>
      </c>
      <c r="P251" s="42" t="str">
        <f t="shared" si="49"/>
        <v>Compliant</v>
      </c>
      <c r="Q251" s="42" t="str">
        <f t="shared" si="50"/>
        <v>Compliant</v>
      </c>
      <c r="R251" s="42" t="str">
        <f t="shared" si="51"/>
        <v>Compliant</v>
      </c>
      <c r="S251" s="36" t="str">
        <f t="shared" si="52"/>
        <v/>
      </c>
      <c r="T251" s="42" t="str">
        <f t="shared" si="53"/>
        <v/>
      </c>
      <c r="U251" s="42" t="str">
        <f t="shared" si="54"/>
        <v/>
      </c>
      <c r="V251" s="42" t="str">
        <f t="shared" si="55"/>
        <v/>
      </c>
      <c r="W251" s="42" t="str">
        <f t="shared" si="56"/>
        <v/>
      </c>
    </row>
    <row r="252" spans="1:23" ht="15" hidden="1" customHeight="1" x14ac:dyDescent="0.25">
      <c r="A252" s="36" t="str">
        <f>Claims!A248</f>
        <v>EXP00247</v>
      </c>
      <c r="B252" s="36" t="str">
        <f>Claims!D248</f>
        <v>M1</v>
      </c>
      <c r="C252" s="36" t="str">
        <f>Claims!E248</f>
        <v>Flight</v>
      </c>
      <c r="D252" s="36" t="str">
        <f>Claims!G248</f>
        <v>Non-metro</v>
      </c>
      <c r="E252" s="40">
        <f>Claims!H248</f>
        <v>11362</v>
      </c>
      <c r="F252" s="36" t="str">
        <f>Claims!K248</f>
        <v>Yes</v>
      </c>
      <c r="G252" s="36">
        <f>IF(Claims!M248="","",Claims!M248)</f>
        <v>15</v>
      </c>
      <c r="H252" s="36" t="str">
        <f>IF(Claims!N248="","",Claims!N248)</f>
        <v>Economy</v>
      </c>
      <c r="I252" s="41">
        <f>Claims!J248-Claims!I248</f>
        <v>9</v>
      </c>
      <c r="J252" s="42" t="str">
        <f t="shared" si="43"/>
        <v>Compliant</v>
      </c>
      <c r="K252" s="42" t="str">
        <f t="shared" si="44"/>
        <v>Compliant</v>
      </c>
      <c r="L252" s="42" t="str">
        <f t="shared" si="45"/>
        <v>n/a</v>
      </c>
      <c r="M252" s="42" t="str">
        <f t="shared" si="46"/>
        <v>n/a</v>
      </c>
      <c r="N252" s="42" t="str">
        <f t="shared" si="47"/>
        <v>n/a</v>
      </c>
      <c r="O252" s="42" t="str">
        <f t="shared" si="48"/>
        <v>n/a</v>
      </c>
      <c r="P252" s="42" t="str">
        <f t="shared" si="49"/>
        <v>Compliant</v>
      </c>
      <c r="Q252" s="42" t="str">
        <f t="shared" si="50"/>
        <v>Compliant</v>
      </c>
      <c r="R252" s="42" t="str">
        <f t="shared" si="51"/>
        <v>Compliant</v>
      </c>
      <c r="S252" s="36" t="str">
        <f t="shared" si="52"/>
        <v/>
      </c>
      <c r="T252" s="42" t="str">
        <f t="shared" si="53"/>
        <v/>
      </c>
      <c r="U252" s="42" t="str">
        <f t="shared" si="54"/>
        <v/>
      </c>
      <c r="V252" s="42" t="str">
        <f t="shared" si="55"/>
        <v/>
      </c>
      <c r="W252" s="42" t="str">
        <f t="shared" si="56"/>
        <v/>
      </c>
    </row>
    <row r="253" spans="1:23" ht="15" hidden="1" customHeight="1" x14ac:dyDescent="0.25">
      <c r="A253" s="36" t="str">
        <f>Claims!A249</f>
        <v>EXP00248</v>
      </c>
      <c r="B253" s="36" t="str">
        <f>Claims!D249</f>
        <v>M3</v>
      </c>
      <c r="C253" s="36" t="str">
        <f>Claims!E249</f>
        <v>Local Cab</v>
      </c>
      <c r="D253" s="36" t="str">
        <f>Claims!G249</f>
        <v>Non-metro</v>
      </c>
      <c r="E253" s="40">
        <f>Claims!H249</f>
        <v>1933</v>
      </c>
      <c r="F253" s="36" t="str">
        <f>Claims!K249</f>
        <v>No</v>
      </c>
      <c r="G253" s="36" t="str">
        <f>IF(Claims!M249="","",Claims!M249)</f>
        <v/>
      </c>
      <c r="H253" s="36" t="str">
        <f>IF(Claims!N249="","",Claims!N249)</f>
        <v/>
      </c>
      <c r="I253" s="41">
        <f>Claims!J249-Claims!I249</f>
        <v>5</v>
      </c>
      <c r="J253" s="42" t="str">
        <f t="shared" si="43"/>
        <v>n/a</v>
      </c>
      <c r="K253" s="42" t="str">
        <f t="shared" si="44"/>
        <v>n/a</v>
      </c>
      <c r="L253" s="42" t="str">
        <f t="shared" si="45"/>
        <v>n/a</v>
      </c>
      <c r="M253" s="42" t="str">
        <f t="shared" si="46"/>
        <v>n/a</v>
      </c>
      <c r="N253" s="42" t="str">
        <f t="shared" si="47"/>
        <v>n/a</v>
      </c>
      <c r="O253" s="42" t="str">
        <f t="shared" si="48"/>
        <v>n/a</v>
      </c>
      <c r="P253" s="42" t="str">
        <f t="shared" si="49"/>
        <v>Violation</v>
      </c>
      <c r="Q253" s="42" t="str">
        <f t="shared" si="50"/>
        <v>Compliant</v>
      </c>
      <c r="R253" s="42" t="str">
        <f t="shared" si="51"/>
        <v>Violation</v>
      </c>
      <c r="S253" s="36" t="str">
        <f t="shared" si="52"/>
        <v>TP-09</v>
      </c>
      <c r="T253" s="42" t="str">
        <f t="shared" si="53"/>
        <v/>
      </c>
      <c r="U253" s="42" t="str">
        <f t="shared" si="54"/>
        <v>Definite</v>
      </c>
      <c r="V253" s="42" t="str">
        <f t="shared" si="55"/>
        <v/>
      </c>
      <c r="W253" s="42" t="str">
        <f t="shared" si="56"/>
        <v/>
      </c>
    </row>
    <row r="254" spans="1:23" ht="15" hidden="1" customHeight="1" x14ac:dyDescent="0.25">
      <c r="A254" s="36" t="str">
        <f>Claims!A250</f>
        <v>EXP00249</v>
      </c>
      <c r="B254" s="36" t="str">
        <f>Claims!D250</f>
        <v>M2</v>
      </c>
      <c r="C254" s="36" t="str">
        <f>Claims!E250</f>
        <v>Local Cab</v>
      </c>
      <c r="D254" s="36" t="str">
        <f>Claims!G250</f>
        <v>Metro</v>
      </c>
      <c r="E254" s="40">
        <f>Claims!H250</f>
        <v>415</v>
      </c>
      <c r="F254" s="36" t="str">
        <f>Claims!K250</f>
        <v>Yes</v>
      </c>
      <c r="G254" s="36" t="str">
        <f>IF(Claims!M250="","",Claims!M250)</f>
        <v/>
      </c>
      <c r="H254" s="36" t="str">
        <f>IF(Claims!N250="","",Claims!N250)</f>
        <v/>
      </c>
      <c r="I254" s="41">
        <f>Claims!J250-Claims!I250</f>
        <v>2</v>
      </c>
      <c r="J254" s="42" t="str">
        <f t="shared" si="43"/>
        <v>n/a</v>
      </c>
      <c r="K254" s="42" t="str">
        <f t="shared" si="44"/>
        <v>n/a</v>
      </c>
      <c r="L254" s="42" t="str">
        <f t="shared" si="45"/>
        <v>n/a</v>
      </c>
      <c r="M254" s="42" t="str">
        <f t="shared" si="46"/>
        <v>n/a</v>
      </c>
      <c r="N254" s="42" t="str">
        <f t="shared" si="47"/>
        <v>n/a</v>
      </c>
      <c r="O254" s="42" t="str">
        <f t="shared" si="48"/>
        <v>n/a</v>
      </c>
      <c r="P254" s="42" t="str">
        <f t="shared" si="49"/>
        <v>Compliant</v>
      </c>
      <c r="Q254" s="42" t="str">
        <f t="shared" si="50"/>
        <v>Compliant</v>
      </c>
      <c r="R254" s="42" t="str">
        <f t="shared" si="51"/>
        <v>Compliant</v>
      </c>
      <c r="S254" s="36" t="str">
        <f t="shared" si="52"/>
        <v/>
      </c>
      <c r="T254" s="42" t="str">
        <f t="shared" si="53"/>
        <v/>
      </c>
      <c r="U254" s="42" t="str">
        <f t="shared" si="54"/>
        <v/>
      </c>
      <c r="V254" s="42" t="str">
        <f t="shared" si="55"/>
        <v/>
      </c>
      <c r="W254" s="42" t="str">
        <f t="shared" si="56"/>
        <v/>
      </c>
    </row>
    <row r="255" spans="1:23" ht="15" hidden="1" customHeight="1" x14ac:dyDescent="0.25">
      <c r="A255" s="36" t="str">
        <f>Claims!A251</f>
        <v>EXP00250</v>
      </c>
      <c r="B255" s="36" t="str">
        <f>Claims!D251</f>
        <v>M2</v>
      </c>
      <c r="C255" s="36" t="str">
        <f>Claims!E251</f>
        <v>Train</v>
      </c>
      <c r="D255" s="36" t="str">
        <f>Claims!G251</f>
        <v>Metro</v>
      </c>
      <c r="E255" s="40">
        <f>Claims!H251</f>
        <v>2374</v>
      </c>
      <c r="F255" s="36" t="str">
        <f>Claims!K251</f>
        <v>Yes</v>
      </c>
      <c r="G255" s="36" t="str">
        <f>IF(Claims!M251="","",Claims!M251)</f>
        <v/>
      </c>
      <c r="H255" s="36" t="str">
        <f>IF(Claims!N251="","",Claims!N251)</f>
        <v/>
      </c>
      <c r="I255" s="41">
        <f>Claims!J251-Claims!I251</f>
        <v>20</v>
      </c>
      <c r="J255" s="42" t="str">
        <f t="shared" si="43"/>
        <v>n/a</v>
      </c>
      <c r="K255" s="42" t="str">
        <f t="shared" si="44"/>
        <v>n/a</v>
      </c>
      <c r="L255" s="42" t="str">
        <f t="shared" si="45"/>
        <v>n/a</v>
      </c>
      <c r="M255" s="42" t="str">
        <f t="shared" si="46"/>
        <v>n/a</v>
      </c>
      <c r="N255" s="42" t="str">
        <f t="shared" si="47"/>
        <v>n/a</v>
      </c>
      <c r="O255" s="42" t="str">
        <f t="shared" si="48"/>
        <v>n/a</v>
      </c>
      <c r="P255" s="42" t="str">
        <f t="shared" si="49"/>
        <v>Compliant</v>
      </c>
      <c r="Q255" s="42" t="str">
        <f t="shared" si="50"/>
        <v>Violation</v>
      </c>
      <c r="R255" s="42" t="str">
        <f t="shared" si="51"/>
        <v>Violation</v>
      </c>
      <c r="S255" s="36" t="str">
        <f t="shared" si="52"/>
        <v>TP-10</v>
      </c>
      <c r="T255" s="42" t="str">
        <f t="shared" si="53"/>
        <v>Late</v>
      </c>
      <c r="U255" s="42" t="str">
        <f t="shared" si="54"/>
        <v>Definite</v>
      </c>
      <c r="V255" s="42" t="str">
        <f t="shared" si="55"/>
        <v/>
      </c>
      <c r="W255" s="42" t="str">
        <f t="shared" si="56"/>
        <v/>
      </c>
    </row>
    <row r="256" spans="1:23" ht="15" hidden="1" customHeight="1" x14ac:dyDescent="0.25">
      <c r="A256" s="36" t="str">
        <f>Claims!A252</f>
        <v>EXP00251</v>
      </c>
      <c r="B256" s="36" t="str">
        <f>Claims!D252</f>
        <v>M2</v>
      </c>
      <c r="C256" s="36" t="str">
        <f>Claims!E252</f>
        <v>Local Cab</v>
      </c>
      <c r="D256" s="36" t="str">
        <f>Claims!G252</f>
        <v>Non-metro</v>
      </c>
      <c r="E256" s="40">
        <f>Claims!H252</f>
        <v>763</v>
      </c>
      <c r="F256" s="36" t="str">
        <f>Claims!K252</f>
        <v>No</v>
      </c>
      <c r="G256" s="36" t="str">
        <f>IF(Claims!M252="","",Claims!M252)</f>
        <v/>
      </c>
      <c r="H256" s="36" t="str">
        <f>IF(Claims!N252="","",Claims!N252)</f>
        <v/>
      </c>
      <c r="I256" s="41">
        <f>Claims!J252-Claims!I252</f>
        <v>2</v>
      </c>
      <c r="J256" s="42" t="str">
        <f t="shared" si="43"/>
        <v>n/a</v>
      </c>
      <c r="K256" s="42" t="str">
        <f t="shared" si="44"/>
        <v>n/a</v>
      </c>
      <c r="L256" s="42" t="str">
        <f t="shared" si="45"/>
        <v>n/a</v>
      </c>
      <c r="M256" s="42" t="str">
        <f t="shared" si="46"/>
        <v>n/a</v>
      </c>
      <c r="N256" s="42" t="str">
        <f t="shared" si="47"/>
        <v>n/a</v>
      </c>
      <c r="O256" s="42" t="str">
        <f t="shared" si="48"/>
        <v>n/a</v>
      </c>
      <c r="P256" s="42" t="str">
        <f t="shared" si="49"/>
        <v>Violation</v>
      </c>
      <c r="Q256" s="42" t="str">
        <f t="shared" si="50"/>
        <v>Compliant</v>
      </c>
      <c r="R256" s="42" t="str">
        <f t="shared" si="51"/>
        <v>Violation</v>
      </c>
      <c r="S256" s="36" t="str">
        <f t="shared" si="52"/>
        <v>TP-09</v>
      </c>
      <c r="T256" s="42" t="str">
        <f t="shared" si="53"/>
        <v/>
      </c>
      <c r="U256" s="42" t="str">
        <f t="shared" si="54"/>
        <v>Definite</v>
      </c>
      <c r="V256" s="42" t="str">
        <f t="shared" si="55"/>
        <v/>
      </c>
      <c r="W256" s="42" t="str">
        <f t="shared" si="56"/>
        <v/>
      </c>
    </row>
    <row r="257" spans="1:23" ht="15" hidden="1" customHeight="1" x14ac:dyDescent="0.25">
      <c r="A257" s="36" t="str">
        <f>Claims!A253</f>
        <v>EXP00252</v>
      </c>
      <c r="B257" s="36" t="str">
        <f>Claims!D253</f>
        <v>M3</v>
      </c>
      <c r="C257" s="36" t="str">
        <f>Claims!E253</f>
        <v>Alcohol</v>
      </c>
      <c r="D257" s="36" t="str">
        <f>Claims!G253</f>
        <v>Metro</v>
      </c>
      <c r="E257" s="40">
        <f>Claims!H253</f>
        <v>4546</v>
      </c>
      <c r="F257" s="36" t="str">
        <f>Claims!K253</f>
        <v>Yes</v>
      </c>
      <c r="G257" s="36" t="str">
        <f>IF(Claims!M253="","",Claims!M253)</f>
        <v/>
      </c>
      <c r="H257" s="36" t="str">
        <f>IF(Claims!N253="","",Claims!N253)</f>
        <v/>
      </c>
      <c r="I257" s="41">
        <f>Claims!J253-Claims!I253</f>
        <v>5</v>
      </c>
      <c r="J257" s="42" t="str">
        <f t="shared" si="43"/>
        <v>n/a</v>
      </c>
      <c r="K257" s="42" t="str">
        <f t="shared" si="44"/>
        <v>n/a</v>
      </c>
      <c r="L257" s="42" t="str">
        <f t="shared" si="45"/>
        <v>n/a</v>
      </c>
      <c r="M257" s="42" t="str">
        <f t="shared" si="46"/>
        <v>n/a</v>
      </c>
      <c r="N257" s="42" t="str">
        <f t="shared" si="47"/>
        <v>n/a</v>
      </c>
      <c r="O257" s="42" t="str">
        <f t="shared" si="48"/>
        <v>Violation</v>
      </c>
      <c r="P257" s="42" t="str">
        <f t="shared" si="49"/>
        <v>Compliant</v>
      </c>
      <c r="Q257" s="42" t="str">
        <f t="shared" si="50"/>
        <v>Compliant</v>
      </c>
      <c r="R257" s="42" t="str">
        <f t="shared" si="51"/>
        <v>Violation</v>
      </c>
      <c r="S257" s="36" t="str">
        <f t="shared" si="52"/>
        <v>TP-08</v>
      </c>
      <c r="T257" s="42" t="str">
        <f t="shared" si="53"/>
        <v/>
      </c>
      <c r="U257" s="42" t="str">
        <f t="shared" si="54"/>
        <v>Definite</v>
      </c>
      <c r="V257" s="42" t="str">
        <f t="shared" si="55"/>
        <v/>
      </c>
      <c r="W257" s="42" t="str">
        <f t="shared" si="56"/>
        <v/>
      </c>
    </row>
    <row r="258" spans="1:23" ht="15" hidden="1" customHeight="1" x14ac:dyDescent="0.25">
      <c r="A258" s="36" t="str">
        <f>Claims!A254</f>
        <v>EXP00253</v>
      </c>
      <c r="B258" s="36" t="str">
        <f>Claims!D254</f>
        <v>M2</v>
      </c>
      <c r="C258" s="36" t="str">
        <f>Claims!E254</f>
        <v>Hotel</v>
      </c>
      <c r="D258" s="36" t="str">
        <f>Claims!G254</f>
        <v>Metro</v>
      </c>
      <c r="E258" s="40">
        <f>Claims!H254</f>
        <v>3484</v>
      </c>
      <c r="F258" s="36" t="str">
        <f>Claims!K254</f>
        <v>Yes</v>
      </c>
      <c r="G258" s="36" t="str">
        <f>IF(Claims!M254="","",Claims!M254)</f>
        <v/>
      </c>
      <c r="H258" s="36" t="str">
        <f>IF(Claims!N254="","",Claims!N254)</f>
        <v/>
      </c>
      <c r="I258" s="41">
        <f>Claims!J254-Claims!I254</f>
        <v>70</v>
      </c>
      <c r="J258" s="42" t="str">
        <f t="shared" si="43"/>
        <v>n/a</v>
      </c>
      <c r="K258" s="42" t="str">
        <f t="shared" si="44"/>
        <v>n/a</v>
      </c>
      <c r="L258" s="42" t="str">
        <f t="shared" si="45"/>
        <v>Compliant</v>
      </c>
      <c r="M258" s="42" t="str">
        <f t="shared" si="46"/>
        <v>n/a</v>
      </c>
      <c r="N258" s="42" t="str">
        <f t="shared" si="47"/>
        <v>n/a</v>
      </c>
      <c r="O258" s="42" t="str">
        <f t="shared" si="48"/>
        <v>n/a</v>
      </c>
      <c r="P258" s="42" t="str">
        <f t="shared" si="49"/>
        <v>Compliant</v>
      </c>
      <c r="Q258" s="42" t="str">
        <f t="shared" si="50"/>
        <v>Violation</v>
      </c>
      <c r="R258" s="42" t="str">
        <f t="shared" si="51"/>
        <v>Violation</v>
      </c>
      <c r="S258" s="36" t="str">
        <f t="shared" si="52"/>
        <v>TP-10</v>
      </c>
      <c r="T258" s="42" t="str">
        <f t="shared" si="53"/>
        <v>Expired</v>
      </c>
      <c r="U258" s="42" t="str">
        <f t="shared" si="54"/>
        <v>Definite</v>
      </c>
      <c r="V258" s="42" t="str">
        <f t="shared" si="55"/>
        <v/>
      </c>
      <c r="W258" s="42" t="str">
        <f t="shared" si="56"/>
        <v/>
      </c>
    </row>
    <row r="259" spans="1:23" ht="15" hidden="1" customHeight="1" x14ac:dyDescent="0.25">
      <c r="A259" s="36" t="str">
        <f>Claims!A255</f>
        <v>EXP00254</v>
      </c>
      <c r="B259" s="36" t="str">
        <f>Claims!D255</f>
        <v>M2</v>
      </c>
      <c r="C259" s="36" t="str">
        <f>Claims!E255</f>
        <v>Hotel</v>
      </c>
      <c r="D259" s="36" t="str">
        <f>Claims!G255</f>
        <v>Non-metro</v>
      </c>
      <c r="E259" s="40">
        <f>Claims!H255</f>
        <v>3595</v>
      </c>
      <c r="F259" s="36" t="str">
        <f>Claims!K255</f>
        <v>Yes</v>
      </c>
      <c r="G259" s="36" t="str">
        <f>IF(Claims!M255="","",Claims!M255)</f>
        <v/>
      </c>
      <c r="H259" s="36" t="str">
        <f>IF(Claims!N255="","",Claims!N255)</f>
        <v/>
      </c>
      <c r="I259" s="41">
        <f>Claims!J255-Claims!I255</f>
        <v>20</v>
      </c>
      <c r="J259" s="42" t="str">
        <f t="shared" si="43"/>
        <v>n/a</v>
      </c>
      <c r="K259" s="42" t="str">
        <f t="shared" si="44"/>
        <v>n/a</v>
      </c>
      <c r="L259" s="42" t="str">
        <f t="shared" si="45"/>
        <v>n/a</v>
      </c>
      <c r="M259" s="42" t="str">
        <f t="shared" si="46"/>
        <v>Compliant</v>
      </c>
      <c r="N259" s="42" t="str">
        <f t="shared" si="47"/>
        <v>n/a</v>
      </c>
      <c r="O259" s="42" t="str">
        <f t="shared" si="48"/>
        <v>n/a</v>
      </c>
      <c r="P259" s="42" t="str">
        <f t="shared" si="49"/>
        <v>Compliant</v>
      </c>
      <c r="Q259" s="42" t="str">
        <f t="shared" si="50"/>
        <v>Violation</v>
      </c>
      <c r="R259" s="42" t="str">
        <f t="shared" si="51"/>
        <v>Violation</v>
      </c>
      <c r="S259" s="36" t="str">
        <f t="shared" si="52"/>
        <v>TP-10</v>
      </c>
      <c r="T259" s="42" t="str">
        <f t="shared" si="53"/>
        <v>Late</v>
      </c>
      <c r="U259" s="42" t="str">
        <f t="shared" si="54"/>
        <v>Definite</v>
      </c>
      <c r="V259" s="42" t="str">
        <f t="shared" si="55"/>
        <v/>
      </c>
      <c r="W259" s="42" t="str">
        <f t="shared" si="56"/>
        <v/>
      </c>
    </row>
    <row r="260" spans="1:23" ht="15" hidden="1" customHeight="1" x14ac:dyDescent="0.25">
      <c r="A260" s="36" t="str">
        <f>Claims!A256</f>
        <v>EXP00255</v>
      </c>
      <c r="B260" s="36" t="str">
        <f>Claims!D256</f>
        <v>M5</v>
      </c>
      <c r="C260" s="36" t="str">
        <f>Claims!E256</f>
        <v>Train</v>
      </c>
      <c r="D260" s="36" t="str">
        <f>Claims!G256</f>
        <v>Non-metro</v>
      </c>
      <c r="E260" s="40">
        <f>Claims!H256</f>
        <v>3634</v>
      </c>
      <c r="F260" s="36" t="str">
        <f>Claims!K256</f>
        <v>Yes</v>
      </c>
      <c r="G260" s="36" t="str">
        <f>IF(Claims!M256="","",Claims!M256)</f>
        <v/>
      </c>
      <c r="H260" s="36" t="str">
        <f>IF(Claims!N256="","",Claims!N256)</f>
        <v/>
      </c>
      <c r="I260" s="41">
        <f>Claims!J256-Claims!I256</f>
        <v>9</v>
      </c>
      <c r="J260" s="42" t="str">
        <f t="shared" si="43"/>
        <v>n/a</v>
      </c>
      <c r="K260" s="42" t="str">
        <f t="shared" si="44"/>
        <v>n/a</v>
      </c>
      <c r="L260" s="42" t="str">
        <f t="shared" si="45"/>
        <v>n/a</v>
      </c>
      <c r="M260" s="42" t="str">
        <f t="shared" si="46"/>
        <v>n/a</v>
      </c>
      <c r="N260" s="42" t="str">
        <f t="shared" si="47"/>
        <v>n/a</v>
      </c>
      <c r="O260" s="42" t="str">
        <f t="shared" si="48"/>
        <v>n/a</v>
      </c>
      <c r="P260" s="42" t="str">
        <f t="shared" si="49"/>
        <v>Compliant</v>
      </c>
      <c r="Q260" s="42" t="str">
        <f t="shared" si="50"/>
        <v>Compliant</v>
      </c>
      <c r="R260" s="42" t="str">
        <f t="shared" si="51"/>
        <v>Compliant</v>
      </c>
      <c r="S260" s="36" t="str">
        <f t="shared" si="52"/>
        <v/>
      </c>
      <c r="T260" s="42" t="str">
        <f t="shared" si="53"/>
        <v/>
      </c>
      <c r="U260" s="42" t="str">
        <f t="shared" si="54"/>
        <v/>
      </c>
      <c r="V260" s="42" t="str">
        <f t="shared" si="55"/>
        <v/>
      </c>
      <c r="W260" s="42" t="str">
        <f t="shared" si="56"/>
        <v/>
      </c>
    </row>
    <row r="261" spans="1:23" ht="15" hidden="1" customHeight="1" x14ac:dyDescent="0.25">
      <c r="A261" s="36" t="str">
        <f>Claims!A257</f>
        <v>EXP00256</v>
      </c>
      <c r="B261" s="36" t="str">
        <f>Claims!D257</f>
        <v>M2</v>
      </c>
      <c r="C261" s="36" t="str">
        <f>Claims!E257</f>
        <v>Flight</v>
      </c>
      <c r="D261" s="36" t="str">
        <f>Claims!G257</f>
        <v>Non-metro</v>
      </c>
      <c r="E261" s="40">
        <f>Claims!H257</f>
        <v>16024</v>
      </c>
      <c r="F261" s="36" t="str">
        <f>Claims!K257</f>
        <v>Yes</v>
      </c>
      <c r="G261" s="36">
        <f>IF(Claims!M257="","",Claims!M257)</f>
        <v>0</v>
      </c>
      <c r="H261" s="36" t="str">
        <f>IF(Claims!N257="","",Claims!N257)</f>
        <v>Economy</v>
      </c>
      <c r="I261" s="41">
        <f>Claims!J257-Claims!I257</f>
        <v>5</v>
      </c>
      <c r="J261" s="42" t="str">
        <f t="shared" si="43"/>
        <v>Compliant</v>
      </c>
      <c r="K261" s="42" t="str">
        <f t="shared" si="44"/>
        <v>Violation</v>
      </c>
      <c r="L261" s="42" t="str">
        <f t="shared" si="45"/>
        <v>n/a</v>
      </c>
      <c r="M261" s="42" t="str">
        <f t="shared" si="46"/>
        <v>n/a</v>
      </c>
      <c r="N261" s="42" t="str">
        <f t="shared" si="47"/>
        <v>n/a</v>
      </c>
      <c r="O261" s="42" t="str">
        <f t="shared" si="48"/>
        <v>n/a</v>
      </c>
      <c r="P261" s="42" t="str">
        <f t="shared" si="49"/>
        <v>Compliant</v>
      </c>
      <c r="Q261" s="42" t="str">
        <f t="shared" si="50"/>
        <v>Compliant</v>
      </c>
      <c r="R261" s="42" t="str">
        <f t="shared" si="51"/>
        <v>Violation</v>
      </c>
      <c r="S261" s="36" t="str">
        <f t="shared" si="52"/>
        <v>TP-02</v>
      </c>
      <c r="T261" s="42" t="str">
        <f t="shared" si="53"/>
        <v/>
      </c>
      <c r="U261" s="42" t="str">
        <f t="shared" si="54"/>
        <v>Assumption-based</v>
      </c>
      <c r="V261" s="42" t="str">
        <f t="shared" si="55"/>
        <v/>
      </c>
      <c r="W261" s="42" t="str">
        <f t="shared" si="56"/>
        <v>Needs approval</v>
      </c>
    </row>
    <row r="262" spans="1:23" ht="15" hidden="1" customHeight="1" x14ac:dyDescent="0.25">
      <c r="A262" s="36" t="str">
        <f>Claims!A258</f>
        <v>EXP00257</v>
      </c>
      <c r="B262" s="36" t="str">
        <f>Claims!D258</f>
        <v>M2</v>
      </c>
      <c r="C262" s="36" t="str">
        <f>Claims!E258</f>
        <v>Meals/DA</v>
      </c>
      <c r="D262" s="36" t="str">
        <f>Claims!G258</f>
        <v>Metro</v>
      </c>
      <c r="E262" s="40">
        <f>Claims!H258</f>
        <v>1144</v>
      </c>
      <c r="F262" s="36" t="str">
        <f>Claims!K258</f>
        <v>Yes</v>
      </c>
      <c r="G262" s="36" t="str">
        <f>IF(Claims!M258="","",Claims!M258)</f>
        <v/>
      </c>
      <c r="H262" s="36" t="str">
        <f>IF(Claims!N258="","",Claims!N258)</f>
        <v/>
      </c>
      <c r="I262" s="41">
        <f>Claims!J258-Claims!I258</f>
        <v>70</v>
      </c>
      <c r="J262" s="42" t="str">
        <f t="shared" ref="J262:J325" si="57">IF(C262=Lbl_Flight,IF(AND(H262=Lbl_Business,INDEX(Biz_Permitted,MATCH(B262,Caps_Grade,0))=Lbl_BizNo),Lbl_Viol,Lbl_Comp),Lbl_NA)</f>
        <v>n/a</v>
      </c>
      <c r="K262" s="42" t="str">
        <f t="shared" ref="K262:K325" si="58">IF(C262=Lbl_Flight,IF(G262&lt;Min_Days_Booked,Lbl_Viol,Lbl_Comp),Lbl_NA)</f>
        <v>n/a</v>
      </c>
      <c r="L262" s="42" t="str">
        <f t="shared" ref="L262:L325" si="59">IF(AND(C262=Lbl_Hotel,D262=Lbl_Metro),IF(E262&gt;INDEX(Caps_Metro,MATCH(B262,Caps_Grade,0)),Lbl_Viol,Lbl_Comp),Lbl_NA)</f>
        <v>n/a</v>
      </c>
      <c r="M262" s="42" t="str">
        <f t="shared" ref="M262:M325" si="60">IF(AND(C262=Lbl_Hotel,D262=Lbl_NonMetro),IF(E262&gt;INDEX(Caps_NonMetro,MATCH(B262,Caps_Grade,0)),Lbl_Viol,Lbl_Comp),Lbl_NA)</f>
        <v>n/a</v>
      </c>
      <c r="N262" s="42" t="str">
        <f t="shared" ref="N262:N325" si="61">IF(C262=Lbl_Meals,IF(E262&gt;IF(D262=Lbl_Metro,Limit_Metro,Limit_NonMetro),Lbl_Viol,Lbl_Comp),Lbl_NA)</f>
        <v>Compliant</v>
      </c>
      <c r="O262" s="42" t="str">
        <f t="shared" ref="O262:O325" si="62">IF(C262=Lbl_Alcohol,Lbl_Viol,Lbl_NA)</f>
        <v>n/a</v>
      </c>
      <c r="P262" s="42" t="str">
        <f t="shared" ref="P262:P325" si="63">IF(AND(F262=Lbl_NoReceipt,E262&gt;Receipt_Threshold),Lbl_Viol,Lbl_Comp)</f>
        <v>Compliant</v>
      </c>
      <c r="Q262" s="42" t="str">
        <f t="shared" ref="Q262:Q325" si="64">IF(I262&gt;Late_Days,Lbl_Viol,Lbl_Comp)</f>
        <v>Violation</v>
      </c>
      <c r="R262" s="42" t="str">
        <f t="shared" ref="R262:R325" si="65">IF(COUNTIF(J262:Q262,Lbl_Viol)&gt;0,Lbl_Viol,Lbl_Comp)</f>
        <v>Violation</v>
      </c>
      <c r="S262" s="36" t="str">
        <f t="shared" ref="S262:S325" si="66">_xlfn.TEXTJOIN(", ",TRUE(),IF(J262=Lbl_Viol,J$5,""),IF(K262=Lbl_Viol,K$5,""),IF(L262=Lbl_Viol,L$5,""),IF(M262=Lbl_Viol,M$5,""),IF(N262=Lbl_Viol,N$5,""),IF(O262=Lbl_Viol,O$5,""),IF(P262=Lbl_Viol,P$5,""),IF(Q262=Lbl_Viol,Q$5,""))</f>
        <v>TP-10</v>
      </c>
      <c r="T262" s="42" t="str">
        <f t="shared" ref="T262:T325" si="67">IF(Q262=Lbl_Viol,IF(I262&gt;Expired_Days,Lbl_Expired,Lbl_Late),"")</f>
        <v>Expired</v>
      </c>
      <c r="U262" s="42" t="str">
        <f t="shared" ref="U262:U325" si="68">IF(R262=Lbl_Comp,"",IF(SUMPRODUCT((J262:Q262=Lbl_Viol)*(J$4:Q$4=Lbl_Definite))&gt;0,Lbl_Definite,Lbl_Assumption))</f>
        <v>Definite</v>
      </c>
      <c r="V262" s="42" t="str">
        <f t="shared" ref="V262:V325" si="69">IF(L262=Lbl_Viol,ROUNDUP(E262/INDEX(Caps_Metro,MATCH(B262,Caps_Grade,0)),0),IF(M262=Lbl_Viol,ROUNDUP(E262/INDEX(Caps_NonMetro,MATCH(B262,Caps_Grade,0)),0),IF(N262=Lbl_Viol,ROUNDUP(E262/IF(D262=Lbl_Metro,Limit_Metro,Limit_NonMetro),0),"")))</f>
        <v/>
      </c>
      <c r="W262" s="42" t="str">
        <f t="shared" ref="W262:W325" si="70">IF(OR(L262=Lbl_Viol,M262=Lbl_Viol),Lbl_NeedNights,IF(N262=Lbl_Viol,Lbl_NeedDays,IF(K262=Lbl_Viol,Lbl_NeedApproval,"")))</f>
        <v/>
      </c>
    </row>
    <row r="263" spans="1:23" ht="15" hidden="1" customHeight="1" x14ac:dyDescent="0.25">
      <c r="A263" s="36" t="str">
        <f>Claims!A259</f>
        <v>EXP00258</v>
      </c>
      <c r="B263" s="36" t="str">
        <f>Claims!D259</f>
        <v>M2</v>
      </c>
      <c r="C263" s="36" t="str">
        <f>Claims!E259</f>
        <v>Hotel</v>
      </c>
      <c r="D263" s="36" t="str">
        <f>Claims!G259</f>
        <v>Non-metro</v>
      </c>
      <c r="E263" s="40">
        <f>Claims!H259</f>
        <v>6810</v>
      </c>
      <c r="F263" s="36" t="str">
        <f>Claims!K259</f>
        <v>Yes</v>
      </c>
      <c r="G263" s="36" t="str">
        <f>IF(Claims!M259="","",Claims!M259)</f>
        <v/>
      </c>
      <c r="H263" s="36" t="str">
        <f>IF(Claims!N259="","",Claims!N259)</f>
        <v/>
      </c>
      <c r="I263" s="41">
        <f>Claims!J259-Claims!I259</f>
        <v>35</v>
      </c>
      <c r="J263" s="42" t="str">
        <f t="shared" si="57"/>
        <v>n/a</v>
      </c>
      <c r="K263" s="42" t="str">
        <f t="shared" si="58"/>
        <v>n/a</v>
      </c>
      <c r="L263" s="42" t="str">
        <f t="shared" si="59"/>
        <v>n/a</v>
      </c>
      <c r="M263" s="42" t="str">
        <f t="shared" si="60"/>
        <v>Violation</v>
      </c>
      <c r="N263" s="42" t="str">
        <f t="shared" si="61"/>
        <v>n/a</v>
      </c>
      <c r="O263" s="42" t="str">
        <f t="shared" si="62"/>
        <v>n/a</v>
      </c>
      <c r="P263" s="42" t="str">
        <f t="shared" si="63"/>
        <v>Compliant</v>
      </c>
      <c r="Q263" s="42" t="str">
        <f t="shared" si="64"/>
        <v>Violation</v>
      </c>
      <c r="R263" s="42" t="str">
        <f t="shared" si="65"/>
        <v>Violation</v>
      </c>
      <c r="S263" s="36" t="str">
        <f t="shared" si="66"/>
        <v>TP-05, TP-10</v>
      </c>
      <c r="T263" s="42" t="str">
        <f t="shared" si="67"/>
        <v>Late</v>
      </c>
      <c r="U263" s="42" t="str">
        <f t="shared" si="68"/>
        <v>Definite</v>
      </c>
      <c r="V263" s="42">
        <f t="shared" si="69"/>
        <v>2</v>
      </c>
      <c r="W263" s="42" t="str">
        <f t="shared" si="70"/>
        <v>Needs nights</v>
      </c>
    </row>
    <row r="264" spans="1:23" ht="15" hidden="1" customHeight="1" x14ac:dyDescent="0.25">
      <c r="A264" s="36" t="str">
        <f>Claims!A260</f>
        <v>EXP00259</v>
      </c>
      <c r="B264" s="36" t="str">
        <f>Claims!D260</f>
        <v>M3</v>
      </c>
      <c r="C264" s="36" t="str">
        <f>Claims!E260</f>
        <v>Hotel</v>
      </c>
      <c r="D264" s="36" t="str">
        <f>Claims!G260</f>
        <v>Non-metro</v>
      </c>
      <c r="E264" s="40">
        <f>Claims!H260</f>
        <v>3900</v>
      </c>
      <c r="F264" s="36" t="str">
        <f>Claims!K260</f>
        <v>Yes</v>
      </c>
      <c r="G264" s="36" t="str">
        <f>IF(Claims!M260="","",Claims!M260)</f>
        <v/>
      </c>
      <c r="H264" s="36" t="str">
        <f>IF(Claims!N260="","",Claims!N260)</f>
        <v/>
      </c>
      <c r="I264" s="41">
        <f>Claims!J260-Claims!I260</f>
        <v>35</v>
      </c>
      <c r="J264" s="42" t="str">
        <f t="shared" si="57"/>
        <v>n/a</v>
      </c>
      <c r="K264" s="42" t="str">
        <f t="shared" si="58"/>
        <v>n/a</v>
      </c>
      <c r="L264" s="42" t="str">
        <f t="shared" si="59"/>
        <v>n/a</v>
      </c>
      <c r="M264" s="42" t="str">
        <f t="shared" si="60"/>
        <v>Compliant</v>
      </c>
      <c r="N264" s="42" t="str">
        <f t="shared" si="61"/>
        <v>n/a</v>
      </c>
      <c r="O264" s="42" t="str">
        <f t="shared" si="62"/>
        <v>n/a</v>
      </c>
      <c r="P264" s="42" t="str">
        <f t="shared" si="63"/>
        <v>Compliant</v>
      </c>
      <c r="Q264" s="42" t="str">
        <f t="shared" si="64"/>
        <v>Violation</v>
      </c>
      <c r="R264" s="42" t="str">
        <f t="shared" si="65"/>
        <v>Violation</v>
      </c>
      <c r="S264" s="36" t="str">
        <f t="shared" si="66"/>
        <v>TP-10</v>
      </c>
      <c r="T264" s="42" t="str">
        <f t="shared" si="67"/>
        <v>Late</v>
      </c>
      <c r="U264" s="42" t="str">
        <f t="shared" si="68"/>
        <v>Definite</v>
      </c>
      <c r="V264" s="42" t="str">
        <f t="shared" si="69"/>
        <v/>
      </c>
      <c r="W264" s="42" t="str">
        <f t="shared" si="70"/>
        <v/>
      </c>
    </row>
    <row r="265" spans="1:23" ht="15" hidden="1" customHeight="1" x14ac:dyDescent="0.25">
      <c r="A265" s="36" t="str">
        <f>Claims!A261</f>
        <v>EXP00260</v>
      </c>
      <c r="B265" s="36" t="str">
        <f>Claims!D261</f>
        <v>M2</v>
      </c>
      <c r="C265" s="36" t="str">
        <f>Claims!E261</f>
        <v>Local Cab</v>
      </c>
      <c r="D265" s="36" t="str">
        <f>Claims!G261</f>
        <v>Non-metro</v>
      </c>
      <c r="E265" s="40">
        <f>Claims!H261</f>
        <v>592</v>
      </c>
      <c r="F265" s="36" t="str">
        <f>Claims!K261</f>
        <v>Yes</v>
      </c>
      <c r="G265" s="36" t="str">
        <f>IF(Claims!M261="","",Claims!M261)</f>
        <v/>
      </c>
      <c r="H265" s="36" t="str">
        <f>IF(Claims!N261="","",Claims!N261)</f>
        <v/>
      </c>
      <c r="I265" s="41">
        <f>Claims!J261-Claims!I261</f>
        <v>70</v>
      </c>
      <c r="J265" s="42" t="str">
        <f t="shared" si="57"/>
        <v>n/a</v>
      </c>
      <c r="K265" s="42" t="str">
        <f t="shared" si="58"/>
        <v>n/a</v>
      </c>
      <c r="L265" s="42" t="str">
        <f t="shared" si="59"/>
        <v>n/a</v>
      </c>
      <c r="M265" s="42" t="str">
        <f t="shared" si="60"/>
        <v>n/a</v>
      </c>
      <c r="N265" s="42" t="str">
        <f t="shared" si="61"/>
        <v>n/a</v>
      </c>
      <c r="O265" s="42" t="str">
        <f t="shared" si="62"/>
        <v>n/a</v>
      </c>
      <c r="P265" s="42" t="str">
        <f t="shared" si="63"/>
        <v>Compliant</v>
      </c>
      <c r="Q265" s="42" t="str">
        <f t="shared" si="64"/>
        <v>Violation</v>
      </c>
      <c r="R265" s="42" t="str">
        <f t="shared" si="65"/>
        <v>Violation</v>
      </c>
      <c r="S265" s="36" t="str">
        <f t="shared" si="66"/>
        <v>TP-10</v>
      </c>
      <c r="T265" s="42" t="str">
        <f t="shared" si="67"/>
        <v>Expired</v>
      </c>
      <c r="U265" s="42" t="str">
        <f t="shared" si="68"/>
        <v>Definite</v>
      </c>
      <c r="V265" s="42" t="str">
        <f t="shared" si="69"/>
        <v/>
      </c>
      <c r="W265" s="42" t="str">
        <f t="shared" si="70"/>
        <v/>
      </c>
    </row>
    <row r="266" spans="1:23" ht="15" hidden="1" customHeight="1" x14ac:dyDescent="0.25">
      <c r="A266" s="36" t="str">
        <f>Claims!A262</f>
        <v>EXP00261</v>
      </c>
      <c r="B266" s="36" t="str">
        <f>Claims!D262</f>
        <v>M5</v>
      </c>
      <c r="C266" s="36" t="str">
        <f>Claims!E262</f>
        <v>Flight</v>
      </c>
      <c r="D266" s="36" t="str">
        <f>Claims!G262</f>
        <v>Metro</v>
      </c>
      <c r="E266" s="40">
        <f>Claims!H262</f>
        <v>11526</v>
      </c>
      <c r="F266" s="36" t="str">
        <f>Claims!K262</f>
        <v>Yes</v>
      </c>
      <c r="G266" s="36">
        <f>IF(Claims!M262="","",Claims!M262)</f>
        <v>8</v>
      </c>
      <c r="H266" s="36" t="str">
        <f>IF(Claims!N262="","",Claims!N262)</f>
        <v>Economy</v>
      </c>
      <c r="I266" s="41">
        <f>Claims!J262-Claims!I262</f>
        <v>20</v>
      </c>
      <c r="J266" s="42" t="str">
        <f t="shared" si="57"/>
        <v>Compliant</v>
      </c>
      <c r="K266" s="42" t="str">
        <f t="shared" si="58"/>
        <v>Compliant</v>
      </c>
      <c r="L266" s="42" t="str">
        <f t="shared" si="59"/>
        <v>n/a</v>
      </c>
      <c r="M266" s="42" t="str">
        <f t="shared" si="60"/>
        <v>n/a</v>
      </c>
      <c r="N266" s="42" t="str">
        <f t="shared" si="61"/>
        <v>n/a</v>
      </c>
      <c r="O266" s="42" t="str">
        <f t="shared" si="62"/>
        <v>n/a</v>
      </c>
      <c r="P266" s="42" t="str">
        <f t="shared" si="63"/>
        <v>Compliant</v>
      </c>
      <c r="Q266" s="42" t="str">
        <f t="shared" si="64"/>
        <v>Violation</v>
      </c>
      <c r="R266" s="42" t="str">
        <f t="shared" si="65"/>
        <v>Violation</v>
      </c>
      <c r="S266" s="36" t="str">
        <f t="shared" si="66"/>
        <v>TP-10</v>
      </c>
      <c r="T266" s="42" t="str">
        <f t="shared" si="67"/>
        <v>Late</v>
      </c>
      <c r="U266" s="42" t="str">
        <f t="shared" si="68"/>
        <v>Definite</v>
      </c>
      <c r="V266" s="42" t="str">
        <f t="shared" si="69"/>
        <v/>
      </c>
      <c r="W266" s="42" t="str">
        <f t="shared" si="70"/>
        <v/>
      </c>
    </row>
    <row r="267" spans="1:23" ht="15" hidden="1" customHeight="1" x14ac:dyDescent="0.25">
      <c r="A267" s="36" t="str">
        <f>Claims!A263</f>
        <v>EXP00262</v>
      </c>
      <c r="B267" s="36" t="str">
        <f>Claims!D263</f>
        <v>M2</v>
      </c>
      <c r="C267" s="36" t="str">
        <f>Claims!E263</f>
        <v>Flight</v>
      </c>
      <c r="D267" s="36" t="str">
        <f>Claims!G263</f>
        <v>Non-metro</v>
      </c>
      <c r="E267" s="40">
        <f>Claims!H263</f>
        <v>4599</v>
      </c>
      <c r="F267" s="36" t="str">
        <f>Claims!K263</f>
        <v>Yes</v>
      </c>
      <c r="G267" s="36">
        <f>IF(Claims!M263="","",Claims!M263)</f>
        <v>9</v>
      </c>
      <c r="H267" s="36" t="str">
        <f>IF(Claims!N263="","",Claims!N263)</f>
        <v>Economy</v>
      </c>
      <c r="I267" s="41">
        <f>Claims!J263-Claims!I263</f>
        <v>2</v>
      </c>
      <c r="J267" s="42" t="str">
        <f t="shared" si="57"/>
        <v>Compliant</v>
      </c>
      <c r="K267" s="42" t="str">
        <f t="shared" si="58"/>
        <v>Compliant</v>
      </c>
      <c r="L267" s="42" t="str">
        <f t="shared" si="59"/>
        <v>n/a</v>
      </c>
      <c r="M267" s="42" t="str">
        <f t="shared" si="60"/>
        <v>n/a</v>
      </c>
      <c r="N267" s="42" t="str">
        <f t="shared" si="61"/>
        <v>n/a</v>
      </c>
      <c r="O267" s="42" t="str">
        <f t="shared" si="62"/>
        <v>n/a</v>
      </c>
      <c r="P267" s="42" t="str">
        <f t="shared" si="63"/>
        <v>Compliant</v>
      </c>
      <c r="Q267" s="42" t="str">
        <f t="shared" si="64"/>
        <v>Compliant</v>
      </c>
      <c r="R267" s="42" t="str">
        <f t="shared" si="65"/>
        <v>Compliant</v>
      </c>
      <c r="S267" s="36" t="str">
        <f t="shared" si="66"/>
        <v/>
      </c>
      <c r="T267" s="42" t="str">
        <f t="shared" si="67"/>
        <v/>
      </c>
      <c r="U267" s="42" t="str">
        <f t="shared" si="68"/>
        <v/>
      </c>
      <c r="V267" s="42" t="str">
        <f t="shared" si="69"/>
        <v/>
      </c>
      <c r="W267" s="42" t="str">
        <f t="shared" si="70"/>
        <v/>
      </c>
    </row>
    <row r="268" spans="1:23" ht="15" hidden="1" customHeight="1" x14ac:dyDescent="0.25">
      <c r="A268" s="36" t="str">
        <f>Claims!A264</f>
        <v>EXP00263</v>
      </c>
      <c r="B268" s="36" t="str">
        <f>Claims!D264</f>
        <v>M1</v>
      </c>
      <c r="C268" s="36" t="str">
        <f>Claims!E264</f>
        <v>Local Cab</v>
      </c>
      <c r="D268" s="36" t="str">
        <f>Claims!G264</f>
        <v>Metro</v>
      </c>
      <c r="E268" s="40">
        <f>Claims!H264</f>
        <v>250</v>
      </c>
      <c r="F268" s="36" t="str">
        <f>Claims!K264</f>
        <v>Yes</v>
      </c>
      <c r="G268" s="36" t="str">
        <f>IF(Claims!M264="","",Claims!M264)</f>
        <v/>
      </c>
      <c r="H268" s="36" t="str">
        <f>IF(Claims!N264="","",Claims!N264)</f>
        <v/>
      </c>
      <c r="I268" s="41">
        <f>Claims!J264-Claims!I264</f>
        <v>14</v>
      </c>
      <c r="J268" s="42" t="str">
        <f t="shared" si="57"/>
        <v>n/a</v>
      </c>
      <c r="K268" s="42" t="str">
        <f t="shared" si="58"/>
        <v>n/a</v>
      </c>
      <c r="L268" s="42" t="str">
        <f t="shared" si="59"/>
        <v>n/a</v>
      </c>
      <c r="M268" s="42" t="str">
        <f t="shared" si="60"/>
        <v>n/a</v>
      </c>
      <c r="N268" s="42" t="str">
        <f t="shared" si="61"/>
        <v>n/a</v>
      </c>
      <c r="O268" s="42" t="str">
        <f t="shared" si="62"/>
        <v>n/a</v>
      </c>
      <c r="P268" s="42" t="str">
        <f t="shared" si="63"/>
        <v>Compliant</v>
      </c>
      <c r="Q268" s="42" t="str">
        <f t="shared" si="64"/>
        <v>Compliant</v>
      </c>
      <c r="R268" s="42" t="str">
        <f t="shared" si="65"/>
        <v>Compliant</v>
      </c>
      <c r="S268" s="36" t="str">
        <f t="shared" si="66"/>
        <v/>
      </c>
      <c r="T268" s="42" t="str">
        <f t="shared" si="67"/>
        <v/>
      </c>
      <c r="U268" s="42" t="str">
        <f t="shared" si="68"/>
        <v/>
      </c>
      <c r="V268" s="42" t="str">
        <f t="shared" si="69"/>
        <v/>
      </c>
      <c r="W268" s="42" t="str">
        <f t="shared" si="70"/>
        <v/>
      </c>
    </row>
    <row r="269" spans="1:23" ht="15" hidden="1" customHeight="1" x14ac:dyDescent="0.25">
      <c r="A269" s="36" t="str">
        <f>Claims!A265</f>
        <v>EXP00264</v>
      </c>
      <c r="B269" s="36" t="str">
        <f>Claims!D265</f>
        <v>M3</v>
      </c>
      <c r="C269" s="36" t="str">
        <f>Claims!E265</f>
        <v>Stationery</v>
      </c>
      <c r="D269" s="36" t="str">
        <f>Claims!G265</f>
        <v>Metro</v>
      </c>
      <c r="E269" s="40">
        <f>Claims!H265</f>
        <v>1265</v>
      </c>
      <c r="F269" s="36" t="str">
        <f>Claims!K265</f>
        <v>Yes</v>
      </c>
      <c r="G269" s="36" t="str">
        <f>IF(Claims!M265="","",Claims!M265)</f>
        <v/>
      </c>
      <c r="H269" s="36" t="str">
        <f>IF(Claims!N265="","",Claims!N265)</f>
        <v/>
      </c>
      <c r="I269" s="41">
        <f>Claims!J265-Claims!I265</f>
        <v>35</v>
      </c>
      <c r="J269" s="42" t="str">
        <f t="shared" si="57"/>
        <v>n/a</v>
      </c>
      <c r="K269" s="42" t="str">
        <f t="shared" si="58"/>
        <v>n/a</v>
      </c>
      <c r="L269" s="42" t="str">
        <f t="shared" si="59"/>
        <v>n/a</v>
      </c>
      <c r="M269" s="42" t="str">
        <f t="shared" si="60"/>
        <v>n/a</v>
      </c>
      <c r="N269" s="42" t="str">
        <f t="shared" si="61"/>
        <v>n/a</v>
      </c>
      <c r="O269" s="42" t="str">
        <f t="shared" si="62"/>
        <v>n/a</v>
      </c>
      <c r="P269" s="42" t="str">
        <f t="shared" si="63"/>
        <v>Compliant</v>
      </c>
      <c r="Q269" s="42" t="str">
        <f t="shared" si="64"/>
        <v>Violation</v>
      </c>
      <c r="R269" s="42" t="str">
        <f t="shared" si="65"/>
        <v>Violation</v>
      </c>
      <c r="S269" s="36" t="str">
        <f t="shared" si="66"/>
        <v>TP-10</v>
      </c>
      <c r="T269" s="42" t="str">
        <f t="shared" si="67"/>
        <v>Late</v>
      </c>
      <c r="U269" s="42" t="str">
        <f t="shared" si="68"/>
        <v>Definite</v>
      </c>
      <c r="V269" s="42" t="str">
        <f t="shared" si="69"/>
        <v/>
      </c>
      <c r="W269" s="42" t="str">
        <f t="shared" si="70"/>
        <v/>
      </c>
    </row>
    <row r="270" spans="1:23" ht="15" hidden="1" customHeight="1" x14ac:dyDescent="0.25">
      <c r="A270" s="36" t="str">
        <f>Claims!A266</f>
        <v>EXP00265</v>
      </c>
      <c r="B270" s="36" t="str">
        <f>Claims!D266</f>
        <v>M2</v>
      </c>
      <c r="C270" s="36" t="str">
        <f>Claims!E266</f>
        <v>Meals/DA</v>
      </c>
      <c r="D270" s="36" t="str">
        <f>Claims!G266</f>
        <v>Metro</v>
      </c>
      <c r="E270" s="40">
        <f>Claims!H266</f>
        <v>738</v>
      </c>
      <c r="F270" s="36" t="str">
        <f>Claims!K266</f>
        <v>Yes</v>
      </c>
      <c r="G270" s="36" t="str">
        <f>IF(Claims!M266="","",Claims!M266)</f>
        <v/>
      </c>
      <c r="H270" s="36" t="str">
        <f>IF(Claims!N266="","",Claims!N266)</f>
        <v/>
      </c>
      <c r="I270" s="41">
        <f>Claims!J266-Claims!I266</f>
        <v>9</v>
      </c>
      <c r="J270" s="42" t="str">
        <f t="shared" si="57"/>
        <v>n/a</v>
      </c>
      <c r="K270" s="42" t="str">
        <f t="shared" si="58"/>
        <v>n/a</v>
      </c>
      <c r="L270" s="42" t="str">
        <f t="shared" si="59"/>
        <v>n/a</v>
      </c>
      <c r="M270" s="42" t="str">
        <f t="shared" si="60"/>
        <v>n/a</v>
      </c>
      <c r="N270" s="42" t="str">
        <f t="shared" si="61"/>
        <v>Compliant</v>
      </c>
      <c r="O270" s="42" t="str">
        <f t="shared" si="62"/>
        <v>n/a</v>
      </c>
      <c r="P270" s="42" t="str">
        <f t="shared" si="63"/>
        <v>Compliant</v>
      </c>
      <c r="Q270" s="42" t="str">
        <f t="shared" si="64"/>
        <v>Compliant</v>
      </c>
      <c r="R270" s="42" t="str">
        <f t="shared" si="65"/>
        <v>Compliant</v>
      </c>
      <c r="S270" s="36" t="str">
        <f t="shared" si="66"/>
        <v/>
      </c>
      <c r="T270" s="42" t="str">
        <f t="shared" si="67"/>
        <v/>
      </c>
      <c r="U270" s="42" t="str">
        <f t="shared" si="68"/>
        <v/>
      </c>
      <c r="V270" s="42" t="str">
        <f t="shared" si="69"/>
        <v/>
      </c>
      <c r="W270" s="42" t="str">
        <f t="shared" si="70"/>
        <v/>
      </c>
    </row>
    <row r="271" spans="1:23" ht="15" hidden="1" customHeight="1" x14ac:dyDescent="0.25">
      <c r="A271" s="36" t="str">
        <f>Claims!A267</f>
        <v>EXP00266</v>
      </c>
      <c r="B271" s="36" t="str">
        <f>Claims!D267</f>
        <v>M1</v>
      </c>
      <c r="C271" s="36" t="str">
        <f>Claims!E267</f>
        <v>Local Cab</v>
      </c>
      <c r="D271" s="36" t="str">
        <f>Claims!G267</f>
        <v>Metro</v>
      </c>
      <c r="E271" s="40">
        <f>Claims!H267</f>
        <v>963</v>
      </c>
      <c r="F271" s="36" t="str">
        <f>Claims!K267</f>
        <v>Yes</v>
      </c>
      <c r="G271" s="36" t="str">
        <f>IF(Claims!M267="","",Claims!M267)</f>
        <v/>
      </c>
      <c r="H271" s="36" t="str">
        <f>IF(Claims!N267="","",Claims!N267)</f>
        <v/>
      </c>
      <c r="I271" s="41">
        <f>Claims!J267-Claims!I267</f>
        <v>35</v>
      </c>
      <c r="J271" s="42" t="str">
        <f t="shared" si="57"/>
        <v>n/a</v>
      </c>
      <c r="K271" s="42" t="str">
        <f t="shared" si="58"/>
        <v>n/a</v>
      </c>
      <c r="L271" s="42" t="str">
        <f t="shared" si="59"/>
        <v>n/a</v>
      </c>
      <c r="M271" s="42" t="str">
        <f t="shared" si="60"/>
        <v>n/a</v>
      </c>
      <c r="N271" s="42" t="str">
        <f t="shared" si="61"/>
        <v>n/a</v>
      </c>
      <c r="O271" s="42" t="str">
        <f t="shared" si="62"/>
        <v>n/a</v>
      </c>
      <c r="P271" s="42" t="str">
        <f t="shared" si="63"/>
        <v>Compliant</v>
      </c>
      <c r="Q271" s="42" t="str">
        <f t="shared" si="64"/>
        <v>Violation</v>
      </c>
      <c r="R271" s="42" t="str">
        <f t="shared" si="65"/>
        <v>Violation</v>
      </c>
      <c r="S271" s="36" t="str">
        <f t="shared" si="66"/>
        <v>TP-10</v>
      </c>
      <c r="T271" s="42" t="str">
        <f t="shared" si="67"/>
        <v>Late</v>
      </c>
      <c r="U271" s="42" t="str">
        <f t="shared" si="68"/>
        <v>Definite</v>
      </c>
      <c r="V271" s="42" t="str">
        <f t="shared" si="69"/>
        <v/>
      </c>
      <c r="W271" s="42" t="str">
        <f t="shared" si="70"/>
        <v/>
      </c>
    </row>
    <row r="272" spans="1:23" ht="15" hidden="1" customHeight="1" x14ac:dyDescent="0.25">
      <c r="A272" s="36" t="str">
        <f>Claims!A268</f>
        <v>EXP00267</v>
      </c>
      <c r="B272" s="36" t="str">
        <f>Claims!D268</f>
        <v>M3</v>
      </c>
      <c r="C272" s="36" t="str">
        <f>Claims!E268</f>
        <v>Flight</v>
      </c>
      <c r="D272" s="36" t="str">
        <f>Claims!G268</f>
        <v>Metro</v>
      </c>
      <c r="E272" s="40">
        <f>Claims!H268</f>
        <v>20822</v>
      </c>
      <c r="F272" s="36" t="str">
        <f>Claims!K268</f>
        <v>Yes</v>
      </c>
      <c r="G272" s="36">
        <f>IF(Claims!M268="","",Claims!M268)</f>
        <v>7</v>
      </c>
      <c r="H272" s="36" t="str">
        <f>IF(Claims!N268="","",Claims!N268)</f>
        <v>Economy</v>
      </c>
      <c r="I272" s="41">
        <f>Claims!J268-Claims!I268</f>
        <v>70</v>
      </c>
      <c r="J272" s="42" t="str">
        <f t="shared" si="57"/>
        <v>Compliant</v>
      </c>
      <c r="K272" s="42" t="str">
        <f t="shared" si="58"/>
        <v>Compliant</v>
      </c>
      <c r="L272" s="42" t="str">
        <f t="shared" si="59"/>
        <v>n/a</v>
      </c>
      <c r="M272" s="42" t="str">
        <f t="shared" si="60"/>
        <v>n/a</v>
      </c>
      <c r="N272" s="42" t="str">
        <f t="shared" si="61"/>
        <v>n/a</v>
      </c>
      <c r="O272" s="42" t="str">
        <f t="shared" si="62"/>
        <v>n/a</v>
      </c>
      <c r="P272" s="42" t="str">
        <f t="shared" si="63"/>
        <v>Compliant</v>
      </c>
      <c r="Q272" s="42" t="str">
        <f t="shared" si="64"/>
        <v>Violation</v>
      </c>
      <c r="R272" s="42" t="str">
        <f t="shared" si="65"/>
        <v>Violation</v>
      </c>
      <c r="S272" s="36" t="str">
        <f t="shared" si="66"/>
        <v>TP-10</v>
      </c>
      <c r="T272" s="42" t="str">
        <f t="shared" si="67"/>
        <v>Expired</v>
      </c>
      <c r="U272" s="42" t="str">
        <f t="shared" si="68"/>
        <v>Definite</v>
      </c>
      <c r="V272" s="42" t="str">
        <f t="shared" si="69"/>
        <v/>
      </c>
      <c r="W272" s="42" t="str">
        <f t="shared" si="70"/>
        <v/>
      </c>
    </row>
    <row r="273" spans="1:23" ht="15" hidden="1" customHeight="1" x14ac:dyDescent="0.25">
      <c r="A273" s="36" t="str">
        <f>Claims!A269</f>
        <v>EXP00268</v>
      </c>
      <c r="B273" s="36" t="str">
        <f>Claims!D269</f>
        <v>M3</v>
      </c>
      <c r="C273" s="36" t="str">
        <f>Claims!E269</f>
        <v>Meals/DA</v>
      </c>
      <c r="D273" s="36" t="str">
        <f>Claims!G269</f>
        <v>Metro</v>
      </c>
      <c r="E273" s="40">
        <f>Claims!H269</f>
        <v>1247</v>
      </c>
      <c r="F273" s="36" t="str">
        <f>Claims!K269</f>
        <v>Yes</v>
      </c>
      <c r="G273" s="36" t="str">
        <f>IF(Claims!M269="","",Claims!M269)</f>
        <v/>
      </c>
      <c r="H273" s="36" t="str">
        <f>IF(Claims!N269="","",Claims!N269)</f>
        <v/>
      </c>
      <c r="I273" s="41">
        <f>Claims!J269-Claims!I269</f>
        <v>2</v>
      </c>
      <c r="J273" s="42" t="str">
        <f t="shared" si="57"/>
        <v>n/a</v>
      </c>
      <c r="K273" s="42" t="str">
        <f t="shared" si="58"/>
        <v>n/a</v>
      </c>
      <c r="L273" s="42" t="str">
        <f t="shared" si="59"/>
        <v>n/a</v>
      </c>
      <c r="M273" s="42" t="str">
        <f t="shared" si="60"/>
        <v>n/a</v>
      </c>
      <c r="N273" s="42" t="str">
        <f t="shared" si="61"/>
        <v>Violation</v>
      </c>
      <c r="O273" s="42" t="str">
        <f t="shared" si="62"/>
        <v>n/a</v>
      </c>
      <c r="P273" s="42" t="str">
        <f t="shared" si="63"/>
        <v>Compliant</v>
      </c>
      <c r="Q273" s="42" t="str">
        <f t="shared" si="64"/>
        <v>Compliant</v>
      </c>
      <c r="R273" s="42" t="str">
        <f t="shared" si="65"/>
        <v>Violation</v>
      </c>
      <c r="S273" s="36" t="str">
        <f t="shared" si="66"/>
        <v>TP-06</v>
      </c>
      <c r="T273" s="42" t="str">
        <f t="shared" si="67"/>
        <v/>
      </c>
      <c r="U273" s="42" t="str">
        <f t="shared" si="68"/>
        <v>Assumption-based</v>
      </c>
      <c r="V273" s="42">
        <f t="shared" si="69"/>
        <v>2</v>
      </c>
      <c r="W273" s="42" t="str">
        <f t="shared" si="70"/>
        <v>Needs days</v>
      </c>
    </row>
    <row r="274" spans="1:23" ht="15" hidden="1" customHeight="1" x14ac:dyDescent="0.25">
      <c r="A274" s="36" t="str">
        <f>Claims!A270</f>
        <v>EXP00269</v>
      </c>
      <c r="B274" s="36" t="str">
        <f>Claims!D270</f>
        <v>M1</v>
      </c>
      <c r="C274" s="36" t="str">
        <f>Claims!E270</f>
        <v>Hotel</v>
      </c>
      <c r="D274" s="36" t="str">
        <f>Claims!G270</f>
        <v>Metro</v>
      </c>
      <c r="E274" s="40">
        <f>Claims!H270</f>
        <v>13065</v>
      </c>
      <c r="F274" s="36" t="str">
        <f>Claims!K270</f>
        <v>Yes</v>
      </c>
      <c r="G274" s="36" t="str">
        <f>IF(Claims!M270="","",Claims!M270)</f>
        <v/>
      </c>
      <c r="H274" s="36" t="str">
        <f>IF(Claims!N270="","",Claims!N270)</f>
        <v/>
      </c>
      <c r="I274" s="41">
        <f>Claims!J270-Claims!I270</f>
        <v>9</v>
      </c>
      <c r="J274" s="42" t="str">
        <f t="shared" si="57"/>
        <v>n/a</v>
      </c>
      <c r="K274" s="42" t="str">
        <f t="shared" si="58"/>
        <v>n/a</v>
      </c>
      <c r="L274" s="42" t="str">
        <f t="shared" si="59"/>
        <v>Violation</v>
      </c>
      <c r="M274" s="42" t="str">
        <f t="shared" si="60"/>
        <v>n/a</v>
      </c>
      <c r="N274" s="42" t="str">
        <f t="shared" si="61"/>
        <v>n/a</v>
      </c>
      <c r="O274" s="42" t="str">
        <f t="shared" si="62"/>
        <v>n/a</v>
      </c>
      <c r="P274" s="42" t="str">
        <f t="shared" si="63"/>
        <v>Compliant</v>
      </c>
      <c r="Q274" s="42" t="str">
        <f t="shared" si="64"/>
        <v>Compliant</v>
      </c>
      <c r="R274" s="42" t="str">
        <f t="shared" si="65"/>
        <v>Violation</v>
      </c>
      <c r="S274" s="36" t="str">
        <f t="shared" si="66"/>
        <v>TP-04</v>
      </c>
      <c r="T274" s="42" t="str">
        <f t="shared" si="67"/>
        <v/>
      </c>
      <c r="U274" s="42" t="str">
        <f t="shared" si="68"/>
        <v>Assumption-based</v>
      </c>
      <c r="V274" s="42">
        <f t="shared" si="69"/>
        <v>2</v>
      </c>
      <c r="W274" s="42" t="str">
        <f t="shared" si="70"/>
        <v>Needs nights</v>
      </c>
    </row>
    <row r="275" spans="1:23" ht="15" hidden="1" customHeight="1" x14ac:dyDescent="0.25">
      <c r="A275" s="36" t="str">
        <f>Claims!A271</f>
        <v>EXP00270</v>
      </c>
      <c r="B275" s="36" t="str">
        <f>Claims!D271</f>
        <v>M2</v>
      </c>
      <c r="C275" s="36" t="str">
        <f>Claims!E271</f>
        <v>Hotel</v>
      </c>
      <c r="D275" s="36" t="str">
        <f>Claims!G271</f>
        <v>Non-metro</v>
      </c>
      <c r="E275" s="40">
        <f>Claims!H271</f>
        <v>13723</v>
      </c>
      <c r="F275" s="36" t="str">
        <f>Claims!K271</f>
        <v>Yes</v>
      </c>
      <c r="G275" s="36" t="str">
        <f>IF(Claims!M271="","",Claims!M271)</f>
        <v/>
      </c>
      <c r="H275" s="36" t="str">
        <f>IF(Claims!N271="","",Claims!N271)</f>
        <v/>
      </c>
      <c r="I275" s="41">
        <f>Claims!J271-Claims!I271</f>
        <v>14</v>
      </c>
      <c r="J275" s="42" t="str">
        <f t="shared" si="57"/>
        <v>n/a</v>
      </c>
      <c r="K275" s="42" t="str">
        <f t="shared" si="58"/>
        <v>n/a</v>
      </c>
      <c r="L275" s="42" t="str">
        <f t="shared" si="59"/>
        <v>n/a</v>
      </c>
      <c r="M275" s="42" t="str">
        <f t="shared" si="60"/>
        <v>Violation</v>
      </c>
      <c r="N275" s="42" t="str">
        <f t="shared" si="61"/>
        <v>n/a</v>
      </c>
      <c r="O275" s="42" t="str">
        <f t="shared" si="62"/>
        <v>n/a</v>
      </c>
      <c r="P275" s="42" t="str">
        <f t="shared" si="63"/>
        <v>Compliant</v>
      </c>
      <c r="Q275" s="42" t="str">
        <f t="shared" si="64"/>
        <v>Compliant</v>
      </c>
      <c r="R275" s="42" t="str">
        <f t="shared" si="65"/>
        <v>Violation</v>
      </c>
      <c r="S275" s="36" t="str">
        <f t="shared" si="66"/>
        <v>TP-05</v>
      </c>
      <c r="T275" s="42" t="str">
        <f t="shared" si="67"/>
        <v/>
      </c>
      <c r="U275" s="42" t="str">
        <f t="shared" si="68"/>
        <v>Assumption-based</v>
      </c>
      <c r="V275" s="42">
        <f t="shared" si="69"/>
        <v>4</v>
      </c>
      <c r="W275" s="42" t="str">
        <f t="shared" si="70"/>
        <v>Needs nights</v>
      </c>
    </row>
    <row r="276" spans="1:23" ht="15" hidden="1" customHeight="1" x14ac:dyDescent="0.25">
      <c r="A276" s="36" t="str">
        <f>Claims!A272</f>
        <v>EXP00271</v>
      </c>
      <c r="B276" s="36" t="str">
        <f>Claims!D272</f>
        <v>M2</v>
      </c>
      <c r="C276" s="36" t="str">
        <f>Claims!E272</f>
        <v>Stationery</v>
      </c>
      <c r="D276" s="36" t="str">
        <f>Claims!G272</f>
        <v>Non-metro</v>
      </c>
      <c r="E276" s="40">
        <f>Claims!H272</f>
        <v>320</v>
      </c>
      <c r="F276" s="36" t="str">
        <f>Claims!K272</f>
        <v>Yes</v>
      </c>
      <c r="G276" s="36" t="str">
        <f>IF(Claims!M272="","",Claims!M272)</f>
        <v/>
      </c>
      <c r="H276" s="36" t="str">
        <f>IF(Claims!N272="","",Claims!N272)</f>
        <v/>
      </c>
      <c r="I276" s="41">
        <f>Claims!J272-Claims!I272</f>
        <v>20</v>
      </c>
      <c r="J276" s="42" t="str">
        <f t="shared" si="57"/>
        <v>n/a</v>
      </c>
      <c r="K276" s="42" t="str">
        <f t="shared" si="58"/>
        <v>n/a</v>
      </c>
      <c r="L276" s="42" t="str">
        <f t="shared" si="59"/>
        <v>n/a</v>
      </c>
      <c r="M276" s="42" t="str">
        <f t="shared" si="60"/>
        <v>n/a</v>
      </c>
      <c r="N276" s="42" t="str">
        <f t="shared" si="61"/>
        <v>n/a</v>
      </c>
      <c r="O276" s="42" t="str">
        <f t="shared" si="62"/>
        <v>n/a</v>
      </c>
      <c r="P276" s="42" t="str">
        <f t="shared" si="63"/>
        <v>Compliant</v>
      </c>
      <c r="Q276" s="42" t="str">
        <f t="shared" si="64"/>
        <v>Violation</v>
      </c>
      <c r="R276" s="42" t="str">
        <f t="shared" si="65"/>
        <v>Violation</v>
      </c>
      <c r="S276" s="36" t="str">
        <f t="shared" si="66"/>
        <v>TP-10</v>
      </c>
      <c r="T276" s="42" t="str">
        <f t="shared" si="67"/>
        <v>Late</v>
      </c>
      <c r="U276" s="42" t="str">
        <f t="shared" si="68"/>
        <v>Definite</v>
      </c>
      <c r="V276" s="42" t="str">
        <f t="shared" si="69"/>
        <v/>
      </c>
      <c r="W276" s="42" t="str">
        <f t="shared" si="70"/>
        <v/>
      </c>
    </row>
    <row r="277" spans="1:23" ht="15" hidden="1" customHeight="1" x14ac:dyDescent="0.25">
      <c r="A277" s="36" t="str">
        <f>Claims!A273</f>
        <v>EXP00272</v>
      </c>
      <c r="B277" s="36" t="str">
        <f>Claims!D273</f>
        <v>M1</v>
      </c>
      <c r="C277" s="36" t="str">
        <f>Claims!E273</f>
        <v>Meals/DA</v>
      </c>
      <c r="D277" s="36" t="str">
        <f>Claims!G273</f>
        <v>Non-metro</v>
      </c>
      <c r="E277" s="40">
        <f>Claims!H273</f>
        <v>1586</v>
      </c>
      <c r="F277" s="36" t="str">
        <f>Claims!K273</f>
        <v>Yes</v>
      </c>
      <c r="G277" s="36" t="str">
        <f>IF(Claims!M273="","",Claims!M273)</f>
        <v/>
      </c>
      <c r="H277" s="36" t="str">
        <f>IF(Claims!N273="","",Claims!N273)</f>
        <v/>
      </c>
      <c r="I277" s="41">
        <f>Claims!J273-Claims!I273</f>
        <v>2</v>
      </c>
      <c r="J277" s="42" t="str">
        <f t="shared" si="57"/>
        <v>n/a</v>
      </c>
      <c r="K277" s="42" t="str">
        <f t="shared" si="58"/>
        <v>n/a</v>
      </c>
      <c r="L277" s="42" t="str">
        <f t="shared" si="59"/>
        <v>n/a</v>
      </c>
      <c r="M277" s="42" t="str">
        <f t="shared" si="60"/>
        <v>n/a</v>
      </c>
      <c r="N277" s="42" t="str">
        <f t="shared" si="61"/>
        <v>Violation</v>
      </c>
      <c r="O277" s="42" t="str">
        <f t="shared" si="62"/>
        <v>n/a</v>
      </c>
      <c r="P277" s="42" t="str">
        <f t="shared" si="63"/>
        <v>Compliant</v>
      </c>
      <c r="Q277" s="42" t="str">
        <f t="shared" si="64"/>
        <v>Compliant</v>
      </c>
      <c r="R277" s="42" t="str">
        <f t="shared" si="65"/>
        <v>Violation</v>
      </c>
      <c r="S277" s="36" t="str">
        <f t="shared" si="66"/>
        <v>TP-06</v>
      </c>
      <c r="T277" s="42" t="str">
        <f t="shared" si="67"/>
        <v/>
      </c>
      <c r="U277" s="42" t="str">
        <f t="shared" si="68"/>
        <v>Assumption-based</v>
      </c>
      <c r="V277" s="42">
        <f t="shared" si="69"/>
        <v>2</v>
      </c>
      <c r="W277" s="42" t="str">
        <f t="shared" si="70"/>
        <v>Needs days</v>
      </c>
    </row>
    <row r="278" spans="1:23" ht="15" hidden="1" customHeight="1" x14ac:dyDescent="0.25">
      <c r="A278" s="36" t="str">
        <f>Claims!A274</f>
        <v>EXP00273</v>
      </c>
      <c r="B278" s="36" t="str">
        <f>Claims!D274</f>
        <v>M1</v>
      </c>
      <c r="C278" s="36" t="str">
        <f>Claims!E274</f>
        <v>Flight</v>
      </c>
      <c r="D278" s="36" t="str">
        <f>Claims!G274</f>
        <v>Metro</v>
      </c>
      <c r="E278" s="40">
        <f>Claims!H274</f>
        <v>5465</v>
      </c>
      <c r="F278" s="36" t="str">
        <f>Claims!K274</f>
        <v>Yes</v>
      </c>
      <c r="G278" s="36">
        <f>IF(Claims!M274="","",Claims!M274)</f>
        <v>11</v>
      </c>
      <c r="H278" s="36" t="str">
        <f>IF(Claims!N274="","",Claims!N274)</f>
        <v>Business</v>
      </c>
      <c r="I278" s="41">
        <f>Claims!J274-Claims!I274</f>
        <v>9</v>
      </c>
      <c r="J278" s="42" t="str">
        <f t="shared" si="57"/>
        <v>Violation</v>
      </c>
      <c r="K278" s="42" t="str">
        <f t="shared" si="58"/>
        <v>Compliant</v>
      </c>
      <c r="L278" s="42" t="str">
        <f t="shared" si="59"/>
        <v>n/a</v>
      </c>
      <c r="M278" s="42" t="str">
        <f t="shared" si="60"/>
        <v>n/a</v>
      </c>
      <c r="N278" s="42" t="str">
        <f t="shared" si="61"/>
        <v>n/a</v>
      </c>
      <c r="O278" s="42" t="str">
        <f t="shared" si="62"/>
        <v>n/a</v>
      </c>
      <c r="P278" s="42" t="str">
        <f t="shared" si="63"/>
        <v>Compliant</v>
      </c>
      <c r="Q278" s="42" t="str">
        <f t="shared" si="64"/>
        <v>Compliant</v>
      </c>
      <c r="R278" s="42" t="str">
        <f t="shared" si="65"/>
        <v>Violation</v>
      </c>
      <c r="S278" s="36" t="str">
        <f t="shared" si="66"/>
        <v>TP-01</v>
      </c>
      <c r="T278" s="42" t="str">
        <f t="shared" si="67"/>
        <v/>
      </c>
      <c r="U278" s="42" t="str">
        <f t="shared" si="68"/>
        <v>Definite</v>
      </c>
      <c r="V278" s="42" t="str">
        <f t="shared" si="69"/>
        <v/>
      </c>
      <c r="W278" s="42" t="str">
        <f t="shared" si="70"/>
        <v/>
      </c>
    </row>
    <row r="279" spans="1:23" ht="15" hidden="1" customHeight="1" x14ac:dyDescent="0.25">
      <c r="A279" s="36" t="str">
        <f>Claims!A275</f>
        <v>EXP00274</v>
      </c>
      <c r="B279" s="36" t="str">
        <f>Claims!D275</f>
        <v>M5</v>
      </c>
      <c r="C279" s="36" t="str">
        <f>Claims!E275</f>
        <v>Flight</v>
      </c>
      <c r="D279" s="36" t="str">
        <f>Claims!G275</f>
        <v>Non-metro</v>
      </c>
      <c r="E279" s="40">
        <f>Claims!H275</f>
        <v>18031</v>
      </c>
      <c r="F279" s="36" t="str">
        <f>Claims!K275</f>
        <v>Yes</v>
      </c>
      <c r="G279" s="36">
        <f>IF(Claims!M275="","",Claims!M275)</f>
        <v>6</v>
      </c>
      <c r="H279" s="36" t="str">
        <f>IF(Claims!N275="","",Claims!N275)</f>
        <v>Economy</v>
      </c>
      <c r="I279" s="41">
        <f>Claims!J275-Claims!I275</f>
        <v>2</v>
      </c>
      <c r="J279" s="42" t="str">
        <f t="shared" si="57"/>
        <v>Compliant</v>
      </c>
      <c r="K279" s="42" t="str">
        <f t="shared" si="58"/>
        <v>Violation</v>
      </c>
      <c r="L279" s="42" t="str">
        <f t="shared" si="59"/>
        <v>n/a</v>
      </c>
      <c r="M279" s="42" t="str">
        <f t="shared" si="60"/>
        <v>n/a</v>
      </c>
      <c r="N279" s="42" t="str">
        <f t="shared" si="61"/>
        <v>n/a</v>
      </c>
      <c r="O279" s="42" t="str">
        <f t="shared" si="62"/>
        <v>n/a</v>
      </c>
      <c r="P279" s="42" t="str">
        <f t="shared" si="63"/>
        <v>Compliant</v>
      </c>
      <c r="Q279" s="42" t="str">
        <f t="shared" si="64"/>
        <v>Compliant</v>
      </c>
      <c r="R279" s="42" t="str">
        <f t="shared" si="65"/>
        <v>Violation</v>
      </c>
      <c r="S279" s="36" t="str">
        <f t="shared" si="66"/>
        <v>TP-02</v>
      </c>
      <c r="T279" s="42" t="str">
        <f t="shared" si="67"/>
        <v/>
      </c>
      <c r="U279" s="42" t="str">
        <f t="shared" si="68"/>
        <v>Assumption-based</v>
      </c>
      <c r="V279" s="42" t="str">
        <f t="shared" si="69"/>
        <v/>
      </c>
      <c r="W279" s="42" t="str">
        <f t="shared" si="70"/>
        <v>Needs approval</v>
      </c>
    </row>
    <row r="280" spans="1:23" ht="15" hidden="1" customHeight="1" x14ac:dyDescent="0.25">
      <c r="A280" s="36" t="str">
        <f>Claims!A276</f>
        <v>EXP00275</v>
      </c>
      <c r="B280" s="36" t="str">
        <f>Claims!D276</f>
        <v>M2</v>
      </c>
      <c r="C280" s="36" t="str">
        <f>Claims!E276</f>
        <v>Stationery</v>
      </c>
      <c r="D280" s="36" t="str">
        <f>Claims!G276</f>
        <v>Non-metro</v>
      </c>
      <c r="E280" s="40">
        <f>Claims!H276</f>
        <v>843</v>
      </c>
      <c r="F280" s="36" t="str">
        <f>Claims!K276</f>
        <v>Yes</v>
      </c>
      <c r="G280" s="36" t="str">
        <f>IF(Claims!M276="","",Claims!M276)</f>
        <v/>
      </c>
      <c r="H280" s="36" t="str">
        <f>IF(Claims!N276="","",Claims!N276)</f>
        <v/>
      </c>
      <c r="I280" s="41">
        <f>Claims!J276-Claims!I276</f>
        <v>2</v>
      </c>
      <c r="J280" s="42" t="str">
        <f t="shared" si="57"/>
        <v>n/a</v>
      </c>
      <c r="K280" s="42" t="str">
        <f t="shared" si="58"/>
        <v>n/a</v>
      </c>
      <c r="L280" s="42" t="str">
        <f t="shared" si="59"/>
        <v>n/a</v>
      </c>
      <c r="M280" s="42" t="str">
        <f t="shared" si="60"/>
        <v>n/a</v>
      </c>
      <c r="N280" s="42" t="str">
        <f t="shared" si="61"/>
        <v>n/a</v>
      </c>
      <c r="O280" s="42" t="str">
        <f t="shared" si="62"/>
        <v>n/a</v>
      </c>
      <c r="P280" s="42" t="str">
        <f t="shared" si="63"/>
        <v>Compliant</v>
      </c>
      <c r="Q280" s="42" t="str">
        <f t="shared" si="64"/>
        <v>Compliant</v>
      </c>
      <c r="R280" s="42" t="str">
        <f t="shared" si="65"/>
        <v>Compliant</v>
      </c>
      <c r="S280" s="36" t="str">
        <f t="shared" si="66"/>
        <v/>
      </c>
      <c r="T280" s="42" t="str">
        <f t="shared" si="67"/>
        <v/>
      </c>
      <c r="U280" s="42" t="str">
        <f t="shared" si="68"/>
        <v/>
      </c>
      <c r="V280" s="42" t="str">
        <f t="shared" si="69"/>
        <v/>
      </c>
      <c r="W280" s="42" t="str">
        <f t="shared" si="70"/>
        <v/>
      </c>
    </row>
    <row r="281" spans="1:23" ht="15" hidden="1" customHeight="1" x14ac:dyDescent="0.25">
      <c r="A281" s="36" t="str">
        <f>Claims!A277</f>
        <v>EXP00276</v>
      </c>
      <c r="B281" s="36" t="str">
        <f>Claims!D277</f>
        <v>M2</v>
      </c>
      <c r="C281" s="36" t="str">
        <f>Claims!E277</f>
        <v>Meals/DA</v>
      </c>
      <c r="D281" s="36" t="str">
        <f>Claims!G277</f>
        <v>Metro</v>
      </c>
      <c r="E281" s="40">
        <f>Claims!H277</f>
        <v>1870</v>
      </c>
      <c r="F281" s="36" t="str">
        <f>Claims!K277</f>
        <v>Yes</v>
      </c>
      <c r="G281" s="36" t="str">
        <f>IF(Claims!M277="","",Claims!M277)</f>
        <v/>
      </c>
      <c r="H281" s="36" t="str">
        <f>IF(Claims!N277="","",Claims!N277)</f>
        <v/>
      </c>
      <c r="I281" s="41">
        <f>Claims!J277-Claims!I277</f>
        <v>2</v>
      </c>
      <c r="J281" s="42" t="str">
        <f t="shared" si="57"/>
        <v>n/a</v>
      </c>
      <c r="K281" s="42" t="str">
        <f t="shared" si="58"/>
        <v>n/a</v>
      </c>
      <c r="L281" s="42" t="str">
        <f t="shared" si="59"/>
        <v>n/a</v>
      </c>
      <c r="M281" s="42" t="str">
        <f t="shared" si="60"/>
        <v>n/a</v>
      </c>
      <c r="N281" s="42" t="str">
        <f t="shared" si="61"/>
        <v>Violation</v>
      </c>
      <c r="O281" s="42" t="str">
        <f t="shared" si="62"/>
        <v>n/a</v>
      </c>
      <c r="P281" s="42" t="str">
        <f t="shared" si="63"/>
        <v>Compliant</v>
      </c>
      <c r="Q281" s="42" t="str">
        <f t="shared" si="64"/>
        <v>Compliant</v>
      </c>
      <c r="R281" s="42" t="str">
        <f t="shared" si="65"/>
        <v>Violation</v>
      </c>
      <c r="S281" s="36" t="str">
        <f t="shared" si="66"/>
        <v>TP-06</v>
      </c>
      <c r="T281" s="42" t="str">
        <f t="shared" si="67"/>
        <v/>
      </c>
      <c r="U281" s="42" t="str">
        <f t="shared" si="68"/>
        <v>Assumption-based</v>
      </c>
      <c r="V281" s="42">
        <f t="shared" si="69"/>
        <v>2</v>
      </c>
      <c r="W281" s="42" t="str">
        <f t="shared" si="70"/>
        <v>Needs days</v>
      </c>
    </row>
    <row r="282" spans="1:23" ht="15" hidden="1" customHeight="1" x14ac:dyDescent="0.25">
      <c r="A282" s="36" t="str">
        <f>Claims!A278</f>
        <v>EXP00277</v>
      </c>
      <c r="B282" s="36" t="str">
        <f>Claims!D278</f>
        <v>M2</v>
      </c>
      <c r="C282" s="36" t="str">
        <f>Claims!E278</f>
        <v>Local Cab</v>
      </c>
      <c r="D282" s="36" t="str">
        <f>Claims!G278</f>
        <v>Non-metro</v>
      </c>
      <c r="E282" s="40">
        <f>Claims!H278</f>
        <v>2045</v>
      </c>
      <c r="F282" s="36" t="str">
        <f>Claims!K278</f>
        <v>Yes</v>
      </c>
      <c r="G282" s="36" t="str">
        <f>IF(Claims!M278="","",Claims!M278)</f>
        <v/>
      </c>
      <c r="H282" s="36" t="str">
        <f>IF(Claims!N278="","",Claims!N278)</f>
        <v/>
      </c>
      <c r="I282" s="41">
        <f>Claims!J278-Claims!I278</f>
        <v>2</v>
      </c>
      <c r="J282" s="42" t="str">
        <f t="shared" si="57"/>
        <v>n/a</v>
      </c>
      <c r="K282" s="42" t="str">
        <f t="shared" si="58"/>
        <v>n/a</v>
      </c>
      <c r="L282" s="42" t="str">
        <f t="shared" si="59"/>
        <v>n/a</v>
      </c>
      <c r="M282" s="42" t="str">
        <f t="shared" si="60"/>
        <v>n/a</v>
      </c>
      <c r="N282" s="42" t="str">
        <f t="shared" si="61"/>
        <v>n/a</v>
      </c>
      <c r="O282" s="42" t="str">
        <f t="shared" si="62"/>
        <v>n/a</v>
      </c>
      <c r="P282" s="42" t="str">
        <f t="shared" si="63"/>
        <v>Compliant</v>
      </c>
      <c r="Q282" s="42" t="str">
        <f t="shared" si="64"/>
        <v>Compliant</v>
      </c>
      <c r="R282" s="42" t="str">
        <f t="shared" si="65"/>
        <v>Compliant</v>
      </c>
      <c r="S282" s="36" t="str">
        <f t="shared" si="66"/>
        <v/>
      </c>
      <c r="T282" s="42" t="str">
        <f t="shared" si="67"/>
        <v/>
      </c>
      <c r="U282" s="42" t="str">
        <f t="shared" si="68"/>
        <v/>
      </c>
      <c r="V282" s="42" t="str">
        <f t="shared" si="69"/>
        <v/>
      </c>
      <c r="W282" s="42" t="str">
        <f t="shared" si="70"/>
        <v/>
      </c>
    </row>
    <row r="283" spans="1:23" ht="15" hidden="1" customHeight="1" x14ac:dyDescent="0.25">
      <c r="A283" s="36" t="str">
        <f>Claims!A279</f>
        <v>EXP00278</v>
      </c>
      <c r="B283" s="36" t="str">
        <f>Claims!D279</f>
        <v>M2</v>
      </c>
      <c r="C283" s="36" t="str">
        <f>Claims!E279</f>
        <v>Hotel</v>
      </c>
      <c r="D283" s="36" t="str">
        <f>Claims!G279</f>
        <v>Non-metro</v>
      </c>
      <c r="E283" s="40">
        <f>Claims!H279</f>
        <v>7755</v>
      </c>
      <c r="F283" s="36" t="str">
        <f>Claims!K279</f>
        <v>No</v>
      </c>
      <c r="G283" s="36" t="str">
        <f>IF(Claims!M279="","",Claims!M279)</f>
        <v/>
      </c>
      <c r="H283" s="36" t="str">
        <f>IF(Claims!N279="","",Claims!N279)</f>
        <v/>
      </c>
      <c r="I283" s="41">
        <f>Claims!J279-Claims!I279</f>
        <v>9</v>
      </c>
      <c r="J283" s="42" t="str">
        <f t="shared" si="57"/>
        <v>n/a</v>
      </c>
      <c r="K283" s="42" t="str">
        <f t="shared" si="58"/>
        <v>n/a</v>
      </c>
      <c r="L283" s="42" t="str">
        <f t="shared" si="59"/>
        <v>n/a</v>
      </c>
      <c r="M283" s="42" t="str">
        <f t="shared" si="60"/>
        <v>Violation</v>
      </c>
      <c r="N283" s="42" t="str">
        <f t="shared" si="61"/>
        <v>n/a</v>
      </c>
      <c r="O283" s="42" t="str">
        <f t="shared" si="62"/>
        <v>n/a</v>
      </c>
      <c r="P283" s="42" t="str">
        <f t="shared" si="63"/>
        <v>Violation</v>
      </c>
      <c r="Q283" s="42" t="str">
        <f t="shared" si="64"/>
        <v>Compliant</v>
      </c>
      <c r="R283" s="42" t="str">
        <f t="shared" si="65"/>
        <v>Violation</v>
      </c>
      <c r="S283" s="36" t="str">
        <f t="shared" si="66"/>
        <v>TP-05, TP-09</v>
      </c>
      <c r="T283" s="42" t="str">
        <f t="shared" si="67"/>
        <v/>
      </c>
      <c r="U283" s="42" t="str">
        <f t="shared" si="68"/>
        <v>Definite</v>
      </c>
      <c r="V283" s="42">
        <f t="shared" si="69"/>
        <v>2</v>
      </c>
      <c r="W283" s="42" t="str">
        <f t="shared" si="70"/>
        <v>Needs nights</v>
      </c>
    </row>
    <row r="284" spans="1:23" ht="15" hidden="1" customHeight="1" x14ac:dyDescent="0.25">
      <c r="A284" s="36" t="str">
        <f>Claims!A280</f>
        <v>EXP00279</v>
      </c>
      <c r="B284" s="36" t="str">
        <f>Claims!D280</f>
        <v>M3</v>
      </c>
      <c r="C284" s="36" t="str">
        <f>Claims!E280</f>
        <v>Train</v>
      </c>
      <c r="D284" s="36" t="str">
        <f>Claims!G280</f>
        <v>Metro</v>
      </c>
      <c r="E284" s="40">
        <f>Claims!H280</f>
        <v>1823</v>
      </c>
      <c r="F284" s="36" t="str">
        <f>Claims!K280</f>
        <v>Yes</v>
      </c>
      <c r="G284" s="36" t="str">
        <f>IF(Claims!M280="","",Claims!M280)</f>
        <v/>
      </c>
      <c r="H284" s="36" t="str">
        <f>IF(Claims!N280="","",Claims!N280)</f>
        <v/>
      </c>
      <c r="I284" s="41">
        <f>Claims!J280-Claims!I280</f>
        <v>5</v>
      </c>
      <c r="J284" s="42" t="str">
        <f t="shared" si="57"/>
        <v>n/a</v>
      </c>
      <c r="K284" s="42" t="str">
        <f t="shared" si="58"/>
        <v>n/a</v>
      </c>
      <c r="L284" s="42" t="str">
        <f t="shared" si="59"/>
        <v>n/a</v>
      </c>
      <c r="M284" s="42" t="str">
        <f t="shared" si="60"/>
        <v>n/a</v>
      </c>
      <c r="N284" s="42" t="str">
        <f t="shared" si="61"/>
        <v>n/a</v>
      </c>
      <c r="O284" s="42" t="str">
        <f t="shared" si="62"/>
        <v>n/a</v>
      </c>
      <c r="P284" s="42" t="str">
        <f t="shared" si="63"/>
        <v>Compliant</v>
      </c>
      <c r="Q284" s="42" t="str">
        <f t="shared" si="64"/>
        <v>Compliant</v>
      </c>
      <c r="R284" s="42" t="str">
        <f t="shared" si="65"/>
        <v>Compliant</v>
      </c>
      <c r="S284" s="36" t="str">
        <f t="shared" si="66"/>
        <v/>
      </c>
      <c r="T284" s="42" t="str">
        <f t="shared" si="67"/>
        <v/>
      </c>
      <c r="U284" s="42" t="str">
        <f t="shared" si="68"/>
        <v/>
      </c>
      <c r="V284" s="42" t="str">
        <f t="shared" si="69"/>
        <v/>
      </c>
      <c r="W284" s="42" t="str">
        <f t="shared" si="70"/>
        <v/>
      </c>
    </row>
    <row r="285" spans="1:23" ht="15" hidden="1" customHeight="1" x14ac:dyDescent="0.25">
      <c r="A285" s="36" t="str">
        <f>Claims!A281</f>
        <v>EXP00280</v>
      </c>
      <c r="B285" s="36" t="str">
        <f>Claims!D281</f>
        <v>M3</v>
      </c>
      <c r="C285" s="36" t="str">
        <f>Claims!E281</f>
        <v>Hotel</v>
      </c>
      <c r="D285" s="36" t="str">
        <f>Claims!G281</f>
        <v>Metro</v>
      </c>
      <c r="E285" s="40">
        <f>Claims!H281</f>
        <v>14938</v>
      </c>
      <c r="F285" s="36" t="str">
        <f>Claims!K281</f>
        <v>Yes</v>
      </c>
      <c r="G285" s="36" t="str">
        <f>IF(Claims!M281="","",Claims!M281)</f>
        <v/>
      </c>
      <c r="H285" s="36" t="str">
        <f>IF(Claims!N281="","",Claims!N281)</f>
        <v/>
      </c>
      <c r="I285" s="41">
        <f>Claims!J281-Claims!I281</f>
        <v>5</v>
      </c>
      <c r="J285" s="42" t="str">
        <f t="shared" si="57"/>
        <v>n/a</v>
      </c>
      <c r="K285" s="42" t="str">
        <f t="shared" si="58"/>
        <v>n/a</v>
      </c>
      <c r="L285" s="42" t="str">
        <f t="shared" si="59"/>
        <v>Violation</v>
      </c>
      <c r="M285" s="42" t="str">
        <f t="shared" si="60"/>
        <v>n/a</v>
      </c>
      <c r="N285" s="42" t="str">
        <f t="shared" si="61"/>
        <v>n/a</v>
      </c>
      <c r="O285" s="42" t="str">
        <f t="shared" si="62"/>
        <v>n/a</v>
      </c>
      <c r="P285" s="42" t="str">
        <f t="shared" si="63"/>
        <v>Compliant</v>
      </c>
      <c r="Q285" s="42" t="str">
        <f t="shared" si="64"/>
        <v>Compliant</v>
      </c>
      <c r="R285" s="42" t="str">
        <f t="shared" si="65"/>
        <v>Violation</v>
      </c>
      <c r="S285" s="36" t="str">
        <f t="shared" si="66"/>
        <v>TP-04</v>
      </c>
      <c r="T285" s="42" t="str">
        <f t="shared" si="67"/>
        <v/>
      </c>
      <c r="U285" s="42" t="str">
        <f t="shared" si="68"/>
        <v>Assumption-based</v>
      </c>
      <c r="V285" s="42">
        <f t="shared" si="69"/>
        <v>2</v>
      </c>
      <c r="W285" s="42" t="str">
        <f t="shared" si="70"/>
        <v>Needs nights</v>
      </c>
    </row>
    <row r="286" spans="1:23" ht="15" hidden="1" customHeight="1" x14ac:dyDescent="0.25">
      <c r="A286" s="36" t="str">
        <f>Claims!A282</f>
        <v>EXP00281</v>
      </c>
      <c r="B286" s="36" t="str">
        <f>Claims!D282</f>
        <v>M2</v>
      </c>
      <c r="C286" s="36" t="str">
        <f>Claims!E282</f>
        <v>Local Cab</v>
      </c>
      <c r="D286" s="36" t="str">
        <f>Claims!G282</f>
        <v>Non-metro</v>
      </c>
      <c r="E286" s="40">
        <f>Claims!H282</f>
        <v>1032</v>
      </c>
      <c r="F286" s="36" t="str">
        <f>Claims!K282</f>
        <v>Yes</v>
      </c>
      <c r="G286" s="36" t="str">
        <f>IF(Claims!M282="","",Claims!M282)</f>
        <v/>
      </c>
      <c r="H286" s="36" t="str">
        <f>IF(Claims!N282="","",Claims!N282)</f>
        <v/>
      </c>
      <c r="I286" s="41">
        <f>Claims!J282-Claims!I282</f>
        <v>2</v>
      </c>
      <c r="J286" s="42" t="str">
        <f t="shared" si="57"/>
        <v>n/a</v>
      </c>
      <c r="K286" s="42" t="str">
        <f t="shared" si="58"/>
        <v>n/a</v>
      </c>
      <c r="L286" s="42" t="str">
        <f t="shared" si="59"/>
        <v>n/a</v>
      </c>
      <c r="M286" s="42" t="str">
        <f t="shared" si="60"/>
        <v>n/a</v>
      </c>
      <c r="N286" s="42" t="str">
        <f t="shared" si="61"/>
        <v>n/a</v>
      </c>
      <c r="O286" s="42" t="str">
        <f t="shared" si="62"/>
        <v>n/a</v>
      </c>
      <c r="P286" s="42" t="str">
        <f t="shared" si="63"/>
        <v>Compliant</v>
      </c>
      <c r="Q286" s="42" t="str">
        <f t="shared" si="64"/>
        <v>Compliant</v>
      </c>
      <c r="R286" s="42" t="str">
        <f t="shared" si="65"/>
        <v>Compliant</v>
      </c>
      <c r="S286" s="36" t="str">
        <f t="shared" si="66"/>
        <v/>
      </c>
      <c r="T286" s="42" t="str">
        <f t="shared" si="67"/>
        <v/>
      </c>
      <c r="U286" s="42" t="str">
        <f t="shared" si="68"/>
        <v/>
      </c>
      <c r="V286" s="42" t="str">
        <f t="shared" si="69"/>
        <v/>
      </c>
      <c r="W286" s="42" t="str">
        <f t="shared" si="70"/>
        <v/>
      </c>
    </row>
    <row r="287" spans="1:23" ht="15" hidden="1" customHeight="1" x14ac:dyDescent="0.25">
      <c r="A287" s="36" t="str">
        <f>Claims!A283</f>
        <v>EXP00282</v>
      </c>
      <c r="B287" s="36" t="str">
        <f>Claims!D283</f>
        <v>M2</v>
      </c>
      <c r="C287" s="36" t="str">
        <f>Claims!E283</f>
        <v>Meals/DA</v>
      </c>
      <c r="D287" s="36" t="str">
        <f>Claims!G283</f>
        <v>Metro</v>
      </c>
      <c r="E287" s="40">
        <f>Claims!H283</f>
        <v>1741</v>
      </c>
      <c r="F287" s="36" t="str">
        <f>Claims!K283</f>
        <v>Yes</v>
      </c>
      <c r="G287" s="36" t="str">
        <f>IF(Claims!M283="","",Claims!M283)</f>
        <v/>
      </c>
      <c r="H287" s="36" t="str">
        <f>IF(Claims!N283="","",Claims!N283)</f>
        <v/>
      </c>
      <c r="I287" s="41">
        <f>Claims!J283-Claims!I283</f>
        <v>5</v>
      </c>
      <c r="J287" s="42" t="str">
        <f t="shared" si="57"/>
        <v>n/a</v>
      </c>
      <c r="K287" s="42" t="str">
        <f t="shared" si="58"/>
        <v>n/a</v>
      </c>
      <c r="L287" s="42" t="str">
        <f t="shared" si="59"/>
        <v>n/a</v>
      </c>
      <c r="M287" s="42" t="str">
        <f t="shared" si="60"/>
        <v>n/a</v>
      </c>
      <c r="N287" s="42" t="str">
        <f t="shared" si="61"/>
        <v>Violation</v>
      </c>
      <c r="O287" s="42" t="str">
        <f t="shared" si="62"/>
        <v>n/a</v>
      </c>
      <c r="P287" s="42" t="str">
        <f t="shared" si="63"/>
        <v>Compliant</v>
      </c>
      <c r="Q287" s="42" t="str">
        <f t="shared" si="64"/>
        <v>Compliant</v>
      </c>
      <c r="R287" s="42" t="str">
        <f t="shared" si="65"/>
        <v>Violation</v>
      </c>
      <c r="S287" s="36" t="str">
        <f t="shared" si="66"/>
        <v>TP-06</v>
      </c>
      <c r="T287" s="42" t="str">
        <f t="shared" si="67"/>
        <v/>
      </c>
      <c r="U287" s="42" t="str">
        <f t="shared" si="68"/>
        <v>Assumption-based</v>
      </c>
      <c r="V287" s="42">
        <f t="shared" si="69"/>
        <v>2</v>
      </c>
      <c r="W287" s="42" t="str">
        <f t="shared" si="70"/>
        <v>Needs days</v>
      </c>
    </row>
    <row r="288" spans="1:23" ht="15" hidden="1" customHeight="1" x14ac:dyDescent="0.25">
      <c r="A288" s="36" t="str">
        <f>Claims!A284</f>
        <v>EXP00283</v>
      </c>
      <c r="B288" s="36" t="str">
        <f>Claims!D284</f>
        <v>M2</v>
      </c>
      <c r="C288" s="36" t="str">
        <f>Claims!E284</f>
        <v>Train</v>
      </c>
      <c r="D288" s="36" t="str">
        <f>Claims!G284</f>
        <v>Non-metro</v>
      </c>
      <c r="E288" s="40">
        <f>Claims!H284</f>
        <v>984</v>
      </c>
      <c r="F288" s="36" t="str">
        <f>Claims!K284</f>
        <v>Yes</v>
      </c>
      <c r="G288" s="36" t="str">
        <f>IF(Claims!M284="","",Claims!M284)</f>
        <v/>
      </c>
      <c r="H288" s="36" t="str">
        <f>IF(Claims!N284="","",Claims!N284)</f>
        <v/>
      </c>
      <c r="I288" s="41">
        <f>Claims!J284-Claims!I284</f>
        <v>20</v>
      </c>
      <c r="J288" s="42" t="str">
        <f t="shared" si="57"/>
        <v>n/a</v>
      </c>
      <c r="K288" s="42" t="str">
        <f t="shared" si="58"/>
        <v>n/a</v>
      </c>
      <c r="L288" s="42" t="str">
        <f t="shared" si="59"/>
        <v>n/a</v>
      </c>
      <c r="M288" s="42" t="str">
        <f t="shared" si="60"/>
        <v>n/a</v>
      </c>
      <c r="N288" s="42" t="str">
        <f t="shared" si="61"/>
        <v>n/a</v>
      </c>
      <c r="O288" s="42" t="str">
        <f t="shared" si="62"/>
        <v>n/a</v>
      </c>
      <c r="P288" s="42" t="str">
        <f t="shared" si="63"/>
        <v>Compliant</v>
      </c>
      <c r="Q288" s="42" t="str">
        <f t="shared" si="64"/>
        <v>Violation</v>
      </c>
      <c r="R288" s="42" t="str">
        <f t="shared" si="65"/>
        <v>Violation</v>
      </c>
      <c r="S288" s="36" t="str">
        <f t="shared" si="66"/>
        <v>TP-10</v>
      </c>
      <c r="T288" s="42" t="str">
        <f t="shared" si="67"/>
        <v>Late</v>
      </c>
      <c r="U288" s="42" t="str">
        <f t="shared" si="68"/>
        <v>Definite</v>
      </c>
      <c r="V288" s="42" t="str">
        <f t="shared" si="69"/>
        <v/>
      </c>
      <c r="W288" s="42" t="str">
        <f t="shared" si="70"/>
        <v/>
      </c>
    </row>
    <row r="289" spans="1:23" ht="15" hidden="1" customHeight="1" x14ac:dyDescent="0.25">
      <c r="A289" s="36" t="str">
        <f>Claims!A285</f>
        <v>EXP00284</v>
      </c>
      <c r="B289" s="36" t="str">
        <f>Claims!D285</f>
        <v>M3</v>
      </c>
      <c r="C289" s="36" t="str">
        <f>Claims!E285</f>
        <v>Stationery</v>
      </c>
      <c r="D289" s="36" t="str">
        <f>Claims!G285</f>
        <v>Metro</v>
      </c>
      <c r="E289" s="40">
        <f>Claims!H285</f>
        <v>347</v>
      </c>
      <c r="F289" s="36" t="str">
        <f>Claims!K285</f>
        <v>No</v>
      </c>
      <c r="G289" s="36" t="str">
        <f>IF(Claims!M285="","",Claims!M285)</f>
        <v/>
      </c>
      <c r="H289" s="36" t="str">
        <f>IF(Claims!N285="","",Claims!N285)</f>
        <v/>
      </c>
      <c r="I289" s="41">
        <f>Claims!J285-Claims!I285</f>
        <v>35</v>
      </c>
      <c r="J289" s="42" t="str">
        <f t="shared" si="57"/>
        <v>n/a</v>
      </c>
      <c r="K289" s="42" t="str">
        <f t="shared" si="58"/>
        <v>n/a</v>
      </c>
      <c r="L289" s="42" t="str">
        <f t="shared" si="59"/>
        <v>n/a</v>
      </c>
      <c r="M289" s="42" t="str">
        <f t="shared" si="60"/>
        <v>n/a</v>
      </c>
      <c r="N289" s="42" t="str">
        <f t="shared" si="61"/>
        <v>n/a</v>
      </c>
      <c r="O289" s="42" t="str">
        <f t="shared" si="62"/>
        <v>n/a</v>
      </c>
      <c r="P289" s="42" t="str">
        <f t="shared" si="63"/>
        <v>Compliant</v>
      </c>
      <c r="Q289" s="42" t="str">
        <f t="shared" si="64"/>
        <v>Violation</v>
      </c>
      <c r="R289" s="42" t="str">
        <f t="shared" si="65"/>
        <v>Violation</v>
      </c>
      <c r="S289" s="36" t="str">
        <f t="shared" si="66"/>
        <v>TP-10</v>
      </c>
      <c r="T289" s="42" t="str">
        <f t="shared" si="67"/>
        <v>Late</v>
      </c>
      <c r="U289" s="42" t="str">
        <f t="shared" si="68"/>
        <v>Definite</v>
      </c>
      <c r="V289" s="42" t="str">
        <f t="shared" si="69"/>
        <v/>
      </c>
      <c r="W289" s="42" t="str">
        <f t="shared" si="70"/>
        <v/>
      </c>
    </row>
    <row r="290" spans="1:23" ht="15" hidden="1" customHeight="1" x14ac:dyDescent="0.25">
      <c r="A290" s="36" t="str">
        <f>Claims!A286</f>
        <v>EXP00285</v>
      </c>
      <c r="B290" s="36" t="str">
        <f>Claims!D286</f>
        <v>M1</v>
      </c>
      <c r="C290" s="36" t="str">
        <f>Claims!E286</f>
        <v>Meals/DA</v>
      </c>
      <c r="D290" s="36" t="str">
        <f>Claims!G286</f>
        <v>Non-metro</v>
      </c>
      <c r="E290" s="40">
        <f>Claims!H286</f>
        <v>1646</v>
      </c>
      <c r="F290" s="36" t="str">
        <f>Claims!K286</f>
        <v>Yes</v>
      </c>
      <c r="G290" s="36" t="str">
        <f>IF(Claims!M286="","",Claims!M286)</f>
        <v/>
      </c>
      <c r="H290" s="36" t="str">
        <f>IF(Claims!N286="","",Claims!N286)</f>
        <v/>
      </c>
      <c r="I290" s="41">
        <f>Claims!J286-Claims!I286</f>
        <v>14</v>
      </c>
      <c r="J290" s="42" t="str">
        <f t="shared" si="57"/>
        <v>n/a</v>
      </c>
      <c r="K290" s="42" t="str">
        <f t="shared" si="58"/>
        <v>n/a</v>
      </c>
      <c r="L290" s="42" t="str">
        <f t="shared" si="59"/>
        <v>n/a</v>
      </c>
      <c r="M290" s="42" t="str">
        <f t="shared" si="60"/>
        <v>n/a</v>
      </c>
      <c r="N290" s="42" t="str">
        <f t="shared" si="61"/>
        <v>Violation</v>
      </c>
      <c r="O290" s="42" t="str">
        <f t="shared" si="62"/>
        <v>n/a</v>
      </c>
      <c r="P290" s="42" t="str">
        <f t="shared" si="63"/>
        <v>Compliant</v>
      </c>
      <c r="Q290" s="42" t="str">
        <f t="shared" si="64"/>
        <v>Compliant</v>
      </c>
      <c r="R290" s="42" t="str">
        <f t="shared" si="65"/>
        <v>Violation</v>
      </c>
      <c r="S290" s="36" t="str">
        <f t="shared" si="66"/>
        <v>TP-06</v>
      </c>
      <c r="T290" s="42" t="str">
        <f t="shared" si="67"/>
        <v/>
      </c>
      <c r="U290" s="42" t="str">
        <f t="shared" si="68"/>
        <v>Assumption-based</v>
      </c>
      <c r="V290" s="42">
        <f t="shared" si="69"/>
        <v>2</v>
      </c>
      <c r="W290" s="42" t="str">
        <f t="shared" si="70"/>
        <v>Needs days</v>
      </c>
    </row>
    <row r="291" spans="1:23" ht="15" hidden="1" customHeight="1" x14ac:dyDescent="0.25">
      <c r="A291" s="36" t="str">
        <f>Claims!A287</f>
        <v>EXP00286</v>
      </c>
      <c r="B291" s="36" t="str">
        <f>Claims!D287</f>
        <v>M3</v>
      </c>
      <c r="C291" s="36" t="str">
        <f>Claims!E287</f>
        <v>Meals/DA</v>
      </c>
      <c r="D291" s="36" t="str">
        <f>Claims!G287</f>
        <v>Non-metro</v>
      </c>
      <c r="E291" s="40">
        <f>Claims!H287</f>
        <v>919</v>
      </c>
      <c r="F291" s="36" t="str">
        <f>Claims!K287</f>
        <v>Yes</v>
      </c>
      <c r="G291" s="36" t="str">
        <f>IF(Claims!M287="","",Claims!M287)</f>
        <v/>
      </c>
      <c r="H291" s="36" t="str">
        <f>IF(Claims!N287="","",Claims!N287)</f>
        <v/>
      </c>
      <c r="I291" s="41">
        <f>Claims!J287-Claims!I287</f>
        <v>9</v>
      </c>
      <c r="J291" s="42" t="str">
        <f t="shared" si="57"/>
        <v>n/a</v>
      </c>
      <c r="K291" s="42" t="str">
        <f t="shared" si="58"/>
        <v>n/a</v>
      </c>
      <c r="L291" s="42" t="str">
        <f t="shared" si="59"/>
        <v>n/a</v>
      </c>
      <c r="M291" s="42" t="str">
        <f t="shared" si="60"/>
        <v>n/a</v>
      </c>
      <c r="N291" s="42" t="str">
        <f t="shared" si="61"/>
        <v>Violation</v>
      </c>
      <c r="O291" s="42" t="str">
        <f t="shared" si="62"/>
        <v>n/a</v>
      </c>
      <c r="P291" s="42" t="str">
        <f t="shared" si="63"/>
        <v>Compliant</v>
      </c>
      <c r="Q291" s="42" t="str">
        <f t="shared" si="64"/>
        <v>Compliant</v>
      </c>
      <c r="R291" s="42" t="str">
        <f t="shared" si="65"/>
        <v>Violation</v>
      </c>
      <c r="S291" s="36" t="str">
        <f t="shared" si="66"/>
        <v>TP-06</v>
      </c>
      <c r="T291" s="42" t="str">
        <f t="shared" si="67"/>
        <v/>
      </c>
      <c r="U291" s="42" t="str">
        <f t="shared" si="68"/>
        <v>Assumption-based</v>
      </c>
      <c r="V291" s="42">
        <f t="shared" si="69"/>
        <v>2</v>
      </c>
      <c r="W291" s="42" t="str">
        <f t="shared" si="70"/>
        <v>Needs days</v>
      </c>
    </row>
    <row r="292" spans="1:23" ht="15" hidden="1" customHeight="1" x14ac:dyDescent="0.25">
      <c r="A292" s="36" t="str">
        <f>Claims!A288</f>
        <v>EXP00287</v>
      </c>
      <c r="B292" s="36" t="str">
        <f>Claims!D288</f>
        <v>M1</v>
      </c>
      <c r="C292" s="36" t="str">
        <f>Claims!E288</f>
        <v>Local Cab</v>
      </c>
      <c r="D292" s="36" t="str">
        <f>Claims!G288</f>
        <v>Non-metro</v>
      </c>
      <c r="E292" s="40">
        <f>Claims!H288</f>
        <v>2000</v>
      </c>
      <c r="F292" s="36" t="str">
        <f>Claims!K288</f>
        <v>Yes</v>
      </c>
      <c r="G292" s="36" t="str">
        <f>IF(Claims!M288="","",Claims!M288)</f>
        <v/>
      </c>
      <c r="H292" s="36" t="str">
        <f>IF(Claims!N288="","",Claims!N288)</f>
        <v/>
      </c>
      <c r="I292" s="41">
        <f>Claims!J288-Claims!I288</f>
        <v>5</v>
      </c>
      <c r="J292" s="42" t="str">
        <f t="shared" si="57"/>
        <v>n/a</v>
      </c>
      <c r="K292" s="42" t="str">
        <f t="shared" si="58"/>
        <v>n/a</v>
      </c>
      <c r="L292" s="42" t="str">
        <f t="shared" si="59"/>
        <v>n/a</v>
      </c>
      <c r="M292" s="42" t="str">
        <f t="shared" si="60"/>
        <v>n/a</v>
      </c>
      <c r="N292" s="42" t="str">
        <f t="shared" si="61"/>
        <v>n/a</v>
      </c>
      <c r="O292" s="42" t="str">
        <f t="shared" si="62"/>
        <v>n/a</v>
      </c>
      <c r="P292" s="42" t="str">
        <f t="shared" si="63"/>
        <v>Compliant</v>
      </c>
      <c r="Q292" s="42" t="str">
        <f t="shared" si="64"/>
        <v>Compliant</v>
      </c>
      <c r="R292" s="42" t="str">
        <f t="shared" si="65"/>
        <v>Compliant</v>
      </c>
      <c r="S292" s="36" t="str">
        <f t="shared" si="66"/>
        <v/>
      </c>
      <c r="T292" s="42" t="str">
        <f t="shared" si="67"/>
        <v/>
      </c>
      <c r="U292" s="42" t="str">
        <f t="shared" si="68"/>
        <v/>
      </c>
      <c r="V292" s="42" t="str">
        <f t="shared" si="69"/>
        <v/>
      </c>
      <c r="W292" s="42" t="str">
        <f t="shared" si="70"/>
        <v/>
      </c>
    </row>
    <row r="293" spans="1:23" ht="15" hidden="1" customHeight="1" x14ac:dyDescent="0.25">
      <c r="A293" s="36" t="str">
        <f>Claims!A289</f>
        <v>EXP00288</v>
      </c>
      <c r="B293" s="36" t="str">
        <f>Claims!D289</f>
        <v>M2</v>
      </c>
      <c r="C293" s="36" t="str">
        <f>Claims!E289</f>
        <v>Meals/DA</v>
      </c>
      <c r="D293" s="36" t="str">
        <f>Claims!G289</f>
        <v>Non-metro</v>
      </c>
      <c r="E293" s="40">
        <f>Claims!H289</f>
        <v>2106</v>
      </c>
      <c r="F293" s="36" t="str">
        <f>Claims!K289</f>
        <v>Yes</v>
      </c>
      <c r="G293" s="36" t="str">
        <f>IF(Claims!M289="","",Claims!M289)</f>
        <v/>
      </c>
      <c r="H293" s="36" t="str">
        <f>IF(Claims!N289="","",Claims!N289)</f>
        <v/>
      </c>
      <c r="I293" s="41">
        <f>Claims!J289-Claims!I289</f>
        <v>2</v>
      </c>
      <c r="J293" s="42" t="str">
        <f t="shared" si="57"/>
        <v>n/a</v>
      </c>
      <c r="K293" s="42" t="str">
        <f t="shared" si="58"/>
        <v>n/a</v>
      </c>
      <c r="L293" s="42" t="str">
        <f t="shared" si="59"/>
        <v>n/a</v>
      </c>
      <c r="M293" s="42" t="str">
        <f t="shared" si="60"/>
        <v>n/a</v>
      </c>
      <c r="N293" s="42" t="str">
        <f t="shared" si="61"/>
        <v>Violation</v>
      </c>
      <c r="O293" s="42" t="str">
        <f t="shared" si="62"/>
        <v>n/a</v>
      </c>
      <c r="P293" s="42" t="str">
        <f t="shared" si="63"/>
        <v>Compliant</v>
      </c>
      <c r="Q293" s="42" t="str">
        <f t="shared" si="64"/>
        <v>Compliant</v>
      </c>
      <c r="R293" s="42" t="str">
        <f t="shared" si="65"/>
        <v>Violation</v>
      </c>
      <c r="S293" s="36" t="str">
        <f t="shared" si="66"/>
        <v>TP-06</v>
      </c>
      <c r="T293" s="42" t="str">
        <f t="shared" si="67"/>
        <v/>
      </c>
      <c r="U293" s="42" t="str">
        <f t="shared" si="68"/>
        <v>Assumption-based</v>
      </c>
      <c r="V293" s="42">
        <f t="shared" si="69"/>
        <v>3</v>
      </c>
      <c r="W293" s="42" t="str">
        <f t="shared" si="70"/>
        <v>Needs days</v>
      </c>
    </row>
    <row r="294" spans="1:23" ht="15" hidden="1" customHeight="1" x14ac:dyDescent="0.25">
      <c r="A294" s="36" t="str">
        <f>Claims!A290</f>
        <v>EXP00289</v>
      </c>
      <c r="B294" s="36" t="str">
        <f>Claims!D290</f>
        <v>M1</v>
      </c>
      <c r="C294" s="36" t="str">
        <f>Claims!E290</f>
        <v>Stationery</v>
      </c>
      <c r="D294" s="36" t="str">
        <f>Claims!G290</f>
        <v>Non-metro</v>
      </c>
      <c r="E294" s="40">
        <f>Claims!H290</f>
        <v>656</v>
      </c>
      <c r="F294" s="36" t="str">
        <f>Claims!K290</f>
        <v>Yes</v>
      </c>
      <c r="G294" s="36" t="str">
        <f>IF(Claims!M290="","",Claims!M290)</f>
        <v/>
      </c>
      <c r="H294" s="36" t="str">
        <f>IF(Claims!N290="","",Claims!N290)</f>
        <v/>
      </c>
      <c r="I294" s="41">
        <f>Claims!J290-Claims!I290</f>
        <v>9</v>
      </c>
      <c r="J294" s="42" t="str">
        <f t="shared" si="57"/>
        <v>n/a</v>
      </c>
      <c r="K294" s="42" t="str">
        <f t="shared" si="58"/>
        <v>n/a</v>
      </c>
      <c r="L294" s="42" t="str">
        <f t="shared" si="59"/>
        <v>n/a</v>
      </c>
      <c r="M294" s="42" t="str">
        <f t="shared" si="60"/>
        <v>n/a</v>
      </c>
      <c r="N294" s="42" t="str">
        <f t="shared" si="61"/>
        <v>n/a</v>
      </c>
      <c r="O294" s="42" t="str">
        <f t="shared" si="62"/>
        <v>n/a</v>
      </c>
      <c r="P294" s="42" t="str">
        <f t="shared" si="63"/>
        <v>Compliant</v>
      </c>
      <c r="Q294" s="42" t="str">
        <f t="shared" si="64"/>
        <v>Compliant</v>
      </c>
      <c r="R294" s="42" t="str">
        <f t="shared" si="65"/>
        <v>Compliant</v>
      </c>
      <c r="S294" s="36" t="str">
        <f t="shared" si="66"/>
        <v/>
      </c>
      <c r="T294" s="42" t="str">
        <f t="shared" si="67"/>
        <v/>
      </c>
      <c r="U294" s="42" t="str">
        <f t="shared" si="68"/>
        <v/>
      </c>
      <c r="V294" s="42" t="str">
        <f t="shared" si="69"/>
        <v/>
      </c>
      <c r="W294" s="42" t="str">
        <f t="shared" si="70"/>
        <v/>
      </c>
    </row>
    <row r="295" spans="1:23" ht="15" hidden="1" customHeight="1" x14ac:dyDescent="0.25">
      <c r="A295" s="36" t="str">
        <f>Claims!A291</f>
        <v>EXP00290</v>
      </c>
      <c r="B295" s="36" t="str">
        <f>Claims!D291</f>
        <v>M3</v>
      </c>
      <c r="C295" s="36" t="str">
        <f>Claims!E291</f>
        <v>Stationery</v>
      </c>
      <c r="D295" s="36" t="str">
        <f>Claims!G291</f>
        <v>Non-metro</v>
      </c>
      <c r="E295" s="40">
        <f>Claims!H291</f>
        <v>1213</v>
      </c>
      <c r="F295" s="36" t="str">
        <f>Claims!K291</f>
        <v>Yes</v>
      </c>
      <c r="G295" s="36" t="str">
        <f>IF(Claims!M291="","",Claims!M291)</f>
        <v/>
      </c>
      <c r="H295" s="36" t="str">
        <f>IF(Claims!N291="","",Claims!N291)</f>
        <v/>
      </c>
      <c r="I295" s="41">
        <f>Claims!J291-Claims!I291</f>
        <v>9</v>
      </c>
      <c r="J295" s="42" t="str">
        <f t="shared" si="57"/>
        <v>n/a</v>
      </c>
      <c r="K295" s="42" t="str">
        <f t="shared" si="58"/>
        <v>n/a</v>
      </c>
      <c r="L295" s="42" t="str">
        <f t="shared" si="59"/>
        <v>n/a</v>
      </c>
      <c r="M295" s="42" t="str">
        <f t="shared" si="60"/>
        <v>n/a</v>
      </c>
      <c r="N295" s="42" t="str">
        <f t="shared" si="61"/>
        <v>n/a</v>
      </c>
      <c r="O295" s="42" t="str">
        <f t="shared" si="62"/>
        <v>n/a</v>
      </c>
      <c r="P295" s="42" t="str">
        <f t="shared" si="63"/>
        <v>Compliant</v>
      </c>
      <c r="Q295" s="42" t="str">
        <f t="shared" si="64"/>
        <v>Compliant</v>
      </c>
      <c r="R295" s="42" t="str">
        <f t="shared" si="65"/>
        <v>Compliant</v>
      </c>
      <c r="S295" s="36" t="str">
        <f t="shared" si="66"/>
        <v/>
      </c>
      <c r="T295" s="42" t="str">
        <f t="shared" si="67"/>
        <v/>
      </c>
      <c r="U295" s="42" t="str">
        <f t="shared" si="68"/>
        <v/>
      </c>
      <c r="V295" s="42" t="str">
        <f t="shared" si="69"/>
        <v/>
      </c>
      <c r="W295" s="42" t="str">
        <f t="shared" si="70"/>
        <v/>
      </c>
    </row>
    <row r="296" spans="1:23" ht="15" hidden="1" customHeight="1" x14ac:dyDescent="0.25">
      <c r="A296" s="36" t="str">
        <f>Claims!A292</f>
        <v>EXP00291</v>
      </c>
      <c r="B296" s="36" t="str">
        <f>Claims!D292</f>
        <v>M3</v>
      </c>
      <c r="C296" s="36" t="str">
        <f>Claims!E292</f>
        <v>Hotel</v>
      </c>
      <c r="D296" s="36" t="str">
        <f>Claims!G292</f>
        <v>Non-metro</v>
      </c>
      <c r="E296" s="40">
        <f>Claims!H292</f>
        <v>12031</v>
      </c>
      <c r="F296" s="36" t="str">
        <f>Claims!K292</f>
        <v>Yes</v>
      </c>
      <c r="G296" s="36" t="str">
        <f>IF(Claims!M292="","",Claims!M292)</f>
        <v/>
      </c>
      <c r="H296" s="36" t="str">
        <f>IF(Claims!N292="","",Claims!N292)</f>
        <v/>
      </c>
      <c r="I296" s="41">
        <f>Claims!J292-Claims!I292</f>
        <v>2</v>
      </c>
      <c r="J296" s="42" t="str">
        <f t="shared" si="57"/>
        <v>n/a</v>
      </c>
      <c r="K296" s="42" t="str">
        <f t="shared" si="58"/>
        <v>n/a</v>
      </c>
      <c r="L296" s="42" t="str">
        <f t="shared" si="59"/>
        <v>n/a</v>
      </c>
      <c r="M296" s="42" t="str">
        <f t="shared" si="60"/>
        <v>Violation</v>
      </c>
      <c r="N296" s="42" t="str">
        <f t="shared" si="61"/>
        <v>n/a</v>
      </c>
      <c r="O296" s="42" t="str">
        <f t="shared" si="62"/>
        <v>n/a</v>
      </c>
      <c r="P296" s="42" t="str">
        <f t="shared" si="63"/>
        <v>Compliant</v>
      </c>
      <c r="Q296" s="42" t="str">
        <f t="shared" si="64"/>
        <v>Compliant</v>
      </c>
      <c r="R296" s="42" t="str">
        <f t="shared" si="65"/>
        <v>Violation</v>
      </c>
      <c r="S296" s="36" t="str">
        <f t="shared" si="66"/>
        <v>TP-05</v>
      </c>
      <c r="T296" s="42" t="str">
        <f t="shared" si="67"/>
        <v/>
      </c>
      <c r="U296" s="42" t="str">
        <f t="shared" si="68"/>
        <v>Assumption-based</v>
      </c>
      <c r="V296" s="42">
        <f t="shared" si="69"/>
        <v>2</v>
      </c>
      <c r="W296" s="42" t="str">
        <f t="shared" si="70"/>
        <v>Needs nights</v>
      </c>
    </row>
    <row r="297" spans="1:23" ht="15" hidden="1" customHeight="1" x14ac:dyDescent="0.25">
      <c r="A297" s="36" t="str">
        <f>Claims!A293</f>
        <v>EXP00292</v>
      </c>
      <c r="B297" s="36" t="str">
        <f>Claims!D293</f>
        <v>M1</v>
      </c>
      <c r="C297" s="36" t="str">
        <f>Claims!E293</f>
        <v>Meals/DA</v>
      </c>
      <c r="D297" s="36" t="str">
        <f>Claims!G293</f>
        <v>Non-metro</v>
      </c>
      <c r="E297" s="40">
        <f>Claims!H293</f>
        <v>2178</v>
      </c>
      <c r="F297" s="36" t="str">
        <f>Claims!K293</f>
        <v>Yes</v>
      </c>
      <c r="G297" s="36" t="str">
        <f>IF(Claims!M293="","",Claims!M293)</f>
        <v/>
      </c>
      <c r="H297" s="36" t="str">
        <f>IF(Claims!N293="","",Claims!N293)</f>
        <v/>
      </c>
      <c r="I297" s="41">
        <f>Claims!J293-Claims!I293</f>
        <v>14</v>
      </c>
      <c r="J297" s="42" t="str">
        <f t="shared" si="57"/>
        <v>n/a</v>
      </c>
      <c r="K297" s="42" t="str">
        <f t="shared" si="58"/>
        <v>n/a</v>
      </c>
      <c r="L297" s="42" t="str">
        <f t="shared" si="59"/>
        <v>n/a</v>
      </c>
      <c r="M297" s="42" t="str">
        <f t="shared" si="60"/>
        <v>n/a</v>
      </c>
      <c r="N297" s="42" t="str">
        <f t="shared" si="61"/>
        <v>Violation</v>
      </c>
      <c r="O297" s="42" t="str">
        <f t="shared" si="62"/>
        <v>n/a</v>
      </c>
      <c r="P297" s="42" t="str">
        <f t="shared" si="63"/>
        <v>Compliant</v>
      </c>
      <c r="Q297" s="42" t="str">
        <f t="shared" si="64"/>
        <v>Compliant</v>
      </c>
      <c r="R297" s="42" t="str">
        <f t="shared" si="65"/>
        <v>Violation</v>
      </c>
      <c r="S297" s="36" t="str">
        <f t="shared" si="66"/>
        <v>TP-06</v>
      </c>
      <c r="T297" s="42" t="str">
        <f t="shared" si="67"/>
        <v/>
      </c>
      <c r="U297" s="42" t="str">
        <f t="shared" si="68"/>
        <v>Assumption-based</v>
      </c>
      <c r="V297" s="42">
        <f t="shared" si="69"/>
        <v>3</v>
      </c>
      <c r="W297" s="42" t="str">
        <f t="shared" si="70"/>
        <v>Needs days</v>
      </c>
    </row>
    <row r="298" spans="1:23" ht="15" hidden="1" customHeight="1" x14ac:dyDescent="0.25">
      <c r="A298" s="36" t="str">
        <f>Claims!A294</f>
        <v>EXP00293</v>
      </c>
      <c r="B298" s="36" t="str">
        <f>Claims!D294</f>
        <v>M2</v>
      </c>
      <c r="C298" s="36" t="str">
        <f>Claims!E294</f>
        <v>Hotel</v>
      </c>
      <c r="D298" s="36" t="str">
        <f>Claims!G294</f>
        <v>Non-metro</v>
      </c>
      <c r="E298" s="40">
        <f>Claims!H294</f>
        <v>13561</v>
      </c>
      <c r="F298" s="36" t="str">
        <f>Claims!K294</f>
        <v>Yes</v>
      </c>
      <c r="G298" s="36" t="str">
        <f>IF(Claims!M294="","",Claims!M294)</f>
        <v/>
      </c>
      <c r="H298" s="36" t="str">
        <f>IF(Claims!N294="","",Claims!N294)</f>
        <v/>
      </c>
      <c r="I298" s="41">
        <f>Claims!J294-Claims!I294</f>
        <v>35</v>
      </c>
      <c r="J298" s="42" t="str">
        <f t="shared" si="57"/>
        <v>n/a</v>
      </c>
      <c r="K298" s="42" t="str">
        <f t="shared" si="58"/>
        <v>n/a</v>
      </c>
      <c r="L298" s="42" t="str">
        <f t="shared" si="59"/>
        <v>n/a</v>
      </c>
      <c r="M298" s="42" t="str">
        <f t="shared" si="60"/>
        <v>Violation</v>
      </c>
      <c r="N298" s="42" t="str">
        <f t="shared" si="61"/>
        <v>n/a</v>
      </c>
      <c r="O298" s="42" t="str">
        <f t="shared" si="62"/>
        <v>n/a</v>
      </c>
      <c r="P298" s="42" t="str">
        <f t="shared" si="63"/>
        <v>Compliant</v>
      </c>
      <c r="Q298" s="42" t="str">
        <f t="shared" si="64"/>
        <v>Violation</v>
      </c>
      <c r="R298" s="42" t="str">
        <f t="shared" si="65"/>
        <v>Violation</v>
      </c>
      <c r="S298" s="36" t="str">
        <f t="shared" si="66"/>
        <v>TP-05, TP-10</v>
      </c>
      <c r="T298" s="42" t="str">
        <f t="shared" si="67"/>
        <v>Late</v>
      </c>
      <c r="U298" s="42" t="str">
        <f t="shared" si="68"/>
        <v>Definite</v>
      </c>
      <c r="V298" s="42">
        <f t="shared" si="69"/>
        <v>4</v>
      </c>
      <c r="W298" s="42" t="str">
        <f t="shared" si="70"/>
        <v>Needs nights</v>
      </c>
    </row>
    <row r="299" spans="1:23" ht="15" hidden="1" customHeight="1" x14ac:dyDescent="0.25">
      <c r="A299" s="36" t="str">
        <f>Claims!A295</f>
        <v>EXP00294</v>
      </c>
      <c r="B299" s="36" t="str">
        <f>Claims!D295</f>
        <v>M3</v>
      </c>
      <c r="C299" s="36" t="str">
        <f>Claims!E295</f>
        <v>Meals/DA</v>
      </c>
      <c r="D299" s="36" t="str">
        <f>Claims!G295</f>
        <v>Non-metro</v>
      </c>
      <c r="E299" s="40">
        <f>Claims!H295</f>
        <v>1971</v>
      </c>
      <c r="F299" s="36" t="str">
        <f>Claims!K295</f>
        <v>Yes</v>
      </c>
      <c r="G299" s="36" t="str">
        <f>IF(Claims!M295="","",Claims!M295)</f>
        <v/>
      </c>
      <c r="H299" s="36" t="str">
        <f>IF(Claims!N295="","",Claims!N295)</f>
        <v/>
      </c>
      <c r="I299" s="41">
        <f>Claims!J295-Claims!I295</f>
        <v>20</v>
      </c>
      <c r="J299" s="42" t="str">
        <f t="shared" si="57"/>
        <v>n/a</v>
      </c>
      <c r="K299" s="42" t="str">
        <f t="shared" si="58"/>
        <v>n/a</v>
      </c>
      <c r="L299" s="42" t="str">
        <f t="shared" si="59"/>
        <v>n/a</v>
      </c>
      <c r="M299" s="42" t="str">
        <f t="shared" si="60"/>
        <v>n/a</v>
      </c>
      <c r="N299" s="42" t="str">
        <f t="shared" si="61"/>
        <v>Violation</v>
      </c>
      <c r="O299" s="42" t="str">
        <f t="shared" si="62"/>
        <v>n/a</v>
      </c>
      <c r="P299" s="42" t="str">
        <f t="shared" si="63"/>
        <v>Compliant</v>
      </c>
      <c r="Q299" s="42" t="str">
        <f t="shared" si="64"/>
        <v>Violation</v>
      </c>
      <c r="R299" s="42" t="str">
        <f t="shared" si="65"/>
        <v>Violation</v>
      </c>
      <c r="S299" s="36" t="str">
        <f t="shared" si="66"/>
        <v>TP-06, TP-10</v>
      </c>
      <c r="T299" s="42" t="str">
        <f t="shared" si="67"/>
        <v>Late</v>
      </c>
      <c r="U299" s="42" t="str">
        <f t="shared" si="68"/>
        <v>Definite</v>
      </c>
      <c r="V299" s="42">
        <f t="shared" si="69"/>
        <v>3</v>
      </c>
      <c r="W299" s="42" t="str">
        <f t="shared" si="70"/>
        <v>Needs days</v>
      </c>
    </row>
    <row r="300" spans="1:23" ht="15" hidden="1" customHeight="1" x14ac:dyDescent="0.25">
      <c r="A300" s="36" t="str">
        <f>Claims!A296</f>
        <v>EXP00295</v>
      </c>
      <c r="B300" s="36" t="str">
        <f>Claims!D296</f>
        <v>M1</v>
      </c>
      <c r="C300" s="36" t="str">
        <f>Claims!E296</f>
        <v>Local Cab</v>
      </c>
      <c r="D300" s="36" t="str">
        <f>Claims!G296</f>
        <v>Non-metro</v>
      </c>
      <c r="E300" s="40">
        <f>Claims!H296</f>
        <v>1775</v>
      </c>
      <c r="F300" s="36" t="str">
        <f>Claims!K296</f>
        <v>No</v>
      </c>
      <c r="G300" s="36" t="str">
        <f>IF(Claims!M296="","",Claims!M296)</f>
        <v/>
      </c>
      <c r="H300" s="36" t="str">
        <f>IF(Claims!N296="","",Claims!N296)</f>
        <v/>
      </c>
      <c r="I300" s="41">
        <f>Claims!J296-Claims!I296</f>
        <v>20</v>
      </c>
      <c r="J300" s="42" t="str">
        <f t="shared" si="57"/>
        <v>n/a</v>
      </c>
      <c r="K300" s="42" t="str">
        <f t="shared" si="58"/>
        <v>n/a</v>
      </c>
      <c r="L300" s="42" t="str">
        <f t="shared" si="59"/>
        <v>n/a</v>
      </c>
      <c r="M300" s="42" t="str">
        <f t="shared" si="60"/>
        <v>n/a</v>
      </c>
      <c r="N300" s="42" t="str">
        <f t="shared" si="61"/>
        <v>n/a</v>
      </c>
      <c r="O300" s="42" t="str">
        <f t="shared" si="62"/>
        <v>n/a</v>
      </c>
      <c r="P300" s="42" t="str">
        <f t="shared" si="63"/>
        <v>Violation</v>
      </c>
      <c r="Q300" s="42" t="str">
        <f t="shared" si="64"/>
        <v>Violation</v>
      </c>
      <c r="R300" s="42" t="str">
        <f t="shared" si="65"/>
        <v>Violation</v>
      </c>
      <c r="S300" s="36" t="str">
        <f t="shared" si="66"/>
        <v>TP-09, TP-10</v>
      </c>
      <c r="T300" s="42" t="str">
        <f t="shared" si="67"/>
        <v>Late</v>
      </c>
      <c r="U300" s="42" t="str">
        <f t="shared" si="68"/>
        <v>Definite</v>
      </c>
      <c r="V300" s="42" t="str">
        <f t="shared" si="69"/>
        <v/>
      </c>
      <c r="W300" s="42" t="str">
        <f t="shared" si="70"/>
        <v/>
      </c>
    </row>
    <row r="301" spans="1:23" ht="15" hidden="1" customHeight="1" x14ac:dyDescent="0.25">
      <c r="A301" s="36" t="str">
        <f>Claims!A297</f>
        <v>EXP00296</v>
      </c>
      <c r="B301" s="36" t="str">
        <f>Claims!D297</f>
        <v>M4</v>
      </c>
      <c r="C301" s="36" t="str">
        <f>Claims!E297</f>
        <v>Local Cab</v>
      </c>
      <c r="D301" s="36" t="str">
        <f>Claims!G297</f>
        <v>Non-metro</v>
      </c>
      <c r="E301" s="40">
        <f>Claims!H297</f>
        <v>1433</v>
      </c>
      <c r="F301" s="36" t="str">
        <f>Claims!K297</f>
        <v>Yes</v>
      </c>
      <c r="G301" s="36" t="str">
        <f>IF(Claims!M297="","",Claims!M297)</f>
        <v/>
      </c>
      <c r="H301" s="36" t="str">
        <f>IF(Claims!N297="","",Claims!N297)</f>
        <v/>
      </c>
      <c r="I301" s="41">
        <f>Claims!J297-Claims!I297</f>
        <v>9</v>
      </c>
      <c r="J301" s="42" t="str">
        <f t="shared" si="57"/>
        <v>n/a</v>
      </c>
      <c r="K301" s="42" t="str">
        <f t="shared" si="58"/>
        <v>n/a</v>
      </c>
      <c r="L301" s="42" t="str">
        <f t="shared" si="59"/>
        <v>n/a</v>
      </c>
      <c r="M301" s="42" t="str">
        <f t="shared" si="60"/>
        <v>n/a</v>
      </c>
      <c r="N301" s="42" t="str">
        <f t="shared" si="61"/>
        <v>n/a</v>
      </c>
      <c r="O301" s="42" t="str">
        <f t="shared" si="62"/>
        <v>n/a</v>
      </c>
      <c r="P301" s="42" t="str">
        <f t="shared" si="63"/>
        <v>Compliant</v>
      </c>
      <c r="Q301" s="42" t="str">
        <f t="shared" si="64"/>
        <v>Compliant</v>
      </c>
      <c r="R301" s="42" t="str">
        <f t="shared" si="65"/>
        <v>Compliant</v>
      </c>
      <c r="S301" s="36" t="str">
        <f t="shared" si="66"/>
        <v/>
      </c>
      <c r="T301" s="42" t="str">
        <f t="shared" si="67"/>
        <v/>
      </c>
      <c r="U301" s="42" t="str">
        <f t="shared" si="68"/>
        <v/>
      </c>
      <c r="V301" s="42" t="str">
        <f t="shared" si="69"/>
        <v/>
      </c>
      <c r="W301" s="42" t="str">
        <f t="shared" si="70"/>
        <v/>
      </c>
    </row>
    <row r="302" spans="1:23" ht="15" hidden="1" customHeight="1" x14ac:dyDescent="0.25">
      <c r="A302" s="36" t="str">
        <f>Claims!A298</f>
        <v>EXP00297</v>
      </c>
      <c r="B302" s="36" t="str">
        <f>Claims!D298</f>
        <v>M1</v>
      </c>
      <c r="C302" s="36" t="str">
        <f>Claims!E298</f>
        <v>Stationery</v>
      </c>
      <c r="D302" s="36" t="str">
        <f>Claims!G298</f>
        <v>Non-metro</v>
      </c>
      <c r="E302" s="40">
        <f>Claims!H298</f>
        <v>531</v>
      </c>
      <c r="F302" s="36" t="str">
        <f>Claims!K298</f>
        <v>Yes</v>
      </c>
      <c r="G302" s="36" t="str">
        <f>IF(Claims!M298="","",Claims!M298)</f>
        <v/>
      </c>
      <c r="H302" s="36" t="str">
        <f>IF(Claims!N298="","",Claims!N298)</f>
        <v/>
      </c>
      <c r="I302" s="41">
        <f>Claims!J298-Claims!I298</f>
        <v>5</v>
      </c>
      <c r="J302" s="42" t="str">
        <f t="shared" si="57"/>
        <v>n/a</v>
      </c>
      <c r="K302" s="42" t="str">
        <f t="shared" si="58"/>
        <v>n/a</v>
      </c>
      <c r="L302" s="42" t="str">
        <f t="shared" si="59"/>
        <v>n/a</v>
      </c>
      <c r="M302" s="42" t="str">
        <f t="shared" si="60"/>
        <v>n/a</v>
      </c>
      <c r="N302" s="42" t="str">
        <f t="shared" si="61"/>
        <v>n/a</v>
      </c>
      <c r="O302" s="42" t="str">
        <f t="shared" si="62"/>
        <v>n/a</v>
      </c>
      <c r="P302" s="42" t="str">
        <f t="shared" si="63"/>
        <v>Compliant</v>
      </c>
      <c r="Q302" s="42" t="str">
        <f t="shared" si="64"/>
        <v>Compliant</v>
      </c>
      <c r="R302" s="42" t="str">
        <f t="shared" si="65"/>
        <v>Compliant</v>
      </c>
      <c r="S302" s="36" t="str">
        <f t="shared" si="66"/>
        <v/>
      </c>
      <c r="T302" s="42" t="str">
        <f t="shared" si="67"/>
        <v/>
      </c>
      <c r="U302" s="42" t="str">
        <f t="shared" si="68"/>
        <v/>
      </c>
      <c r="V302" s="42" t="str">
        <f t="shared" si="69"/>
        <v/>
      </c>
      <c r="W302" s="42" t="str">
        <f t="shared" si="70"/>
        <v/>
      </c>
    </row>
    <row r="303" spans="1:23" ht="15" hidden="1" customHeight="1" x14ac:dyDescent="0.25">
      <c r="A303" s="36" t="str">
        <f>Claims!A299</f>
        <v>EXP00298</v>
      </c>
      <c r="B303" s="36" t="str">
        <f>Claims!D299</f>
        <v>M2</v>
      </c>
      <c r="C303" s="36" t="str">
        <f>Claims!E299</f>
        <v>Local Cab</v>
      </c>
      <c r="D303" s="36" t="str">
        <f>Claims!G299</f>
        <v>Non-metro</v>
      </c>
      <c r="E303" s="40">
        <f>Claims!H299</f>
        <v>1575</v>
      </c>
      <c r="F303" s="36" t="str">
        <f>Claims!K299</f>
        <v>Yes</v>
      </c>
      <c r="G303" s="36" t="str">
        <f>IF(Claims!M299="","",Claims!M299)</f>
        <v/>
      </c>
      <c r="H303" s="36" t="str">
        <f>IF(Claims!N299="","",Claims!N299)</f>
        <v/>
      </c>
      <c r="I303" s="41">
        <f>Claims!J299-Claims!I299</f>
        <v>9</v>
      </c>
      <c r="J303" s="42" t="str">
        <f t="shared" si="57"/>
        <v>n/a</v>
      </c>
      <c r="K303" s="42" t="str">
        <f t="shared" si="58"/>
        <v>n/a</v>
      </c>
      <c r="L303" s="42" t="str">
        <f t="shared" si="59"/>
        <v>n/a</v>
      </c>
      <c r="M303" s="42" t="str">
        <f t="shared" si="60"/>
        <v>n/a</v>
      </c>
      <c r="N303" s="42" t="str">
        <f t="shared" si="61"/>
        <v>n/a</v>
      </c>
      <c r="O303" s="42" t="str">
        <f t="shared" si="62"/>
        <v>n/a</v>
      </c>
      <c r="P303" s="42" t="str">
        <f t="shared" si="63"/>
        <v>Compliant</v>
      </c>
      <c r="Q303" s="42" t="str">
        <f t="shared" si="64"/>
        <v>Compliant</v>
      </c>
      <c r="R303" s="42" t="str">
        <f t="shared" si="65"/>
        <v>Compliant</v>
      </c>
      <c r="S303" s="36" t="str">
        <f t="shared" si="66"/>
        <v/>
      </c>
      <c r="T303" s="42" t="str">
        <f t="shared" si="67"/>
        <v/>
      </c>
      <c r="U303" s="42" t="str">
        <f t="shared" si="68"/>
        <v/>
      </c>
      <c r="V303" s="42" t="str">
        <f t="shared" si="69"/>
        <v/>
      </c>
      <c r="W303" s="42" t="str">
        <f t="shared" si="70"/>
        <v/>
      </c>
    </row>
    <row r="304" spans="1:23" ht="15" hidden="1" customHeight="1" x14ac:dyDescent="0.25">
      <c r="A304" s="36" t="str">
        <f>Claims!A300</f>
        <v>EXP00299</v>
      </c>
      <c r="B304" s="36" t="str">
        <f>Claims!D300</f>
        <v>M1</v>
      </c>
      <c r="C304" s="36" t="str">
        <f>Claims!E300</f>
        <v>Hotel</v>
      </c>
      <c r="D304" s="36" t="str">
        <f>Claims!G300</f>
        <v>Metro</v>
      </c>
      <c r="E304" s="40">
        <f>Claims!H300</f>
        <v>11308</v>
      </c>
      <c r="F304" s="36" t="str">
        <f>Claims!K300</f>
        <v>Yes</v>
      </c>
      <c r="G304" s="36" t="str">
        <f>IF(Claims!M300="","",Claims!M300)</f>
        <v/>
      </c>
      <c r="H304" s="36" t="str">
        <f>IF(Claims!N300="","",Claims!N300)</f>
        <v/>
      </c>
      <c r="I304" s="41">
        <f>Claims!J300-Claims!I300</f>
        <v>2</v>
      </c>
      <c r="J304" s="42" t="str">
        <f t="shared" si="57"/>
        <v>n/a</v>
      </c>
      <c r="K304" s="42" t="str">
        <f t="shared" si="58"/>
        <v>n/a</v>
      </c>
      <c r="L304" s="42" t="str">
        <f t="shared" si="59"/>
        <v>Violation</v>
      </c>
      <c r="M304" s="42" t="str">
        <f t="shared" si="60"/>
        <v>n/a</v>
      </c>
      <c r="N304" s="42" t="str">
        <f t="shared" si="61"/>
        <v>n/a</v>
      </c>
      <c r="O304" s="42" t="str">
        <f t="shared" si="62"/>
        <v>n/a</v>
      </c>
      <c r="P304" s="42" t="str">
        <f t="shared" si="63"/>
        <v>Compliant</v>
      </c>
      <c r="Q304" s="42" t="str">
        <f t="shared" si="64"/>
        <v>Compliant</v>
      </c>
      <c r="R304" s="42" t="str">
        <f t="shared" si="65"/>
        <v>Violation</v>
      </c>
      <c r="S304" s="36" t="str">
        <f t="shared" si="66"/>
        <v>TP-04</v>
      </c>
      <c r="T304" s="42" t="str">
        <f t="shared" si="67"/>
        <v/>
      </c>
      <c r="U304" s="42" t="str">
        <f t="shared" si="68"/>
        <v>Assumption-based</v>
      </c>
      <c r="V304" s="42">
        <f t="shared" si="69"/>
        <v>2</v>
      </c>
      <c r="W304" s="42" t="str">
        <f t="shared" si="70"/>
        <v>Needs nights</v>
      </c>
    </row>
    <row r="305" spans="1:23" ht="15" hidden="1" customHeight="1" x14ac:dyDescent="0.25">
      <c r="A305" s="36" t="str">
        <f>Claims!A301</f>
        <v>EXP00300</v>
      </c>
      <c r="B305" s="36" t="str">
        <f>Claims!D301</f>
        <v>M1</v>
      </c>
      <c r="C305" s="36" t="str">
        <f>Claims!E301</f>
        <v>Local Cab</v>
      </c>
      <c r="D305" s="36" t="str">
        <f>Claims!G301</f>
        <v>Metro</v>
      </c>
      <c r="E305" s="40">
        <f>Claims!H301</f>
        <v>2001</v>
      </c>
      <c r="F305" s="36" t="str">
        <f>Claims!K301</f>
        <v>No</v>
      </c>
      <c r="G305" s="36" t="str">
        <f>IF(Claims!M301="","",Claims!M301)</f>
        <v/>
      </c>
      <c r="H305" s="36" t="str">
        <f>IF(Claims!N301="","",Claims!N301)</f>
        <v/>
      </c>
      <c r="I305" s="41">
        <f>Claims!J301-Claims!I301</f>
        <v>2</v>
      </c>
      <c r="J305" s="42" t="str">
        <f t="shared" si="57"/>
        <v>n/a</v>
      </c>
      <c r="K305" s="42" t="str">
        <f t="shared" si="58"/>
        <v>n/a</v>
      </c>
      <c r="L305" s="42" t="str">
        <f t="shared" si="59"/>
        <v>n/a</v>
      </c>
      <c r="M305" s="42" t="str">
        <f t="shared" si="60"/>
        <v>n/a</v>
      </c>
      <c r="N305" s="42" t="str">
        <f t="shared" si="61"/>
        <v>n/a</v>
      </c>
      <c r="O305" s="42" t="str">
        <f t="shared" si="62"/>
        <v>n/a</v>
      </c>
      <c r="P305" s="42" t="str">
        <f t="shared" si="63"/>
        <v>Violation</v>
      </c>
      <c r="Q305" s="42" t="str">
        <f t="shared" si="64"/>
        <v>Compliant</v>
      </c>
      <c r="R305" s="42" t="str">
        <f t="shared" si="65"/>
        <v>Violation</v>
      </c>
      <c r="S305" s="36" t="str">
        <f t="shared" si="66"/>
        <v>TP-09</v>
      </c>
      <c r="T305" s="42" t="str">
        <f t="shared" si="67"/>
        <v/>
      </c>
      <c r="U305" s="42" t="str">
        <f t="shared" si="68"/>
        <v>Definite</v>
      </c>
      <c r="V305" s="42" t="str">
        <f t="shared" si="69"/>
        <v/>
      </c>
      <c r="W305" s="42" t="str">
        <f t="shared" si="70"/>
        <v/>
      </c>
    </row>
    <row r="306" spans="1:23" ht="15" hidden="1" customHeight="1" x14ac:dyDescent="0.25">
      <c r="A306" s="36" t="str">
        <f>Claims!A302</f>
        <v>EXP00301</v>
      </c>
      <c r="B306" s="36" t="str">
        <f>Claims!D302</f>
        <v>M1</v>
      </c>
      <c r="C306" s="36" t="str">
        <f>Claims!E302</f>
        <v>Meals/DA</v>
      </c>
      <c r="D306" s="36" t="str">
        <f>Claims!G302</f>
        <v>Non-metro</v>
      </c>
      <c r="E306" s="40">
        <f>Claims!H302</f>
        <v>2095</v>
      </c>
      <c r="F306" s="36" t="str">
        <f>Claims!K302</f>
        <v>Yes</v>
      </c>
      <c r="G306" s="36" t="str">
        <f>IF(Claims!M302="","",Claims!M302)</f>
        <v/>
      </c>
      <c r="H306" s="36" t="str">
        <f>IF(Claims!N302="","",Claims!N302)</f>
        <v/>
      </c>
      <c r="I306" s="41">
        <f>Claims!J302-Claims!I302</f>
        <v>9</v>
      </c>
      <c r="J306" s="42" t="str">
        <f t="shared" si="57"/>
        <v>n/a</v>
      </c>
      <c r="K306" s="42" t="str">
        <f t="shared" si="58"/>
        <v>n/a</v>
      </c>
      <c r="L306" s="42" t="str">
        <f t="shared" si="59"/>
        <v>n/a</v>
      </c>
      <c r="M306" s="42" t="str">
        <f t="shared" si="60"/>
        <v>n/a</v>
      </c>
      <c r="N306" s="42" t="str">
        <f t="shared" si="61"/>
        <v>Violation</v>
      </c>
      <c r="O306" s="42" t="str">
        <f t="shared" si="62"/>
        <v>n/a</v>
      </c>
      <c r="P306" s="42" t="str">
        <f t="shared" si="63"/>
        <v>Compliant</v>
      </c>
      <c r="Q306" s="42" t="str">
        <f t="shared" si="64"/>
        <v>Compliant</v>
      </c>
      <c r="R306" s="42" t="str">
        <f t="shared" si="65"/>
        <v>Violation</v>
      </c>
      <c r="S306" s="36" t="str">
        <f t="shared" si="66"/>
        <v>TP-06</v>
      </c>
      <c r="T306" s="42" t="str">
        <f t="shared" si="67"/>
        <v/>
      </c>
      <c r="U306" s="42" t="str">
        <f t="shared" si="68"/>
        <v>Assumption-based</v>
      </c>
      <c r="V306" s="42">
        <f t="shared" si="69"/>
        <v>3</v>
      </c>
      <c r="W306" s="42" t="str">
        <f t="shared" si="70"/>
        <v>Needs days</v>
      </c>
    </row>
    <row r="307" spans="1:23" ht="15" hidden="1" customHeight="1" x14ac:dyDescent="0.25">
      <c r="A307" s="36" t="str">
        <f>Claims!A303</f>
        <v>EXP00302</v>
      </c>
      <c r="B307" s="36" t="str">
        <f>Claims!D303</f>
        <v>M1</v>
      </c>
      <c r="C307" s="36" t="str">
        <f>Claims!E303</f>
        <v>Train</v>
      </c>
      <c r="D307" s="36" t="str">
        <f>Claims!G303</f>
        <v>Metro</v>
      </c>
      <c r="E307" s="40">
        <f>Claims!H303</f>
        <v>2992</v>
      </c>
      <c r="F307" s="36" t="str">
        <f>Claims!K303</f>
        <v>No</v>
      </c>
      <c r="G307" s="36" t="str">
        <f>IF(Claims!M303="","",Claims!M303)</f>
        <v/>
      </c>
      <c r="H307" s="36" t="str">
        <f>IF(Claims!N303="","",Claims!N303)</f>
        <v/>
      </c>
      <c r="I307" s="41">
        <f>Claims!J303-Claims!I303</f>
        <v>35</v>
      </c>
      <c r="J307" s="42" t="str">
        <f t="shared" si="57"/>
        <v>n/a</v>
      </c>
      <c r="K307" s="42" t="str">
        <f t="shared" si="58"/>
        <v>n/a</v>
      </c>
      <c r="L307" s="42" t="str">
        <f t="shared" si="59"/>
        <v>n/a</v>
      </c>
      <c r="M307" s="42" t="str">
        <f t="shared" si="60"/>
        <v>n/a</v>
      </c>
      <c r="N307" s="42" t="str">
        <f t="shared" si="61"/>
        <v>n/a</v>
      </c>
      <c r="O307" s="42" t="str">
        <f t="shared" si="62"/>
        <v>n/a</v>
      </c>
      <c r="P307" s="42" t="str">
        <f t="shared" si="63"/>
        <v>Violation</v>
      </c>
      <c r="Q307" s="42" t="str">
        <f t="shared" si="64"/>
        <v>Violation</v>
      </c>
      <c r="R307" s="42" t="str">
        <f t="shared" si="65"/>
        <v>Violation</v>
      </c>
      <c r="S307" s="36" t="str">
        <f t="shared" si="66"/>
        <v>TP-09, TP-10</v>
      </c>
      <c r="T307" s="42" t="str">
        <f t="shared" si="67"/>
        <v>Late</v>
      </c>
      <c r="U307" s="42" t="str">
        <f t="shared" si="68"/>
        <v>Definite</v>
      </c>
      <c r="V307" s="42" t="str">
        <f t="shared" si="69"/>
        <v/>
      </c>
      <c r="W307" s="42" t="str">
        <f t="shared" si="70"/>
        <v/>
      </c>
    </row>
    <row r="308" spans="1:23" ht="15" hidden="1" customHeight="1" x14ac:dyDescent="0.25">
      <c r="A308" s="36" t="str">
        <f>Claims!A304</f>
        <v>EXP00303</v>
      </c>
      <c r="B308" s="36" t="str">
        <f>Claims!D304</f>
        <v>M4</v>
      </c>
      <c r="C308" s="36" t="str">
        <f>Claims!E304</f>
        <v>Local Cab</v>
      </c>
      <c r="D308" s="36" t="str">
        <f>Claims!G304</f>
        <v>Metro</v>
      </c>
      <c r="E308" s="40">
        <f>Claims!H304</f>
        <v>393</v>
      </c>
      <c r="F308" s="36" t="str">
        <f>Claims!K304</f>
        <v>Yes</v>
      </c>
      <c r="G308" s="36" t="str">
        <f>IF(Claims!M304="","",Claims!M304)</f>
        <v/>
      </c>
      <c r="H308" s="36" t="str">
        <f>IF(Claims!N304="","",Claims!N304)</f>
        <v/>
      </c>
      <c r="I308" s="41">
        <f>Claims!J304-Claims!I304</f>
        <v>5</v>
      </c>
      <c r="J308" s="42" t="str">
        <f t="shared" si="57"/>
        <v>n/a</v>
      </c>
      <c r="K308" s="42" t="str">
        <f t="shared" si="58"/>
        <v>n/a</v>
      </c>
      <c r="L308" s="42" t="str">
        <f t="shared" si="59"/>
        <v>n/a</v>
      </c>
      <c r="M308" s="42" t="str">
        <f t="shared" si="60"/>
        <v>n/a</v>
      </c>
      <c r="N308" s="42" t="str">
        <f t="shared" si="61"/>
        <v>n/a</v>
      </c>
      <c r="O308" s="42" t="str">
        <f t="shared" si="62"/>
        <v>n/a</v>
      </c>
      <c r="P308" s="42" t="str">
        <f t="shared" si="63"/>
        <v>Compliant</v>
      </c>
      <c r="Q308" s="42" t="str">
        <f t="shared" si="64"/>
        <v>Compliant</v>
      </c>
      <c r="R308" s="42" t="str">
        <f t="shared" si="65"/>
        <v>Compliant</v>
      </c>
      <c r="S308" s="36" t="str">
        <f t="shared" si="66"/>
        <v/>
      </c>
      <c r="T308" s="42" t="str">
        <f t="shared" si="67"/>
        <v/>
      </c>
      <c r="U308" s="42" t="str">
        <f t="shared" si="68"/>
        <v/>
      </c>
      <c r="V308" s="42" t="str">
        <f t="shared" si="69"/>
        <v/>
      </c>
      <c r="W308" s="42" t="str">
        <f t="shared" si="70"/>
        <v/>
      </c>
    </row>
    <row r="309" spans="1:23" ht="15" hidden="1" customHeight="1" x14ac:dyDescent="0.25">
      <c r="A309" s="36" t="str">
        <f>Claims!A305</f>
        <v>EXP00304</v>
      </c>
      <c r="B309" s="36" t="str">
        <f>Claims!D305</f>
        <v>M3</v>
      </c>
      <c r="C309" s="36" t="str">
        <f>Claims!E305</f>
        <v>Hotel</v>
      </c>
      <c r="D309" s="36" t="str">
        <f>Claims!G305</f>
        <v>Non-metro</v>
      </c>
      <c r="E309" s="40">
        <f>Claims!H305</f>
        <v>8064</v>
      </c>
      <c r="F309" s="36" t="str">
        <f>Claims!K305</f>
        <v>Yes</v>
      </c>
      <c r="G309" s="36" t="str">
        <f>IF(Claims!M305="","",Claims!M305)</f>
        <v/>
      </c>
      <c r="H309" s="36" t="str">
        <f>IF(Claims!N305="","",Claims!N305)</f>
        <v/>
      </c>
      <c r="I309" s="41">
        <f>Claims!J305-Claims!I305</f>
        <v>14</v>
      </c>
      <c r="J309" s="42" t="str">
        <f t="shared" si="57"/>
        <v>n/a</v>
      </c>
      <c r="K309" s="42" t="str">
        <f t="shared" si="58"/>
        <v>n/a</v>
      </c>
      <c r="L309" s="42" t="str">
        <f t="shared" si="59"/>
        <v>n/a</v>
      </c>
      <c r="M309" s="42" t="str">
        <f t="shared" si="60"/>
        <v>Violation</v>
      </c>
      <c r="N309" s="42" t="str">
        <f t="shared" si="61"/>
        <v>n/a</v>
      </c>
      <c r="O309" s="42" t="str">
        <f t="shared" si="62"/>
        <v>n/a</v>
      </c>
      <c r="P309" s="42" t="str">
        <f t="shared" si="63"/>
        <v>Compliant</v>
      </c>
      <c r="Q309" s="42" t="str">
        <f t="shared" si="64"/>
        <v>Compliant</v>
      </c>
      <c r="R309" s="42" t="str">
        <f t="shared" si="65"/>
        <v>Violation</v>
      </c>
      <c r="S309" s="36" t="str">
        <f t="shared" si="66"/>
        <v>TP-05</v>
      </c>
      <c r="T309" s="42" t="str">
        <f t="shared" si="67"/>
        <v/>
      </c>
      <c r="U309" s="42" t="str">
        <f t="shared" si="68"/>
        <v>Assumption-based</v>
      </c>
      <c r="V309" s="42">
        <f t="shared" si="69"/>
        <v>2</v>
      </c>
      <c r="W309" s="42" t="str">
        <f t="shared" si="70"/>
        <v>Needs nights</v>
      </c>
    </row>
    <row r="310" spans="1:23" ht="15" hidden="1" customHeight="1" x14ac:dyDescent="0.25">
      <c r="A310" s="36" t="str">
        <f>Claims!A306</f>
        <v>EXP00305</v>
      </c>
      <c r="B310" s="36" t="str">
        <f>Claims!D306</f>
        <v>M4</v>
      </c>
      <c r="C310" s="36" t="str">
        <f>Claims!E306</f>
        <v>Client Entertainment</v>
      </c>
      <c r="D310" s="36" t="str">
        <f>Claims!G306</f>
        <v>Metro</v>
      </c>
      <c r="E310" s="40">
        <f>Claims!H306</f>
        <v>9383</v>
      </c>
      <c r="F310" s="36" t="str">
        <f>Claims!K306</f>
        <v>Yes</v>
      </c>
      <c r="G310" s="36" t="str">
        <f>IF(Claims!M306="","",Claims!M306)</f>
        <v/>
      </c>
      <c r="H310" s="36" t="str">
        <f>IF(Claims!N306="","",Claims!N306)</f>
        <v/>
      </c>
      <c r="I310" s="41">
        <f>Claims!J306-Claims!I306</f>
        <v>9</v>
      </c>
      <c r="J310" s="42" t="str">
        <f t="shared" si="57"/>
        <v>n/a</v>
      </c>
      <c r="K310" s="42" t="str">
        <f t="shared" si="58"/>
        <v>n/a</v>
      </c>
      <c r="L310" s="42" t="str">
        <f t="shared" si="59"/>
        <v>n/a</v>
      </c>
      <c r="M310" s="42" t="str">
        <f t="shared" si="60"/>
        <v>n/a</v>
      </c>
      <c r="N310" s="42" t="str">
        <f t="shared" si="61"/>
        <v>n/a</v>
      </c>
      <c r="O310" s="42" t="str">
        <f t="shared" si="62"/>
        <v>n/a</v>
      </c>
      <c r="P310" s="42" t="str">
        <f t="shared" si="63"/>
        <v>Compliant</v>
      </c>
      <c r="Q310" s="42" t="str">
        <f t="shared" si="64"/>
        <v>Compliant</v>
      </c>
      <c r="R310" s="42" t="str">
        <f t="shared" si="65"/>
        <v>Compliant</v>
      </c>
      <c r="S310" s="36" t="str">
        <f t="shared" si="66"/>
        <v/>
      </c>
      <c r="T310" s="42" t="str">
        <f t="shared" si="67"/>
        <v/>
      </c>
      <c r="U310" s="42" t="str">
        <f t="shared" si="68"/>
        <v/>
      </c>
      <c r="V310" s="42" t="str">
        <f t="shared" si="69"/>
        <v/>
      </c>
      <c r="W310" s="42" t="str">
        <f t="shared" si="70"/>
        <v/>
      </c>
    </row>
    <row r="311" spans="1:23" ht="15" hidden="1" customHeight="1" x14ac:dyDescent="0.25">
      <c r="A311" s="36" t="str">
        <f>Claims!A307</f>
        <v>EXP00306</v>
      </c>
      <c r="B311" s="36" t="str">
        <f>Claims!D307</f>
        <v>M2</v>
      </c>
      <c r="C311" s="36" t="str">
        <f>Claims!E307</f>
        <v>Stationery</v>
      </c>
      <c r="D311" s="36" t="str">
        <f>Claims!G307</f>
        <v>Metro</v>
      </c>
      <c r="E311" s="40">
        <f>Claims!H307</f>
        <v>1029</v>
      </c>
      <c r="F311" s="36" t="str">
        <f>Claims!K307</f>
        <v>Yes</v>
      </c>
      <c r="G311" s="36" t="str">
        <f>IF(Claims!M307="","",Claims!M307)</f>
        <v/>
      </c>
      <c r="H311" s="36" t="str">
        <f>IF(Claims!N307="","",Claims!N307)</f>
        <v/>
      </c>
      <c r="I311" s="41">
        <f>Claims!J307-Claims!I307</f>
        <v>5</v>
      </c>
      <c r="J311" s="42" t="str">
        <f t="shared" si="57"/>
        <v>n/a</v>
      </c>
      <c r="K311" s="42" t="str">
        <f t="shared" si="58"/>
        <v>n/a</v>
      </c>
      <c r="L311" s="42" t="str">
        <f t="shared" si="59"/>
        <v>n/a</v>
      </c>
      <c r="M311" s="42" t="str">
        <f t="shared" si="60"/>
        <v>n/a</v>
      </c>
      <c r="N311" s="42" t="str">
        <f t="shared" si="61"/>
        <v>n/a</v>
      </c>
      <c r="O311" s="42" t="str">
        <f t="shared" si="62"/>
        <v>n/a</v>
      </c>
      <c r="P311" s="42" t="str">
        <f t="shared" si="63"/>
        <v>Compliant</v>
      </c>
      <c r="Q311" s="42" t="str">
        <f t="shared" si="64"/>
        <v>Compliant</v>
      </c>
      <c r="R311" s="42" t="str">
        <f t="shared" si="65"/>
        <v>Compliant</v>
      </c>
      <c r="S311" s="36" t="str">
        <f t="shared" si="66"/>
        <v/>
      </c>
      <c r="T311" s="42" t="str">
        <f t="shared" si="67"/>
        <v/>
      </c>
      <c r="U311" s="42" t="str">
        <f t="shared" si="68"/>
        <v/>
      </c>
      <c r="V311" s="42" t="str">
        <f t="shared" si="69"/>
        <v/>
      </c>
      <c r="W311" s="42" t="str">
        <f t="shared" si="70"/>
        <v/>
      </c>
    </row>
    <row r="312" spans="1:23" ht="15" hidden="1" customHeight="1" x14ac:dyDescent="0.25">
      <c r="A312" s="36" t="str">
        <f>Claims!A308</f>
        <v>EXP00307</v>
      </c>
      <c r="B312" s="36" t="str">
        <f>Claims!D308</f>
        <v>M2</v>
      </c>
      <c r="C312" s="36" t="str">
        <f>Claims!E308</f>
        <v>Hotel</v>
      </c>
      <c r="D312" s="36" t="str">
        <f>Claims!G308</f>
        <v>Metro</v>
      </c>
      <c r="E312" s="40">
        <f>Claims!H308</f>
        <v>3362</v>
      </c>
      <c r="F312" s="36" t="str">
        <f>Claims!K308</f>
        <v>Yes</v>
      </c>
      <c r="G312" s="36" t="str">
        <f>IF(Claims!M308="","",Claims!M308)</f>
        <v/>
      </c>
      <c r="H312" s="36" t="str">
        <f>IF(Claims!N308="","",Claims!N308)</f>
        <v/>
      </c>
      <c r="I312" s="41">
        <f>Claims!J308-Claims!I308</f>
        <v>2</v>
      </c>
      <c r="J312" s="42" t="str">
        <f t="shared" si="57"/>
        <v>n/a</v>
      </c>
      <c r="K312" s="42" t="str">
        <f t="shared" si="58"/>
        <v>n/a</v>
      </c>
      <c r="L312" s="42" t="str">
        <f t="shared" si="59"/>
        <v>Compliant</v>
      </c>
      <c r="M312" s="42" t="str">
        <f t="shared" si="60"/>
        <v>n/a</v>
      </c>
      <c r="N312" s="42" t="str">
        <f t="shared" si="61"/>
        <v>n/a</v>
      </c>
      <c r="O312" s="42" t="str">
        <f t="shared" si="62"/>
        <v>n/a</v>
      </c>
      <c r="P312" s="42" t="str">
        <f t="shared" si="63"/>
        <v>Compliant</v>
      </c>
      <c r="Q312" s="42" t="str">
        <f t="shared" si="64"/>
        <v>Compliant</v>
      </c>
      <c r="R312" s="42" t="str">
        <f t="shared" si="65"/>
        <v>Compliant</v>
      </c>
      <c r="S312" s="36" t="str">
        <f t="shared" si="66"/>
        <v/>
      </c>
      <c r="T312" s="42" t="str">
        <f t="shared" si="67"/>
        <v/>
      </c>
      <c r="U312" s="42" t="str">
        <f t="shared" si="68"/>
        <v/>
      </c>
      <c r="V312" s="42" t="str">
        <f t="shared" si="69"/>
        <v/>
      </c>
      <c r="W312" s="42" t="str">
        <f t="shared" si="70"/>
        <v/>
      </c>
    </row>
    <row r="313" spans="1:23" ht="15" hidden="1" customHeight="1" x14ac:dyDescent="0.25">
      <c r="A313" s="36" t="str">
        <f>Claims!A309</f>
        <v>EXP00308</v>
      </c>
      <c r="B313" s="36" t="str">
        <f>Claims!D309</f>
        <v>M1</v>
      </c>
      <c r="C313" s="36" t="str">
        <f>Claims!E309</f>
        <v>Local Cab</v>
      </c>
      <c r="D313" s="36" t="str">
        <f>Claims!G309</f>
        <v>Metro</v>
      </c>
      <c r="E313" s="40">
        <f>Claims!H309</f>
        <v>379</v>
      </c>
      <c r="F313" s="36" t="str">
        <f>Claims!K309</f>
        <v>Yes</v>
      </c>
      <c r="G313" s="36" t="str">
        <f>IF(Claims!M309="","",Claims!M309)</f>
        <v/>
      </c>
      <c r="H313" s="36" t="str">
        <f>IF(Claims!N309="","",Claims!N309)</f>
        <v/>
      </c>
      <c r="I313" s="41">
        <f>Claims!J309-Claims!I309</f>
        <v>35</v>
      </c>
      <c r="J313" s="42" t="str">
        <f t="shared" si="57"/>
        <v>n/a</v>
      </c>
      <c r="K313" s="42" t="str">
        <f t="shared" si="58"/>
        <v>n/a</v>
      </c>
      <c r="L313" s="42" t="str">
        <f t="shared" si="59"/>
        <v>n/a</v>
      </c>
      <c r="M313" s="42" t="str">
        <f t="shared" si="60"/>
        <v>n/a</v>
      </c>
      <c r="N313" s="42" t="str">
        <f t="shared" si="61"/>
        <v>n/a</v>
      </c>
      <c r="O313" s="42" t="str">
        <f t="shared" si="62"/>
        <v>n/a</v>
      </c>
      <c r="P313" s="42" t="str">
        <f t="shared" si="63"/>
        <v>Compliant</v>
      </c>
      <c r="Q313" s="42" t="str">
        <f t="shared" si="64"/>
        <v>Violation</v>
      </c>
      <c r="R313" s="42" t="str">
        <f t="shared" si="65"/>
        <v>Violation</v>
      </c>
      <c r="S313" s="36" t="str">
        <f t="shared" si="66"/>
        <v>TP-10</v>
      </c>
      <c r="T313" s="42" t="str">
        <f t="shared" si="67"/>
        <v>Late</v>
      </c>
      <c r="U313" s="42" t="str">
        <f t="shared" si="68"/>
        <v>Definite</v>
      </c>
      <c r="V313" s="42" t="str">
        <f t="shared" si="69"/>
        <v/>
      </c>
      <c r="W313" s="42" t="str">
        <f t="shared" si="70"/>
        <v/>
      </c>
    </row>
    <row r="314" spans="1:23" ht="15" hidden="1" customHeight="1" x14ac:dyDescent="0.25">
      <c r="A314" s="36" t="str">
        <f>Claims!A310</f>
        <v>EXP00309</v>
      </c>
      <c r="B314" s="36" t="str">
        <f>Claims!D310</f>
        <v>M3</v>
      </c>
      <c r="C314" s="36" t="str">
        <f>Claims!E310</f>
        <v>Hotel</v>
      </c>
      <c r="D314" s="36" t="str">
        <f>Claims!G310</f>
        <v>Non-metro</v>
      </c>
      <c r="E314" s="40">
        <f>Claims!H310</f>
        <v>8386</v>
      </c>
      <c r="F314" s="36" t="str">
        <f>Claims!K310</f>
        <v>No</v>
      </c>
      <c r="G314" s="36" t="str">
        <f>IF(Claims!M310="","",Claims!M310)</f>
        <v/>
      </c>
      <c r="H314" s="36" t="str">
        <f>IF(Claims!N310="","",Claims!N310)</f>
        <v/>
      </c>
      <c r="I314" s="41">
        <f>Claims!J310-Claims!I310</f>
        <v>14</v>
      </c>
      <c r="J314" s="42" t="str">
        <f t="shared" si="57"/>
        <v>n/a</v>
      </c>
      <c r="K314" s="42" t="str">
        <f t="shared" si="58"/>
        <v>n/a</v>
      </c>
      <c r="L314" s="42" t="str">
        <f t="shared" si="59"/>
        <v>n/a</v>
      </c>
      <c r="M314" s="42" t="str">
        <f t="shared" si="60"/>
        <v>Violation</v>
      </c>
      <c r="N314" s="42" t="str">
        <f t="shared" si="61"/>
        <v>n/a</v>
      </c>
      <c r="O314" s="42" t="str">
        <f t="shared" si="62"/>
        <v>n/a</v>
      </c>
      <c r="P314" s="42" t="str">
        <f t="shared" si="63"/>
        <v>Violation</v>
      </c>
      <c r="Q314" s="42" t="str">
        <f t="shared" si="64"/>
        <v>Compliant</v>
      </c>
      <c r="R314" s="42" t="str">
        <f t="shared" si="65"/>
        <v>Violation</v>
      </c>
      <c r="S314" s="36" t="str">
        <f t="shared" si="66"/>
        <v>TP-05, TP-09</v>
      </c>
      <c r="T314" s="42" t="str">
        <f t="shared" si="67"/>
        <v/>
      </c>
      <c r="U314" s="42" t="str">
        <f t="shared" si="68"/>
        <v>Definite</v>
      </c>
      <c r="V314" s="42">
        <f t="shared" si="69"/>
        <v>2</v>
      </c>
      <c r="W314" s="42" t="str">
        <f t="shared" si="70"/>
        <v>Needs nights</v>
      </c>
    </row>
    <row r="315" spans="1:23" ht="15" hidden="1" customHeight="1" x14ac:dyDescent="0.25">
      <c r="A315" s="36" t="str">
        <f>Claims!A311</f>
        <v>EXP00310</v>
      </c>
      <c r="B315" s="36" t="str">
        <f>Claims!D311</f>
        <v>M1</v>
      </c>
      <c r="C315" s="36" t="str">
        <f>Claims!E311</f>
        <v>Train</v>
      </c>
      <c r="D315" s="36" t="str">
        <f>Claims!G311</f>
        <v>Metro</v>
      </c>
      <c r="E315" s="40">
        <f>Claims!H311</f>
        <v>3662</v>
      </c>
      <c r="F315" s="36" t="str">
        <f>Claims!K311</f>
        <v>No</v>
      </c>
      <c r="G315" s="36" t="str">
        <f>IF(Claims!M311="","",Claims!M311)</f>
        <v/>
      </c>
      <c r="H315" s="36" t="str">
        <f>IF(Claims!N311="","",Claims!N311)</f>
        <v/>
      </c>
      <c r="I315" s="41">
        <f>Claims!J311-Claims!I311</f>
        <v>14</v>
      </c>
      <c r="J315" s="42" t="str">
        <f t="shared" si="57"/>
        <v>n/a</v>
      </c>
      <c r="K315" s="42" t="str">
        <f t="shared" si="58"/>
        <v>n/a</v>
      </c>
      <c r="L315" s="42" t="str">
        <f t="shared" si="59"/>
        <v>n/a</v>
      </c>
      <c r="M315" s="42" t="str">
        <f t="shared" si="60"/>
        <v>n/a</v>
      </c>
      <c r="N315" s="42" t="str">
        <f t="shared" si="61"/>
        <v>n/a</v>
      </c>
      <c r="O315" s="42" t="str">
        <f t="shared" si="62"/>
        <v>n/a</v>
      </c>
      <c r="P315" s="42" t="str">
        <f t="shared" si="63"/>
        <v>Violation</v>
      </c>
      <c r="Q315" s="42" t="str">
        <f t="shared" si="64"/>
        <v>Compliant</v>
      </c>
      <c r="R315" s="42" t="str">
        <f t="shared" si="65"/>
        <v>Violation</v>
      </c>
      <c r="S315" s="36" t="str">
        <f t="shared" si="66"/>
        <v>TP-09</v>
      </c>
      <c r="T315" s="42" t="str">
        <f t="shared" si="67"/>
        <v/>
      </c>
      <c r="U315" s="42" t="str">
        <f t="shared" si="68"/>
        <v>Definite</v>
      </c>
      <c r="V315" s="42" t="str">
        <f t="shared" si="69"/>
        <v/>
      </c>
      <c r="W315" s="42" t="str">
        <f t="shared" si="70"/>
        <v/>
      </c>
    </row>
    <row r="316" spans="1:23" ht="15" hidden="1" customHeight="1" x14ac:dyDescent="0.25">
      <c r="A316" s="36" t="str">
        <f>Claims!A312</f>
        <v>EXP00311</v>
      </c>
      <c r="B316" s="36" t="str">
        <f>Claims!D312</f>
        <v>M3</v>
      </c>
      <c r="C316" s="36" t="str">
        <f>Claims!E312</f>
        <v>Local Cab</v>
      </c>
      <c r="D316" s="36" t="str">
        <f>Claims!G312</f>
        <v>Non-metro</v>
      </c>
      <c r="E316" s="40">
        <f>Claims!H312</f>
        <v>488</v>
      </c>
      <c r="F316" s="36" t="str">
        <f>Claims!K312</f>
        <v>Yes</v>
      </c>
      <c r="G316" s="36" t="str">
        <f>IF(Claims!M312="","",Claims!M312)</f>
        <v/>
      </c>
      <c r="H316" s="36" t="str">
        <f>IF(Claims!N312="","",Claims!N312)</f>
        <v/>
      </c>
      <c r="I316" s="41">
        <f>Claims!J312-Claims!I312</f>
        <v>5</v>
      </c>
      <c r="J316" s="42" t="str">
        <f t="shared" si="57"/>
        <v>n/a</v>
      </c>
      <c r="K316" s="42" t="str">
        <f t="shared" si="58"/>
        <v>n/a</v>
      </c>
      <c r="L316" s="42" t="str">
        <f t="shared" si="59"/>
        <v>n/a</v>
      </c>
      <c r="M316" s="42" t="str">
        <f t="shared" si="60"/>
        <v>n/a</v>
      </c>
      <c r="N316" s="42" t="str">
        <f t="shared" si="61"/>
        <v>n/a</v>
      </c>
      <c r="O316" s="42" t="str">
        <f t="shared" si="62"/>
        <v>n/a</v>
      </c>
      <c r="P316" s="42" t="str">
        <f t="shared" si="63"/>
        <v>Compliant</v>
      </c>
      <c r="Q316" s="42" t="str">
        <f t="shared" si="64"/>
        <v>Compliant</v>
      </c>
      <c r="R316" s="42" t="str">
        <f t="shared" si="65"/>
        <v>Compliant</v>
      </c>
      <c r="S316" s="36" t="str">
        <f t="shared" si="66"/>
        <v/>
      </c>
      <c r="T316" s="42" t="str">
        <f t="shared" si="67"/>
        <v/>
      </c>
      <c r="U316" s="42" t="str">
        <f t="shared" si="68"/>
        <v/>
      </c>
      <c r="V316" s="42" t="str">
        <f t="shared" si="69"/>
        <v/>
      </c>
      <c r="W316" s="42" t="str">
        <f t="shared" si="70"/>
        <v/>
      </c>
    </row>
    <row r="317" spans="1:23" ht="15" hidden="1" customHeight="1" x14ac:dyDescent="0.25">
      <c r="A317" s="36" t="str">
        <f>Claims!A313</f>
        <v>EXP00312</v>
      </c>
      <c r="B317" s="36" t="str">
        <f>Claims!D313</f>
        <v>M1</v>
      </c>
      <c r="C317" s="36" t="str">
        <f>Claims!E313</f>
        <v>Stationery</v>
      </c>
      <c r="D317" s="36" t="str">
        <f>Claims!G313</f>
        <v>Non-metro</v>
      </c>
      <c r="E317" s="40">
        <f>Claims!H313</f>
        <v>352</v>
      </c>
      <c r="F317" s="36" t="str">
        <f>Claims!K313</f>
        <v>Yes</v>
      </c>
      <c r="G317" s="36" t="str">
        <f>IF(Claims!M313="","",Claims!M313)</f>
        <v/>
      </c>
      <c r="H317" s="36" t="str">
        <f>IF(Claims!N313="","",Claims!N313)</f>
        <v/>
      </c>
      <c r="I317" s="41">
        <f>Claims!J313-Claims!I313</f>
        <v>2</v>
      </c>
      <c r="J317" s="42" t="str">
        <f t="shared" si="57"/>
        <v>n/a</v>
      </c>
      <c r="K317" s="42" t="str">
        <f t="shared" si="58"/>
        <v>n/a</v>
      </c>
      <c r="L317" s="42" t="str">
        <f t="shared" si="59"/>
        <v>n/a</v>
      </c>
      <c r="M317" s="42" t="str">
        <f t="shared" si="60"/>
        <v>n/a</v>
      </c>
      <c r="N317" s="42" t="str">
        <f t="shared" si="61"/>
        <v>n/a</v>
      </c>
      <c r="O317" s="42" t="str">
        <f t="shared" si="62"/>
        <v>n/a</v>
      </c>
      <c r="P317" s="42" t="str">
        <f t="shared" si="63"/>
        <v>Compliant</v>
      </c>
      <c r="Q317" s="42" t="str">
        <f t="shared" si="64"/>
        <v>Compliant</v>
      </c>
      <c r="R317" s="42" t="str">
        <f t="shared" si="65"/>
        <v>Compliant</v>
      </c>
      <c r="S317" s="36" t="str">
        <f t="shared" si="66"/>
        <v/>
      </c>
      <c r="T317" s="42" t="str">
        <f t="shared" si="67"/>
        <v/>
      </c>
      <c r="U317" s="42" t="str">
        <f t="shared" si="68"/>
        <v/>
      </c>
      <c r="V317" s="42" t="str">
        <f t="shared" si="69"/>
        <v/>
      </c>
      <c r="W317" s="42" t="str">
        <f t="shared" si="70"/>
        <v/>
      </c>
    </row>
    <row r="318" spans="1:23" ht="15" hidden="1" customHeight="1" x14ac:dyDescent="0.25">
      <c r="A318" s="36" t="str">
        <f>Claims!A314</f>
        <v>EXP00313</v>
      </c>
      <c r="B318" s="36" t="str">
        <f>Claims!D314</f>
        <v>M2</v>
      </c>
      <c r="C318" s="36" t="str">
        <f>Claims!E314</f>
        <v>Flight</v>
      </c>
      <c r="D318" s="36" t="str">
        <f>Claims!G314</f>
        <v>Non-metro</v>
      </c>
      <c r="E318" s="40">
        <f>Claims!H314</f>
        <v>7209</v>
      </c>
      <c r="F318" s="36" t="str">
        <f>Claims!K314</f>
        <v>No</v>
      </c>
      <c r="G318" s="36">
        <f>IF(Claims!M314="","",Claims!M314)</f>
        <v>9</v>
      </c>
      <c r="H318" s="36" t="str">
        <f>IF(Claims!N314="","",Claims!N314)</f>
        <v>Economy</v>
      </c>
      <c r="I318" s="41">
        <f>Claims!J314-Claims!I314</f>
        <v>14</v>
      </c>
      <c r="J318" s="42" t="str">
        <f t="shared" si="57"/>
        <v>Compliant</v>
      </c>
      <c r="K318" s="42" t="str">
        <f t="shared" si="58"/>
        <v>Compliant</v>
      </c>
      <c r="L318" s="42" t="str">
        <f t="shared" si="59"/>
        <v>n/a</v>
      </c>
      <c r="M318" s="42" t="str">
        <f t="shared" si="60"/>
        <v>n/a</v>
      </c>
      <c r="N318" s="42" t="str">
        <f t="shared" si="61"/>
        <v>n/a</v>
      </c>
      <c r="O318" s="42" t="str">
        <f t="shared" si="62"/>
        <v>n/a</v>
      </c>
      <c r="P318" s="42" t="str">
        <f t="shared" si="63"/>
        <v>Violation</v>
      </c>
      <c r="Q318" s="42" t="str">
        <f t="shared" si="64"/>
        <v>Compliant</v>
      </c>
      <c r="R318" s="42" t="str">
        <f t="shared" si="65"/>
        <v>Violation</v>
      </c>
      <c r="S318" s="36" t="str">
        <f t="shared" si="66"/>
        <v>TP-09</v>
      </c>
      <c r="T318" s="42" t="str">
        <f t="shared" si="67"/>
        <v/>
      </c>
      <c r="U318" s="42" t="str">
        <f t="shared" si="68"/>
        <v>Definite</v>
      </c>
      <c r="V318" s="42" t="str">
        <f t="shared" si="69"/>
        <v/>
      </c>
      <c r="W318" s="42" t="str">
        <f t="shared" si="70"/>
        <v/>
      </c>
    </row>
    <row r="319" spans="1:23" ht="15" hidden="1" customHeight="1" x14ac:dyDescent="0.25">
      <c r="A319" s="36" t="str">
        <f>Claims!A315</f>
        <v>EXP00314</v>
      </c>
      <c r="B319" s="36" t="str">
        <f>Claims!D315</f>
        <v>M1</v>
      </c>
      <c r="C319" s="36" t="str">
        <f>Claims!E315</f>
        <v>Flight</v>
      </c>
      <c r="D319" s="36" t="str">
        <f>Claims!G315</f>
        <v>Non-metro</v>
      </c>
      <c r="E319" s="40">
        <f>Claims!H315</f>
        <v>10708</v>
      </c>
      <c r="F319" s="36" t="str">
        <f>Claims!K315</f>
        <v>Yes</v>
      </c>
      <c r="G319" s="36">
        <f>IF(Claims!M315="","",Claims!M315)</f>
        <v>17</v>
      </c>
      <c r="H319" s="36" t="str">
        <f>IF(Claims!N315="","",Claims!N315)</f>
        <v>Business</v>
      </c>
      <c r="I319" s="41">
        <f>Claims!J315-Claims!I315</f>
        <v>20</v>
      </c>
      <c r="J319" s="42" t="str">
        <f t="shared" si="57"/>
        <v>Violation</v>
      </c>
      <c r="K319" s="42" t="str">
        <f t="shared" si="58"/>
        <v>Compliant</v>
      </c>
      <c r="L319" s="42" t="str">
        <f t="shared" si="59"/>
        <v>n/a</v>
      </c>
      <c r="M319" s="42" t="str">
        <f t="shared" si="60"/>
        <v>n/a</v>
      </c>
      <c r="N319" s="42" t="str">
        <f t="shared" si="61"/>
        <v>n/a</v>
      </c>
      <c r="O319" s="42" t="str">
        <f t="shared" si="62"/>
        <v>n/a</v>
      </c>
      <c r="P319" s="42" t="str">
        <f t="shared" si="63"/>
        <v>Compliant</v>
      </c>
      <c r="Q319" s="42" t="str">
        <f t="shared" si="64"/>
        <v>Violation</v>
      </c>
      <c r="R319" s="42" t="str">
        <f t="shared" si="65"/>
        <v>Violation</v>
      </c>
      <c r="S319" s="36" t="str">
        <f t="shared" si="66"/>
        <v>TP-01, TP-10</v>
      </c>
      <c r="T319" s="42" t="str">
        <f t="shared" si="67"/>
        <v>Late</v>
      </c>
      <c r="U319" s="42" t="str">
        <f t="shared" si="68"/>
        <v>Definite</v>
      </c>
      <c r="V319" s="42" t="str">
        <f t="shared" si="69"/>
        <v/>
      </c>
      <c r="W319" s="42" t="str">
        <f t="shared" si="70"/>
        <v/>
      </c>
    </row>
    <row r="320" spans="1:23" ht="15" hidden="1" customHeight="1" x14ac:dyDescent="0.25">
      <c r="A320" s="36" t="str">
        <f>Claims!A316</f>
        <v>EXP00315</v>
      </c>
      <c r="B320" s="36" t="str">
        <f>Claims!D316</f>
        <v>M1</v>
      </c>
      <c r="C320" s="36" t="str">
        <f>Claims!E316</f>
        <v>Local Cab</v>
      </c>
      <c r="D320" s="36" t="str">
        <f>Claims!G316</f>
        <v>Non-metro</v>
      </c>
      <c r="E320" s="40">
        <f>Claims!H316</f>
        <v>908</v>
      </c>
      <c r="F320" s="36" t="str">
        <f>Claims!K316</f>
        <v>Yes</v>
      </c>
      <c r="G320" s="36" t="str">
        <f>IF(Claims!M316="","",Claims!M316)</f>
        <v/>
      </c>
      <c r="H320" s="36" t="str">
        <f>IF(Claims!N316="","",Claims!N316)</f>
        <v/>
      </c>
      <c r="I320" s="41">
        <f>Claims!J316-Claims!I316</f>
        <v>14</v>
      </c>
      <c r="J320" s="42" t="str">
        <f t="shared" si="57"/>
        <v>n/a</v>
      </c>
      <c r="K320" s="42" t="str">
        <f t="shared" si="58"/>
        <v>n/a</v>
      </c>
      <c r="L320" s="42" t="str">
        <f t="shared" si="59"/>
        <v>n/a</v>
      </c>
      <c r="M320" s="42" t="str">
        <f t="shared" si="60"/>
        <v>n/a</v>
      </c>
      <c r="N320" s="42" t="str">
        <f t="shared" si="61"/>
        <v>n/a</v>
      </c>
      <c r="O320" s="42" t="str">
        <f t="shared" si="62"/>
        <v>n/a</v>
      </c>
      <c r="P320" s="42" t="str">
        <f t="shared" si="63"/>
        <v>Compliant</v>
      </c>
      <c r="Q320" s="42" t="str">
        <f t="shared" si="64"/>
        <v>Compliant</v>
      </c>
      <c r="R320" s="42" t="str">
        <f t="shared" si="65"/>
        <v>Compliant</v>
      </c>
      <c r="S320" s="36" t="str">
        <f t="shared" si="66"/>
        <v/>
      </c>
      <c r="T320" s="42" t="str">
        <f t="shared" si="67"/>
        <v/>
      </c>
      <c r="U320" s="42" t="str">
        <f t="shared" si="68"/>
        <v/>
      </c>
      <c r="V320" s="42" t="str">
        <f t="shared" si="69"/>
        <v/>
      </c>
      <c r="W320" s="42" t="str">
        <f t="shared" si="70"/>
        <v/>
      </c>
    </row>
    <row r="321" spans="1:23" ht="15" customHeight="1" x14ac:dyDescent="0.25">
      <c r="A321" s="36" t="str">
        <f>Claims!A317</f>
        <v>EXP00316</v>
      </c>
      <c r="B321" s="36" t="str">
        <f>Claims!D317</f>
        <v>M1</v>
      </c>
      <c r="C321" s="36" t="str">
        <f>Claims!E317</f>
        <v>Meals/DA</v>
      </c>
      <c r="D321" s="36" t="str">
        <f>Claims!G317</f>
        <v>Metro</v>
      </c>
      <c r="E321" s="40">
        <f>Claims!H317</f>
        <v>1989</v>
      </c>
      <c r="F321" s="36" t="str">
        <f>Claims!K317</f>
        <v>No</v>
      </c>
      <c r="G321" s="36" t="str">
        <f>IF(Claims!M317="","",Claims!M317)</f>
        <v/>
      </c>
      <c r="H321" s="36" t="str">
        <f>IF(Claims!N317="","",Claims!N317)</f>
        <v/>
      </c>
      <c r="I321" s="41">
        <f>Claims!J317-Claims!I317</f>
        <v>20</v>
      </c>
      <c r="J321" s="42" t="str">
        <f t="shared" si="57"/>
        <v>n/a</v>
      </c>
      <c r="K321" s="42" t="str">
        <f t="shared" si="58"/>
        <v>n/a</v>
      </c>
      <c r="L321" s="42" t="str">
        <f t="shared" si="59"/>
        <v>n/a</v>
      </c>
      <c r="M321" s="42" t="str">
        <f t="shared" si="60"/>
        <v>n/a</v>
      </c>
      <c r="N321" s="42" t="str">
        <f t="shared" si="61"/>
        <v>Violation</v>
      </c>
      <c r="O321" s="42" t="str">
        <f t="shared" si="62"/>
        <v>n/a</v>
      </c>
      <c r="P321" s="42" t="str">
        <f t="shared" si="63"/>
        <v>Violation</v>
      </c>
      <c r="Q321" s="42" t="str">
        <f t="shared" si="64"/>
        <v>Violation</v>
      </c>
      <c r="R321" s="42" t="str">
        <f t="shared" si="65"/>
        <v>Violation</v>
      </c>
      <c r="S321" s="36" t="str">
        <f t="shared" si="66"/>
        <v>TP-06, TP-09, TP-10</v>
      </c>
      <c r="T321" s="42" t="str">
        <f t="shared" si="67"/>
        <v>Late</v>
      </c>
      <c r="U321" s="42" t="str">
        <f t="shared" si="68"/>
        <v>Definite</v>
      </c>
      <c r="V321" s="42">
        <f t="shared" si="69"/>
        <v>2</v>
      </c>
      <c r="W321" s="42" t="str">
        <f t="shared" si="70"/>
        <v>Needs days</v>
      </c>
    </row>
    <row r="322" spans="1:23" ht="15" hidden="1" customHeight="1" x14ac:dyDescent="0.25">
      <c r="A322" s="36" t="str">
        <f>Claims!A318</f>
        <v>EXP00317</v>
      </c>
      <c r="B322" s="36" t="str">
        <f>Claims!D318</f>
        <v>M2</v>
      </c>
      <c r="C322" s="36" t="str">
        <f>Claims!E318</f>
        <v>Meals/DA</v>
      </c>
      <c r="D322" s="36" t="str">
        <f>Claims!G318</f>
        <v>Metro</v>
      </c>
      <c r="E322" s="40">
        <f>Claims!H318</f>
        <v>1120</v>
      </c>
      <c r="F322" s="36" t="str">
        <f>Claims!K318</f>
        <v>Yes</v>
      </c>
      <c r="G322" s="36" t="str">
        <f>IF(Claims!M318="","",Claims!M318)</f>
        <v/>
      </c>
      <c r="H322" s="36" t="str">
        <f>IF(Claims!N318="","",Claims!N318)</f>
        <v/>
      </c>
      <c r="I322" s="41">
        <f>Claims!J318-Claims!I318</f>
        <v>5</v>
      </c>
      <c r="J322" s="42" t="str">
        <f t="shared" si="57"/>
        <v>n/a</v>
      </c>
      <c r="K322" s="42" t="str">
        <f t="shared" si="58"/>
        <v>n/a</v>
      </c>
      <c r="L322" s="42" t="str">
        <f t="shared" si="59"/>
        <v>n/a</v>
      </c>
      <c r="M322" s="42" t="str">
        <f t="shared" si="60"/>
        <v>n/a</v>
      </c>
      <c r="N322" s="42" t="str">
        <f t="shared" si="61"/>
        <v>Compliant</v>
      </c>
      <c r="O322" s="42" t="str">
        <f t="shared" si="62"/>
        <v>n/a</v>
      </c>
      <c r="P322" s="42" t="str">
        <f t="shared" si="63"/>
        <v>Compliant</v>
      </c>
      <c r="Q322" s="42" t="str">
        <f t="shared" si="64"/>
        <v>Compliant</v>
      </c>
      <c r="R322" s="42" t="str">
        <f t="shared" si="65"/>
        <v>Compliant</v>
      </c>
      <c r="S322" s="36" t="str">
        <f t="shared" si="66"/>
        <v/>
      </c>
      <c r="T322" s="42" t="str">
        <f t="shared" si="67"/>
        <v/>
      </c>
      <c r="U322" s="42" t="str">
        <f t="shared" si="68"/>
        <v/>
      </c>
      <c r="V322" s="42" t="str">
        <f t="shared" si="69"/>
        <v/>
      </c>
      <c r="W322" s="42" t="str">
        <f t="shared" si="70"/>
        <v/>
      </c>
    </row>
    <row r="323" spans="1:23" ht="15" hidden="1" customHeight="1" x14ac:dyDescent="0.25">
      <c r="A323" s="36" t="str">
        <f>Claims!A319</f>
        <v>EXP00318</v>
      </c>
      <c r="B323" s="36" t="str">
        <f>Claims!D319</f>
        <v>M2</v>
      </c>
      <c r="C323" s="36" t="str">
        <f>Claims!E319</f>
        <v>Stationery</v>
      </c>
      <c r="D323" s="36" t="str">
        <f>Claims!G319</f>
        <v>Metro</v>
      </c>
      <c r="E323" s="40">
        <f>Claims!H319</f>
        <v>1456</v>
      </c>
      <c r="F323" s="36" t="str">
        <f>Claims!K319</f>
        <v>Yes</v>
      </c>
      <c r="G323" s="36" t="str">
        <f>IF(Claims!M319="","",Claims!M319)</f>
        <v/>
      </c>
      <c r="H323" s="36" t="str">
        <f>IF(Claims!N319="","",Claims!N319)</f>
        <v/>
      </c>
      <c r="I323" s="41">
        <f>Claims!J319-Claims!I319</f>
        <v>2</v>
      </c>
      <c r="J323" s="42" t="str">
        <f t="shared" si="57"/>
        <v>n/a</v>
      </c>
      <c r="K323" s="42" t="str">
        <f t="shared" si="58"/>
        <v>n/a</v>
      </c>
      <c r="L323" s="42" t="str">
        <f t="shared" si="59"/>
        <v>n/a</v>
      </c>
      <c r="M323" s="42" t="str">
        <f t="shared" si="60"/>
        <v>n/a</v>
      </c>
      <c r="N323" s="42" t="str">
        <f t="shared" si="61"/>
        <v>n/a</v>
      </c>
      <c r="O323" s="42" t="str">
        <f t="shared" si="62"/>
        <v>n/a</v>
      </c>
      <c r="P323" s="42" t="str">
        <f t="shared" si="63"/>
        <v>Compliant</v>
      </c>
      <c r="Q323" s="42" t="str">
        <f t="shared" si="64"/>
        <v>Compliant</v>
      </c>
      <c r="R323" s="42" t="str">
        <f t="shared" si="65"/>
        <v>Compliant</v>
      </c>
      <c r="S323" s="36" t="str">
        <f t="shared" si="66"/>
        <v/>
      </c>
      <c r="T323" s="42" t="str">
        <f t="shared" si="67"/>
        <v/>
      </c>
      <c r="U323" s="42" t="str">
        <f t="shared" si="68"/>
        <v/>
      </c>
      <c r="V323" s="42" t="str">
        <f t="shared" si="69"/>
        <v/>
      </c>
      <c r="W323" s="42" t="str">
        <f t="shared" si="70"/>
        <v/>
      </c>
    </row>
    <row r="324" spans="1:23" ht="15" hidden="1" customHeight="1" x14ac:dyDescent="0.25">
      <c r="A324" s="36" t="str">
        <f>Claims!A320</f>
        <v>EXP00319</v>
      </c>
      <c r="B324" s="36" t="str">
        <f>Claims!D320</f>
        <v>M3</v>
      </c>
      <c r="C324" s="36" t="str">
        <f>Claims!E320</f>
        <v>Train</v>
      </c>
      <c r="D324" s="36" t="str">
        <f>Claims!G320</f>
        <v>Non-metro</v>
      </c>
      <c r="E324" s="40">
        <f>Claims!H320</f>
        <v>3040</v>
      </c>
      <c r="F324" s="36" t="str">
        <f>Claims!K320</f>
        <v>Yes</v>
      </c>
      <c r="G324" s="36" t="str">
        <f>IF(Claims!M320="","",Claims!M320)</f>
        <v/>
      </c>
      <c r="H324" s="36" t="str">
        <f>IF(Claims!N320="","",Claims!N320)</f>
        <v/>
      </c>
      <c r="I324" s="41">
        <f>Claims!J320-Claims!I320</f>
        <v>9</v>
      </c>
      <c r="J324" s="42" t="str">
        <f t="shared" si="57"/>
        <v>n/a</v>
      </c>
      <c r="K324" s="42" t="str">
        <f t="shared" si="58"/>
        <v>n/a</v>
      </c>
      <c r="L324" s="42" t="str">
        <f t="shared" si="59"/>
        <v>n/a</v>
      </c>
      <c r="M324" s="42" t="str">
        <f t="shared" si="60"/>
        <v>n/a</v>
      </c>
      <c r="N324" s="42" t="str">
        <f t="shared" si="61"/>
        <v>n/a</v>
      </c>
      <c r="O324" s="42" t="str">
        <f t="shared" si="62"/>
        <v>n/a</v>
      </c>
      <c r="P324" s="42" t="str">
        <f t="shared" si="63"/>
        <v>Compliant</v>
      </c>
      <c r="Q324" s="42" t="str">
        <f t="shared" si="64"/>
        <v>Compliant</v>
      </c>
      <c r="R324" s="42" t="str">
        <f t="shared" si="65"/>
        <v>Compliant</v>
      </c>
      <c r="S324" s="36" t="str">
        <f t="shared" si="66"/>
        <v/>
      </c>
      <c r="T324" s="42" t="str">
        <f t="shared" si="67"/>
        <v/>
      </c>
      <c r="U324" s="42" t="str">
        <f t="shared" si="68"/>
        <v/>
      </c>
      <c r="V324" s="42" t="str">
        <f t="shared" si="69"/>
        <v/>
      </c>
      <c r="W324" s="42" t="str">
        <f t="shared" si="70"/>
        <v/>
      </c>
    </row>
    <row r="325" spans="1:23" ht="15" hidden="1" customHeight="1" x14ac:dyDescent="0.25">
      <c r="A325" s="36" t="str">
        <f>Claims!A321</f>
        <v>EXP00320</v>
      </c>
      <c r="B325" s="36" t="str">
        <f>Claims!D321</f>
        <v>M3</v>
      </c>
      <c r="C325" s="36" t="str">
        <f>Claims!E321</f>
        <v>Train</v>
      </c>
      <c r="D325" s="36" t="str">
        <f>Claims!G321</f>
        <v>Metro</v>
      </c>
      <c r="E325" s="40">
        <f>Claims!H321</f>
        <v>3651</v>
      </c>
      <c r="F325" s="36" t="str">
        <f>Claims!K321</f>
        <v>Yes</v>
      </c>
      <c r="G325" s="36" t="str">
        <f>IF(Claims!M321="","",Claims!M321)</f>
        <v/>
      </c>
      <c r="H325" s="36" t="str">
        <f>IF(Claims!N321="","",Claims!N321)</f>
        <v/>
      </c>
      <c r="I325" s="41">
        <f>Claims!J321-Claims!I321</f>
        <v>9</v>
      </c>
      <c r="J325" s="42" t="str">
        <f t="shared" si="57"/>
        <v>n/a</v>
      </c>
      <c r="K325" s="42" t="str">
        <f t="shared" si="58"/>
        <v>n/a</v>
      </c>
      <c r="L325" s="42" t="str">
        <f t="shared" si="59"/>
        <v>n/a</v>
      </c>
      <c r="M325" s="42" t="str">
        <f t="shared" si="60"/>
        <v>n/a</v>
      </c>
      <c r="N325" s="42" t="str">
        <f t="shared" si="61"/>
        <v>n/a</v>
      </c>
      <c r="O325" s="42" t="str">
        <f t="shared" si="62"/>
        <v>n/a</v>
      </c>
      <c r="P325" s="42" t="str">
        <f t="shared" si="63"/>
        <v>Compliant</v>
      </c>
      <c r="Q325" s="42" t="str">
        <f t="shared" si="64"/>
        <v>Compliant</v>
      </c>
      <c r="R325" s="42" t="str">
        <f t="shared" si="65"/>
        <v>Compliant</v>
      </c>
      <c r="S325" s="36" t="str">
        <f t="shared" si="66"/>
        <v/>
      </c>
      <c r="T325" s="42" t="str">
        <f t="shared" si="67"/>
        <v/>
      </c>
      <c r="U325" s="42" t="str">
        <f t="shared" si="68"/>
        <v/>
      </c>
      <c r="V325" s="42" t="str">
        <f t="shared" si="69"/>
        <v/>
      </c>
      <c r="W325" s="42" t="str">
        <f t="shared" si="70"/>
        <v/>
      </c>
    </row>
    <row r="326" spans="1:23" ht="15" hidden="1" customHeight="1" x14ac:dyDescent="0.25">
      <c r="A326" s="36" t="str">
        <f>Claims!A322</f>
        <v>EXP00321</v>
      </c>
      <c r="B326" s="36" t="str">
        <f>Claims!D322</f>
        <v>M5</v>
      </c>
      <c r="C326" s="36" t="str">
        <f>Claims!E322</f>
        <v>Client Entertainment</v>
      </c>
      <c r="D326" s="36" t="str">
        <f>Claims!G322</f>
        <v>Non-metro</v>
      </c>
      <c r="E326" s="40">
        <f>Claims!H322</f>
        <v>11444</v>
      </c>
      <c r="F326" s="36" t="str">
        <f>Claims!K322</f>
        <v>Yes</v>
      </c>
      <c r="G326" s="36" t="str">
        <f>IF(Claims!M322="","",Claims!M322)</f>
        <v/>
      </c>
      <c r="H326" s="36" t="str">
        <f>IF(Claims!N322="","",Claims!N322)</f>
        <v/>
      </c>
      <c r="I326" s="41">
        <f>Claims!J322-Claims!I322</f>
        <v>2</v>
      </c>
      <c r="J326" s="42" t="str">
        <f t="shared" ref="J326:J389" si="71">IF(C326=Lbl_Flight,IF(AND(H326=Lbl_Business,INDEX(Biz_Permitted,MATCH(B326,Caps_Grade,0))=Lbl_BizNo),Lbl_Viol,Lbl_Comp),Lbl_NA)</f>
        <v>n/a</v>
      </c>
      <c r="K326" s="42" t="str">
        <f t="shared" ref="K326:K389" si="72">IF(C326=Lbl_Flight,IF(G326&lt;Min_Days_Booked,Lbl_Viol,Lbl_Comp),Lbl_NA)</f>
        <v>n/a</v>
      </c>
      <c r="L326" s="42" t="str">
        <f t="shared" ref="L326:L389" si="73">IF(AND(C326=Lbl_Hotel,D326=Lbl_Metro),IF(E326&gt;INDEX(Caps_Metro,MATCH(B326,Caps_Grade,0)),Lbl_Viol,Lbl_Comp),Lbl_NA)</f>
        <v>n/a</v>
      </c>
      <c r="M326" s="42" t="str">
        <f t="shared" ref="M326:M389" si="74">IF(AND(C326=Lbl_Hotel,D326=Lbl_NonMetro),IF(E326&gt;INDEX(Caps_NonMetro,MATCH(B326,Caps_Grade,0)),Lbl_Viol,Lbl_Comp),Lbl_NA)</f>
        <v>n/a</v>
      </c>
      <c r="N326" s="42" t="str">
        <f t="shared" ref="N326:N389" si="75">IF(C326=Lbl_Meals,IF(E326&gt;IF(D326=Lbl_Metro,Limit_Metro,Limit_NonMetro),Lbl_Viol,Lbl_Comp),Lbl_NA)</f>
        <v>n/a</v>
      </c>
      <c r="O326" s="42" t="str">
        <f t="shared" ref="O326:O389" si="76">IF(C326=Lbl_Alcohol,Lbl_Viol,Lbl_NA)</f>
        <v>n/a</v>
      </c>
      <c r="P326" s="42" t="str">
        <f t="shared" ref="P326:P389" si="77">IF(AND(F326=Lbl_NoReceipt,E326&gt;Receipt_Threshold),Lbl_Viol,Lbl_Comp)</f>
        <v>Compliant</v>
      </c>
      <c r="Q326" s="42" t="str">
        <f t="shared" ref="Q326:Q389" si="78">IF(I326&gt;Late_Days,Lbl_Viol,Lbl_Comp)</f>
        <v>Compliant</v>
      </c>
      <c r="R326" s="42" t="str">
        <f t="shared" ref="R326:R389" si="79">IF(COUNTIF(J326:Q326,Lbl_Viol)&gt;0,Lbl_Viol,Lbl_Comp)</f>
        <v>Compliant</v>
      </c>
      <c r="S326" s="36" t="str">
        <f t="shared" ref="S326:S389" si="80">_xlfn.TEXTJOIN(", ",TRUE(),IF(J326=Lbl_Viol,J$5,""),IF(K326=Lbl_Viol,K$5,""),IF(L326=Lbl_Viol,L$5,""),IF(M326=Lbl_Viol,M$5,""),IF(N326=Lbl_Viol,N$5,""),IF(O326=Lbl_Viol,O$5,""),IF(P326=Lbl_Viol,P$5,""),IF(Q326=Lbl_Viol,Q$5,""))</f>
        <v/>
      </c>
      <c r="T326" s="42" t="str">
        <f t="shared" ref="T326:T389" si="81">IF(Q326=Lbl_Viol,IF(I326&gt;Expired_Days,Lbl_Expired,Lbl_Late),"")</f>
        <v/>
      </c>
      <c r="U326" s="42" t="str">
        <f t="shared" ref="U326:U389" si="82">IF(R326=Lbl_Comp,"",IF(SUMPRODUCT((J326:Q326=Lbl_Viol)*(J$4:Q$4=Lbl_Definite))&gt;0,Lbl_Definite,Lbl_Assumption))</f>
        <v/>
      </c>
      <c r="V326" s="42" t="str">
        <f t="shared" ref="V326:V389" si="83">IF(L326=Lbl_Viol,ROUNDUP(E326/INDEX(Caps_Metro,MATCH(B326,Caps_Grade,0)),0),IF(M326=Lbl_Viol,ROUNDUP(E326/INDEX(Caps_NonMetro,MATCH(B326,Caps_Grade,0)),0),IF(N326=Lbl_Viol,ROUNDUP(E326/IF(D326=Lbl_Metro,Limit_Metro,Limit_NonMetro),0),"")))</f>
        <v/>
      </c>
      <c r="W326" s="42" t="str">
        <f t="shared" ref="W326:W389" si="84">IF(OR(L326=Lbl_Viol,M326=Lbl_Viol),Lbl_NeedNights,IF(N326=Lbl_Viol,Lbl_NeedDays,IF(K326=Lbl_Viol,Lbl_NeedApproval,"")))</f>
        <v/>
      </c>
    </row>
    <row r="327" spans="1:23" ht="15" hidden="1" customHeight="1" x14ac:dyDescent="0.25">
      <c r="A327" s="36" t="str">
        <f>Claims!A323</f>
        <v>EXP00322</v>
      </c>
      <c r="B327" s="36" t="str">
        <f>Claims!D323</f>
        <v>M2</v>
      </c>
      <c r="C327" s="36" t="str">
        <f>Claims!E323</f>
        <v>Client Entertainment</v>
      </c>
      <c r="D327" s="36" t="str">
        <f>Claims!G323</f>
        <v>Non-metro</v>
      </c>
      <c r="E327" s="40">
        <f>Claims!H323</f>
        <v>10018</v>
      </c>
      <c r="F327" s="36" t="str">
        <f>Claims!K323</f>
        <v>No</v>
      </c>
      <c r="G327" s="36" t="str">
        <f>IF(Claims!M323="","",Claims!M323)</f>
        <v/>
      </c>
      <c r="H327" s="36" t="str">
        <f>IF(Claims!N323="","",Claims!N323)</f>
        <v/>
      </c>
      <c r="I327" s="41">
        <f>Claims!J323-Claims!I323</f>
        <v>20</v>
      </c>
      <c r="J327" s="42" t="str">
        <f t="shared" si="71"/>
        <v>n/a</v>
      </c>
      <c r="K327" s="42" t="str">
        <f t="shared" si="72"/>
        <v>n/a</v>
      </c>
      <c r="L327" s="42" t="str">
        <f t="shared" si="73"/>
        <v>n/a</v>
      </c>
      <c r="M327" s="42" t="str">
        <f t="shared" si="74"/>
        <v>n/a</v>
      </c>
      <c r="N327" s="42" t="str">
        <f t="shared" si="75"/>
        <v>n/a</v>
      </c>
      <c r="O327" s="42" t="str">
        <f t="shared" si="76"/>
        <v>n/a</v>
      </c>
      <c r="P327" s="42" t="str">
        <f t="shared" si="77"/>
        <v>Violation</v>
      </c>
      <c r="Q327" s="42" t="str">
        <f t="shared" si="78"/>
        <v>Violation</v>
      </c>
      <c r="R327" s="42" t="str">
        <f t="shared" si="79"/>
        <v>Violation</v>
      </c>
      <c r="S327" s="36" t="str">
        <f t="shared" si="80"/>
        <v>TP-09, TP-10</v>
      </c>
      <c r="T327" s="42" t="str">
        <f t="shared" si="81"/>
        <v>Late</v>
      </c>
      <c r="U327" s="42" t="str">
        <f t="shared" si="82"/>
        <v>Definite</v>
      </c>
      <c r="V327" s="42" t="str">
        <f t="shared" si="83"/>
        <v/>
      </c>
      <c r="W327" s="42" t="str">
        <f t="shared" si="84"/>
        <v/>
      </c>
    </row>
    <row r="328" spans="1:23" ht="15" hidden="1" customHeight="1" x14ac:dyDescent="0.25">
      <c r="A328" s="36" t="str">
        <f>Claims!A324</f>
        <v>EXP00323</v>
      </c>
      <c r="B328" s="36" t="str">
        <f>Claims!D324</f>
        <v>M2</v>
      </c>
      <c r="C328" s="36" t="str">
        <f>Claims!E324</f>
        <v>Flight</v>
      </c>
      <c r="D328" s="36" t="str">
        <f>Claims!G324</f>
        <v>Non-metro</v>
      </c>
      <c r="E328" s="40">
        <f>Claims!H324</f>
        <v>5749</v>
      </c>
      <c r="F328" s="36" t="str">
        <f>Claims!K324</f>
        <v>Yes</v>
      </c>
      <c r="G328" s="36">
        <f>IF(Claims!M324="","",Claims!M324)</f>
        <v>14</v>
      </c>
      <c r="H328" s="36" t="str">
        <f>IF(Claims!N324="","",Claims!N324)</f>
        <v>Economy</v>
      </c>
      <c r="I328" s="41">
        <f>Claims!J324-Claims!I324</f>
        <v>2</v>
      </c>
      <c r="J328" s="42" t="str">
        <f t="shared" si="71"/>
        <v>Compliant</v>
      </c>
      <c r="K328" s="42" t="str">
        <f t="shared" si="72"/>
        <v>Compliant</v>
      </c>
      <c r="L328" s="42" t="str">
        <f t="shared" si="73"/>
        <v>n/a</v>
      </c>
      <c r="M328" s="42" t="str">
        <f t="shared" si="74"/>
        <v>n/a</v>
      </c>
      <c r="N328" s="42" t="str">
        <f t="shared" si="75"/>
        <v>n/a</v>
      </c>
      <c r="O328" s="42" t="str">
        <f t="shared" si="76"/>
        <v>n/a</v>
      </c>
      <c r="P328" s="42" t="str">
        <f t="shared" si="77"/>
        <v>Compliant</v>
      </c>
      <c r="Q328" s="42" t="str">
        <f t="shared" si="78"/>
        <v>Compliant</v>
      </c>
      <c r="R328" s="42" t="str">
        <f t="shared" si="79"/>
        <v>Compliant</v>
      </c>
      <c r="S328" s="36" t="str">
        <f t="shared" si="80"/>
        <v/>
      </c>
      <c r="T328" s="42" t="str">
        <f t="shared" si="81"/>
        <v/>
      </c>
      <c r="U328" s="42" t="str">
        <f t="shared" si="82"/>
        <v/>
      </c>
      <c r="V328" s="42" t="str">
        <f t="shared" si="83"/>
        <v/>
      </c>
      <c r="W328" s="42" t="str">
        <f t="shared" si="84"/>
        <v/>
      </c>
    </row>
    <row r="329" spans="1:23" ht="15" hidden="1" customHeight="1" x14ac:dyDescent="0.25">
      <c r="A329" s="36" t="str">
        <f>Claims!A325</f>
        <v>EXP00324</v>
      </c>
      <c r="B329" s="36" t="str">
        <f>Claims!D325</f>
        <v>M3</v>
      </c>
      <c r="C329" s="36" t="str">
        <f>Claims!E325</f>
        <v>Client Entertainment</v>
      </c>
      <c r="D329" s="36" t="str">
        <f>Claims!G325</f>
        <v>Metro</v>
      </c>
      <c r="E329" s="40">
        <f>Claims!H325</f>
        <v>13938</v>
      </c>
      <c r="F329" s="36" t="str">
        <f>Claims!K325</f>
        <v>Yes</v>
      </c>
      <c r="G329" s="36" t="str">
        <f>IF(Claims!M325="","",Claims!M325)</f>
        <v/>
      </c>
      <c r="H329" s="36" t="str">
        <f>IF(Claims!N325="","",Claims!N325)</f>
        <v/>
      </c>
      <c r="I329" s="41">
        <f>Claims!J325-Claims!I325</f>
        <v>35</v>
      </c>
      <c r="J329" s="42" t="str">
        <f t="shared" si="71"/>
        <v>n/a</v>
      </c>
      <c r="K329" s="42" t="str">
        <f t="shared" si="72"/>
        <v>n/a</v>
      </c>
      <c r="L329" s="42" t="str">
        <f t="shared" si="73"/>
        <v>n/a</v>
      </c>
      <c r="M329" s="42" t="str">
        <f t="shared" si="74"/>
        <v>n/a</v>
      </c>
      <c r="N329" s="42" t="str">
        <f t="shared" si="75"/>
        <v>n/a</v>
      </c>
      <c r="O329" s="42" t="str">
        <f t="shared" si="76"/>
        <v>n/a</v>
      </c>
      <c r="P329" s="42" t="str">
        <f t="shared" si="77"/>
        <v>Compliant</v>
      </c>
      <c r="Q329" s="42" t="str">
        <f t="shared" si="78"/>
        <v>Violation</v>
      </c>
      <c r="R329" s="42" t="str">
        <f t="shared" si="79"/>
        <v>Violation</v>
      </c>
      <c r="S329" s="36" t="str">
        <f t="shared" si="80"/>
        <v>TP-10</v>
      </c>
      <c r="T329" s="42" t="str">
        <f t="shared" si="81"/>
        <v>Late</v>
      </c>
      <c r="U329" s="42" t="str">
        <f t="shared" si="82"/>
        <v>Definite</v>
      </c>
      <c r="V329" s="42" t="str">
        <f t="shared" si="83"/>
        <v/>
      </c>
      <c r="W329" s="42" t="str">
        <f t="shared" si="84"/>
        <v/>
      </c>
    </row>
    <row r="330" spans="1:23" ht="15" hidden="1" customHeight="1" x14ac:dyDescent="0.25">
      <c r="A330" s="36" t="str">
        <f>Claims!A326</f>
        <v>EXP00325</v>
      </c>
      <c r="B330" s="36" t="str">
        <f>Claims!D326</f>
        <v>M1</v>
      </c>
      <c r="C330" s="36" t="str">
        <f>Claims!E326</f>
        <v>Flight</v>
      </c>
      <c r="D330" s="36" t="str">
        <f>Claims!G326</f>
        <v>Metro</v>
      </c>
      <c r="E330" s="40">
        <f>Claims!H326</f>
        <v>4258</v>
      </c>
      <c r="F330" s="36" t="str">
        <f>Claims!K326</f>
        <v>Yes</v>
      </c>
      <c r="G330" s="36">
        <f>IF(Claims!M326="","",Claims!M326)</f>
        <v>14</v>
      </c>
      <c r="H330" s="36" t="str">
        <f>IF(Claims!N326="","",Claims!N326)</f>
        <v>Economy</v>
      </c>
      <c r="I330" s="41">
        <f>Claims!J326-Claims!I326</f>
        <v>5</v>
      </c>
      <c r="J330" s="42" t="str">
        <f t="shared" si="71"/>
        <v>Compliant</v>
      </c>
      <c r="K330" s="42" t="str">
        <f t="shared" si="72"/>
        <v>Compliant</v>
      </c>
      <c r="L330" s="42" t="str">
        <f t="shared" si="73"/>
        <v>n/a</v>
      </c>
      <c r="M330" s="42" t="str">
        <f t="shared" si="74"/>
        <v>n/a</v>
      </c>
      <c r="N330" s="42" t="str">
        <f t="shared" si="75"/>
        <v>n/a</v>
      </c>
      <c r="O330" s="42" t="str">
        <f t="shared" si="76"/>
        <v>n/a</v>
      </c>
      <c r="P330" s="42" t="str">
        <f t="shared" si="77"/>
        <v>Compliant</v>
      </c>
      <c r="Q330" s="42" t="str">
        <f t="shared" si="78"/>
        <v>Compliant</v>
      </c>
      <c r="R330" s="42" t="str">
        <f t="shared" si="79"/>
        <v>Compliant</v>
      </c>
      <c r="S330" s="36" t="str">
        <f t="shared" si="80"/>
        <v/>
      </c>
      <c r="T330" s="42" t="str">
        <f t="shared" si="81"/>
        <v/>
      </c>
      <c r="U330" s="42" t="str">
        <f t="shared" si="82"/>
        <v/>
      </c>
      <c r="V330" s="42" t="str">
        <f t="shared" si="83"/>
        <v/>
      </c>
      <c r="W330" s="42" t="str">
        <f t="shared" si="84"/>
        <v/>
      </c>
    </row>
    <row r="331" spans="1:23" ht="15" hidden="1" customHeight="1" x14ac:dyDescent="0.25">
      <c r="A331" s="36" t="str">
        <f>Claims!A327</f>
        <v>EXP00326</v>
      </c>
      <c r="B331" s="36" t="str">
        <f>Claims!D327</f>
        <v>M2</v>
      </c>
      <c r="C331" s="36" t="str">
        <f>Claims!E327</f>
        <v>Hotel</v>
      </c>
      <c r="D331" s="36" t="str">
        <f>Claims!G327</f>
        <v>Metro</v>
      </c>
      <c r="E331" s="40">
        <f>Claims!H327</f>
        <v>12899</v>
      </c>
      <c r="F331" s="36" t="str">
        <f>Claims!K327</f>
        <v>Yes</v>
      </c>
      <c r="G331" s="36" t="str">
        <f>IF(Claims!M327="","",Claims!M327)</f>
        <v/>
      </c>
      <c r="H331" s="36" t="str">
        <f>IF(Claims!N327="","",Claims!N327)</f>
        <v/>
      </c>
      <c r="I331" s="41">
        <f>Claims!J327-Claims!I327</f>
        <v>9</v>
      </c>
      <c r="J331" s="42" t="str">
        <f t="shared" si="71"/>
        <v>n/a</v>
      </c>
      <c r="K331" s="42" t="str">
        <f t="shared" si="72"/>
        <v>n/a</v>
      </c>
      <c r="L331" s="42" t="str">
        <f t="shared" si="73"/>
        <v>Violation</v>
      </c>
      <c r="M331" s="42" t="str">
        <f t="shared" si="74"/>
        <v>n/a</v>
      </c>
      <c r="N331" s="42" t="str">
        <f t="shared" si="75"/>
        <v>n/a</v>
      </c>
      <c r="O331" s="42" t="str">
        <f t="shared" si="76"/>
        <v>n/a</v>
      </c>
      <c r="P331" s="42" t="str">
        <f t="shared" si="77"/>
        <v>Compliant</v>
      </c>
      <c r="Q331" s="42" t="str">
        <f t="shared" si="78"/>
        <v>Compliant</v>
      </c>
      <c r="R331" s="42" t="str">
        <f t="shared" si="79"/>
        <v>Violation</v>
      </c>
      <c r="S331" s="36" t="str">
        <f t="shared" si="80"/>
        <v>TP-04</v>
      </c>
      <c r="T331" s="42" t="str">
        <f t="shared" si="81"/>
        <v/>
      </c>
      <c r="U331" s="42" t="str">
        <f t="shared" si="82"/>
        <v>Assumption-based</v>
      </c>
      <c r="V331" s="42">
        <f t="shared" si="83"/>
        <v>2</v>
      </c>
      <c r="W331" s="42" t="str">
        <f t="shared" si="84"/>
        <v>Needs nights</v>
      </c>
    </row>
    <row r="332" spans="1:23" ht="15" hidden="1" customHeight="1" x14ac:dyDescent="0.25">
      <c r="A332" s="36" t="str">
        <f>Claims!A328</f>
        <v>EXP00327</v>
      </c>
      <c r="B332" s="36" t="str">
        <f>Claims!D328</f>
        <v>M2</v>
      </c>
      <c r="C332" s="36" t="str">
        <f>Claims!E328</f>
        <v>Client Entertainment</v>
      </c>
      <c r="D332" s="36" t="str">
        <f>Claims!G328</f>
        <v>Metro</v>
      </c>
      <c r="E332" s="40">
        <f>Claims!H328</f>
        <v>7044</v>
      </c>
      <c r="F332" s="36" t="str">
        <f>Claims!K328</f>
        <v>Yes</v>
      </c>
      <c r="G332" s="36" t="str">
        <f>IF(Claims!M328="","",Claims!M328)</f>
        <v/>
      </c>
      <c r="H332" s="36" t="str">
        <f>IF(Claims!N328="","",Claims!N328)</f>
        <v/>
      </c>
      <c r="I332" s="41">
        <f>Claims!J328-Claims!I328</f>
        <v>2</v>
      </c>
      <c r="J332" s="42" t="str">
        <f t="shared" si="71"/>
        <v>n/a</v>
      </c>
      <c r="K332" s="42" t="str">
        <f t="shared" si="72"/>
        <v>n/a</v>
      </c>
      <c r="L332" s="42" t="str">
        <f t="shared" si="73"/>
        <v>n/a</v>
      </c>
      <c r="M332" s="42" t="str">
        <f t="shared" si="74"/>
        <v>n/a</v>
      </c>
      <c r="N332" s="42" t="str">
        <f t="shared" si="75"/>
        <v>n/a</v>
      </c>
      <c r="O332" s="42" t="str">
        <f t="shared" si="76"/>
        <v>n/a</v>
      </c>
      <c r="P332" s="42" t="str">
        <f t="shared" si="77"/>
        <v>Compliant</v>
      </c>
      <c r="Q332" s="42" t="str">
        <f t="shared" si="78"/>
        <v>Compliant</v>
      </c>
      <c r="R332" s="42" t="str">
        <f t="shared" si="79"/>
        <v>Compliant</v>
      </c>
      <c r="S332" s="36" t="str">
        <f t="shared" si="80"/>
        <v/>
      </c>
      <c r="T332" s="42" t="str">
        <f t="shared" si="81"/>
        <v/>
      </c>
      <c r="U332" s="42" t="str">
        <f t="shared" si="82"/>
        <v/>
      </c>
      <c r="V332" s="42" t="str">
        <f t="shared" si="83"/>
        <v/>
      </c>
      <c r="W332" s="42" t="str">
        <f t="shared" si="84"/>
        <v/>
      </c>
    </row>
    <row r="333" spans="1:23" ht="15" hidden="1" customHeight="1" x14ac:dyDescent="0.25">
      <c r="A333" s="36" t="str">
        <f>Claims!A329</f>
        <v>EXP00328</v>
      </c>
      <c r="B333" s="36" t="str">
        <f>Claims!D329</f>
        <v>M3</v>
      </c>
      <c r="C333" s="36" t="str">
        <f>Claims!E329</f>
        <v>Hotel</v>
      </c>
      <c r="D333" s="36" t="str">
        <f>Claims!G329</f>
        <v>Metro</v>
      </c>
      <c r="E333" s="40">
        <f>Claims!H329</f>
        <v>14983</v>
      </c>
      <c r="F333" s="36" t="str">
        <f>Claims!K329</f>
        <v>Yes</v>
      </c>
      <c r="G333" s="36" t="str">
        <f>IF(Claims!M329="","",Claims!M329)</f>
        <v/>
      </c>
      <c r="H333" s="36" t="str">
        <f>IF(Claims!N329="","",Claims!N329)</f>
        <v/>
      </c>
      <c r="I333" s="41">
        <f>Claims!J329-Claims!I329</f>
        <v>9</v>
      </c>
      <c r="J333" s="42" t="str">
        <f t="shared" si="71"/>
        <v>n/a</v>
      </c>
      <c r="K333" s="42" t="str">
        <f t="shared" si="72"/>
        <v>n/a</v>
      </c>
      <c r="L333" s="42" t="str">
        <f t="shared" si="73"/>
        <v>Violation</v>
      </c>
      <c r="M333" s="42" t="str">
        <f t="shared" si="74"/>
        <v>n/a</v>
      </c>
      <c r="N333" s="42" t="str">
        <f t="shared" si="75"/>
        <v>n/a</v>
      </c>
      <c r="O333" s="42" t="str">
        <f t="shared" si="76"/>
        <v>n/a</v>
      </c>
      <c r="P333" s="42" t="str">
        <f t="shared" si="77"/>
        <v>Compliant</v>
      </c>
      <c r="Q333" s="42" t="str">
        <f t="shared" si="78"/>
        <v>Compliant</v>
      </c>
      <c r="R333" s="42" t="str">
        <f t="shared" si="79"/>
        <v>Violation</v>
      </c>
      <c r="S333" s="36" t="str">
        <f t="shared" si="80"/>
        <v>TP-04</v>
      </c>
      <c r="T333" s="42" t="str">
        <f t="shared" si="81"/>
        <v/>
      </c>
      <c r="U333" s="42" t="str">
        <f t="shared" si="82"/>
        <v>Assumption-based</v>
      </c>
      <c r="V333" s="42">
        <f t="shared" si="83"/>
        <v>2</v>
      </c>
      <c r="W333" s="42" t="str">
        <f t="shared" si="84"/>
        <v>Needs nights</v>
      </c>
    </row>
    <row r="334" spans="1:23" ht="15" hidden="1" customHeight="1" x14ac:dyDescent="0.25">
      <c r="A334" s="36" t="str">
        <f>Claims!A330</f>
        <v>EXP00329</v>
      </c>
      <c r="B334" s="36" t="str">
        <f>Claims!D330</f>
        <v>M1</v>
      </c>
      <c r="C334" s="36" t="str">
        <f>Claims!E330</f>
        <v>Meals/DA</v>
      </c>
      <c r="D334" s="36" t="str">
        <f>Claims!G330</f>
        <v>Non-metro</v>
      </c>
      <c r="E334" s="40">
        <f>Claims!H330</f>
        <v>2083</v>
      </c>
      <c r="F334" s="36" t="str">
        <f>Claims!K330</f>
        <v>Yes</v>
      </c>
      <c r="G334" s="36" t="str">
        <f>IF(Claims!M330="","",Claims!M330)</f>
        <v/>
      </c>
      <c r="H334" s="36" t="str">
        <f>IF(Claims!N330="","",Claims!N330)</f>
        <v/>
      </c>
      <c r="I334" s="41">
        <f>Claims!J330-Claims!I330</f>
        <v>9</v>
      </c>
      <c r="J334" s="42" t="str">
        <f t="shared" si="71"/>
        <v>n/a</v>
      </c>
      <c r="K334" s="42" t="str">
        <f t="shared" si="72"/>
        <v>n/a</v>
      </c>
      <c r="L334" s="42" t="str">
        <f t="shared" si="73"/>
        <v>n/a</v>
      </c>
      <c r="M334" s="42" t="str">
        <f t="shared" si="74"/>
        <v>n/a</v>
      </c>
      <c r="N334" s="42" t="str">
        <f t="shared" si="75"/>
        <v>Violation</v>
      </c>
      <c r="O334" s="42" t="str">
        <f t="shared" si="76"/>
        <v>n/a</v>
      </c>
      <c r="P334" s="42" t="str">
        <f t="shared" si="77"/>
        <v>Compliant</v>
      </c>
      <c r="Q334" s="42" t="str">
        <f t="shared" si="78"/>
        <v>Compliant</v>
      </c>
      <c r="R334" s="42" t="str">
        <f t="shared" si="79"/>
        <v>Violation</v>
      </c>
      <c r="S334" s="36" t="str">
        <f t="shared" si="80"/>
        <v>TP-06</v>
      </c>
      <c r="T334" s="42" t="str">
        <f t="shared" si="81"/>
        <v/>
      </c>
      <c r="U334" s="42" t="str">
        <f t="shared" si="82"/>
        <v>Assumption-based</v>
      </c>
      <c r="V334" s="42">
        <f t="shared" si="83"/>
        <v>3</v>
      </c>
      <c r="W334" s="42" t="str">
        <f t="shared" si="84"/>
        <v>Needs days</v>
      </c>
    </row>
    <row r="335" spans="1:23" ht="15" hidden="1" customHeight="1" x14ac:dyDescent="0.25">
      <c r="A335" s="36" t="str">
        <f>Claims!A331</f>
        <v>EXP00330</v>
      </c>
      <c r="B335" s="36" t="str">
        <f>Claims!D331</f>
        <v>M2</v>
      </c>
      <c r="C335" s="36" t="str">
        <f>Claims!E331</f>
        <v>Flight</v>
      </c>
      <c r="D335" s="36" t="str">
        <f>Claims!G331</f>
        <v>Metro</v>
      </c>
      <c r="E335" s="40">
        <f>Claims!H331</f>
        <v>11422</v>
      </c>
      <c r="F335" s="36" t="str">
        <f>Claims!K331</f>
        <v>Yes</v>
      </c>
      <c r="G335" s="36">
        <f>IF(Claims!M331="","",Claims!M331)</f>
        <v>14</v>
      </c>
      <c r="H335" s="36" t="str">
        <f>IF(Claims!N331="","",Claims!N331)</f>
        <v>Economy</v>
      </c>
      <c r="I335" s="41">
        <f>Claims!J331-Claims!I331</f>
        <v>14</v>
      </c>
      <c r="J335" s="42" t="str">
        <f t="shared" si="71"/>
        <v>Compliant</v>
      </c>
      <c r="K335" s="42" t="str">
        <f t="shared" si="72"/>
        <v>Compliant</v>
      </c>
      <c r="L335" s="42" t="str">
        <f t="shared" si="73"/>
        <v>n/a</v>
      </c>
      <c r="M335" s="42" t="str">
        <f t="shared" si="74"/>
        <v>n/a</v>
      </c>
      <c r="N335" s="42" t="str">
        <f t="shared" si="75"/>
        <v>n/a</v>
      </c>
      <c r="O335" s="42" t="str">
        <f t="shared" si="76"/>
        <v>n/a</v>
      </c>
      <c r="P335" s="42" t="str">
        <f t="shared" si="77"/>
        <v>Compliant</v>
      </c>
      <c r="Q335" s="42" t="str">
        <f t="shared" si="78"/>
        <v>Compliant</v>
      </c>
      <c r="R335" s="42" t="str">
        <f t="shared" si="79"/>
        <v>Compliant</v>
      </c>
      <c r="S335" s="36" t="str">
        <f t="shared" si="80"/>
        <v/>
      </c>
      <c r="T335" s="42" t="str">
        <f t="shared" si="81"/>
        <v/>
      </c>
      <c r="U335" s="42" t="str">
        <f t="shared" si="82"/>
        <v/>
      </c>
      <c r="V335" s="42" t="str">
        <f t="shared" si="83"/>
        <v/>
      </c>
      <c r="W335" s="42" t="str">
        <f t="shared" si="84"/>
        <v/>
      </c>
    </row>
    <row r="336" spans="1:23" ht="15" hidden="1" customHeight="1" x14ac:dyDescent="0.25">
      <c r="A336" s="36" t="str">
        <f>Claims!A332</f>
        <v>EXP00331</v>
      </c>
      <c r="B336" s="36" t="str">
        <f>Claims!D332</f>
        <v>M2</v>
      </c>
      <c r="C336" s="36" t="str">
        <f>Claims!E332</f>
        <v>Local Cab</v>
      </c>
      <c r="D336" s="36" t="str">
        <f>Claims!G332</f>
        <v>Non-metro</v>
      </c>
      <c r="E336" s="40">
        <f>Claims!H332</f>
        <v>429</v>
      </c>
      <c r="F336" s="36" t="str">
        <f>Claims!K332</f>
        <v>No</v>
      </c>
      <c r="G336" s="36" t="str">
        <f>IF(Claims!M332="","",Claims!M332)</f>
        <v/>
      </c>
      <c r="H336" s="36" t="str">
        <f>IF(Claims!N332="","",Claims!N332)</f>
        <v/>
      </c>
      <c r="I336" s="41">
        <f>Claims!J332-Claims!I332</f>
        <v>2</v>
      </c>
      <c r="J336" s="42" t="str">
        <f t="shared" si="71"/>
        <v>n/a</v>
      </c>
      <c r="K336" s="42" t="str">
        <f t="shared" si="72"/>
        <v>n/a</v>
      </c>
      <c r="L336" s="42" t="str">
        <f t="shared" si="73"/>
        <v>n/a</v>
      </c>
      <c r="M336" s="42" t="str">
        <f t="shared" si="74"/>
        <v>n/a</v>
      </c>
      <c r="N336" s="42" t="str">
        <f t="shared" si="75"/>
        <v>n/a</v>
      </c>
      <c r="O336" s="42" t="str">
        <f t="shared" si="76"/>
        <v>n/a</v>
      </c>
      <c r="P336" s="42" t="str">
        <f t="shared" si="77"/>
        <v>Compliant</v>
      </c>
      <c r="Q336" s="42" t="str">
        <f t="shared" si="78"/>
        <v>Compliant</v>
      </c>
      <c r="R336" s="42" t="str">
        <f t="shared" si="79"/>
        <v>Compliant</v>
      </c>
      <c r="S336" s="36" t="str">
        <f t="shared" si="80"/>
        <v/>
      </c>
      <c r="T336" s="42" t="str">
        <f t="shared" si="81"/>
        <v/>
      </c>
      <c r="U336" s="42" t="str">
        <f t="shared" si="82"/>
        <v/>
      </c>
      <c r="V336" s="42" t="str">
        <f t="shared" si="83"/>
        <v/>
      </c>
      <c r="W336" s="42" t="str">
        <f t="shared" si="84"/>
        <v/>
      </c>
    </row>
    <row r="337" spans="1:23" ht="15" hidden="1" customHeight="1" x14ac:dyDescent="0.25">
      <c r="A337" s="36" t="str">
        <f>Claims!A333</f>
        <v>EXP00332</v>
      </c>
      <c r="B337" s="36" t="str">
        <f>Claims!D333</f>
        <v>M2</v>
      </c>
      <c r="C337" s="36" t="str">
        <f>Claims!E333</f>
        <v>Meals/DA</v>
      </c>
      <c r="D337" s="36" t="str">
        <f>Claims!G333</f>
        <v>Non-metro</v>
      </c>
      <c r="E337" s="40">
        <f>Claims!H333</f>
        <v>1989</v>
      </c>
      <c r="F337" s="36" t="str">
        <f>Claims!K333</f>
        <v>Yes</v>
      </c>
      <c r="G337" s="36" t="str">
        <f>IF(Claims!M333="","",Claims!M333)</f>
        <v/>
      </c>
      <c r="H337" s="36" t="str">
        <f>IF(Claims!N333="","",Claims!N333)</f>
        <v/>
      </c>
      <c r="I337" s="41">
        <f>Claims!J333-Claims!I333</f>
        <v>2</v>
      </c>
      <c r="J337" s="42" t="str">
        <f t="shared" si="71"/>
        <v>n/a</v>
      </c>
      <c r="K337" s="42" t="str">
        <f t="shared" si="72"/>
        <v>n/a</v>
      </c>
      <c r="L337" s="42" t="str">
        <f t="shared" si="73"/>
        <v>n/a</v>
      </c>
      <c r="M337" s="42" t="str">
        <f t="shared" si="74"/>
        <v>n/a</v>
      </c>
      <c r="N337" s="42" t="str">
        <f t="shared" si="75"/>
        <v>Violation</v>
      </c>
      <c r="O337" s="42" t="str">
        <f t="shared" si="76"/>
        <v>n/a</v>
      </c>
      <c r="P337" s="42" t="str">
        <f t="shared" si="77"/>
        <v>Compliant</v>
      </c>
      <c r="Q337" s="42" t="str">
        <f t="shared" si="78"/>
        <v>Compliant</v>
      </c>
      <c r="R337" s="42" t="str">
        <f t="shared" si="79"/>
        <v>Violation</v>
      </c>
      <c r="S337" s="36" t="str">
        <f t="shared" si="80"/>
        <v>TP-06</v>
      </c>
      <c r="T337" s="42" t="str">
        <f t="shared" si="81"/>
        <v/>
      </c>
      <c r="U337" s="42" t="str">
        <f t="shared" si="82"/>
        <v>Assumption-based</v>
      </c>
      <c r="V337" s="42">
        <f t="shared" si="83"/>
        <v>3</v>
      </c>
      <c r="W337" s="42" t="str">
        <f t="shared" si="84"/>
        <v>Needs days</v>
      </c>
    </row>
    <row r="338" spans="1:23" ht="15" hidden="1" customHeight="1" x14ac:dyDescent="0.25">
      <c r="A338" s="36" t="str">
        <f>Claims!A334</f>
        <v>EXP00333</v>
      </c>
      <c r="B338" s="36" t="str">
        <f>Claims!D334</f>
        <v>M4</v>
      </c>
      <c r="C338" s="36" t="str">
        <f>Claims!E334</f>
        <v>Hotel</v>
      </c>
      <c r="D338" s="36" t="str">
        <f>Claims!G334</f>
        <v>Non-metro</v>
      </c>
      <c r="E338" s="40">
        <f>Claims!H334</f>
        <v>13836</v>
      </c>
      <c r="F338" s="36" t="str">
        <f>Claims!K334</f>
        <v>Yes</v>
      </c>
      <c r="G338" s="36" t="str">
        <f>IF(Claims!M334="","",Claims!M334)</f>
        <v/>
      </c>
      <c r="H338" s="36" t="str">
        <f>IF(Claims!N334="","",Claims!N334)</f>
        <v/>
      </c>
      <c r="I338" s="41">
        <f>Claims!J334-Claims!I334</f>
        <v>9</v>
      </c>
      <c r="J338" s="42" t="str">
        <f t="shared" si="71"/>
        <v>n/a</v>
      </c>
      <c r="K338" s="42" t="str">
        <f t="shared" si="72"/>
        <v>n/a</v>
      </c>
      <c r="L338" s="42" t="str">
        <f t="shared" si="73"/>
        <v>n/a</v>
      </c>
      <c r="M338" s="42" t="str">
        <f t="shared" si="74"/>
        <v>Violation</v>
      </c>
      <c r="N338" s="42" t="str">
        <f t="shared" si="75"/>
        <v>n/a</v>
      </c>
      <c r="O338" s="42" t="str">
        <f t="shared" si="76"/>
        <v>n/a</v>
      </c>
      <c r="P338" s="42" t="str">
        <f t="shared" si="77"/>
        <v>Compliant</v>
      </c>
      <c r="Q338" s="42" t="str">
        <f t="shared" si="78"/>
        <v>Compliant</v>
      </c>
      <c r="R338" s="42" t="str">
        <f t="shared" si="79"/>
        <v>Violation</v>
      </c>
      <c r="S338" s="36" t="str">
        <f t="shared" si="80"/>
        <v>TP-05</v>
      </c>
      <c r="T338" s="42" t="str">
        <f t="shared" si="81"/>
        <v/>
      </c>
      <c r="U338" s="42" t="str">
        <f t="shared" si="82"/>
        <v>Assumption-based</v>
      </c>
      <c r="V338" s="42">
        <f t="shared" si="83"/>
        <v>2</v>
      </c>
      <c r="W338" s="42" t="str">
        <f t="shared" si="84"/>
        <v>Needs nights</v>
      </c>
    </row>
    <row r="339" spans="1:23" ht="15" hidden="1" customHeight="1" x14ac:dyDescent="0.25">
      <c r="A339" s="36" t="str">
        <f>Claims!A335</f>
        <v>EXP00334</v>
      </c>
      <c r="B339" s="36" t="str">
        <f>Claims!D335</f>
        <v>M4</v>
      </c>
      <c r="C339" s="36" t="str">
        <f>Claims!E335</f>
        <v>Meals/DA</v>
      </c>
      <c r="D339" s="36" t="str">
        <f>Claims!G335</f>
        <v>Metro</v>
      </c>
      <c r="E339" s="40">
        <f>Claims!H335</f>
        <v>816</v>
      </c>
      <c r="F339" s="36" t="str">
        <f>Claims!K335</f>
        <v>Yes</v>
      </c>
      <c r="G339" s="36" t="str">
        <f>IF(Claims!M335="","",Claims!M335)</f>
        <v/>
      </c>
      <c r="H339" s="36" t="str">
        <f>IF(Claims!N335="","",Claims!N335)</f>
        <v/>
      </c>
      <c r="I339" s="41">
        <f>Claims!J335-Claims!I335</f>
        <v>9</v>
      </c>
      <c r="J339" s="42" t="str">
        <f t="shared" si="71"/>
        <v>n/a</v>
      </c>
      <c r="K339" s="42" t="str">
        <f t="shared" si="72"/>
        <v>n/a</v>
      </c>
      <c r="L339" s="42" t="str">
        <f t="shared" si="73"/>
        <v>n/a</v>
      </c>
      <c r="M339" s="42" t="str">
        <f t="shared" si="74"/>
        <v>n/a</v>
      </c>
      <c r="N339" s="42" t="str">
        <f t="shared" si="75"/>
        <v>Compliant</v>
      </c>
      <c r="O339" s="42" t="str">
        <f t="shared" si="76"/>
        <v>n/a</v>
      </c>
      <c r="P339" s="42" t="str">
        <f t="shared" si="77"/>
        <v>Compliant</v>
      </c>
      <c r="Q339" s="42" t="str">
        <f t="shared" si="78"/>
        <v>Compliant</v>
      </c>
      <c r="R339" s="42" t="str">
        <f t="shared" si="79"/>
        <v>Compliant</v>
      </c>
      <c r="S339" s="36" t="str">
        <f t="shared" si="80"/>
        <v/>
      </c>
      <c r="T339" s="42" t="str">
        <f t="shared" si="81"/>
        <v/>
      </c>
      <c r="U339" s="42" t="str">
        <f t="shared" si="82"/>
        <v/>
      </c>
      <c r="V339" s="42" t="str">
        <f t="shared" si="83"/>
        <v/>
      </c>
      <c r="W339" s="42" t="str">
        <f t="shared" si="84"/>
        <v/>
      </c>
    </row>
    <row r="340" spans="1:23" ht="15" hidden="1" customHeight="1" x14ac:dyDescent="0.25">
      <c r="A340" s="36" t="str">
        <f>Claims!A336</f>
        <v>EXP00335</v>
      </c>
      <c r="B340" s="36" t="str">
        <f>Claims!D336</f>
        <v>M2</v>
      </c>
      <c r="C340" s="36" t="str">
        <f>Claims!E336</f>
        <v>Meals/DA</v>
      </c>
      <c r="D340" s="36" t="str">
        <f>Claims!G336</f>
        <v>Non-metro</v>
      </c>
      <c r="E340" s="40">
        <f>Claims!H336</f>
        <v>948</v>
      </c>
      <c r="F340" s="36" t="str">
        <f>Claims!K336</f>
        <v>Yes</v>
      </c>
      <c r="G340" s="36" t="str">
        <f>IF(Claims!M336="","",Claims!M336)</f>
        <v/>
      </c>
      <c r="H340" s="36" t="str">
        <f>IF(Claims!N336="","",Claims!N336)</f>
        <v/>
      </c>
      <c r="I340" s="41">
        <f>Claims!J336-Claims!I336</f>
        <v>9</v>
      </c>
      <c r="J340" s="42" t="str">
        <f t="shared" si="71"/>
        <v>n/a</v>
      </c>
      <c r="K340" s="42" t="str">
        <f t="shared" si="72"/>
        <v>n/a</v>
      </c>
      <c r="L340" s="42" t="str">
        <f t="shared" si="73"/>
        <v>n/a</v>
      </c>
      <c r="M340" s="42" t="str">
        <f t="shared" si="74"/>
        <v>n/a</v>
      </c>
      <c r="N340" s="42" t="str">
        <f t="shared" si="75"/>
        <v>Violation</v>
      </c>
      <c r="O340" s="42" t="str">
        <f t="shared" si="76"/>
        <v>n/a</v>
      </c>
      <c r="P340" s="42" t="str">
        <f t="shared" si="77"/>
        <v>Compliant</v>
      </c>
      <c r="Q340" s="42" t="str">
        <f t="shared" si="78"/>
        <v>Compliant</v>
      </c>
      <c r="R340" s="42" t="str">
        <f t="shared" si="79"/>
        <v>Violation</v>
      </c>
      <c r="S340" s="36" t="str">
        <f t="shared" si="80"/>
        <v>TP-06</v>
      </c>
      <c r="T340" s="42" t="str">
        <f t="shared" si="81"/>
        <v/>
      </c>
      <c r="U340" s="42" t="str">
        <f t="shared" si="82"/>
        <v>Assumption-based</v>
      </c>
      <c r="V340" s="42">
        <f t="shared" si="83"/>
        <v>2</v>
      </c>
      <c r="W340" s="42" t="str">
        <f t="shared" si="84"/>
        <v>Needs days</v>
      </c>
    </row>
    <row r="341" spans="1:23" ht="15" hidden="1" customHeight="1" x14ac:dyDescent="0.25">
      <c r="A341" s="36" t="str">
        <f>Claims!A337</f>
        <v>EXP00336</v>
      </c>
      <c r="B341" s="36" t="str">
        <f>Claims!D337</f>
        <v>M3</v>
      </c>
      <c r="C341" s="36" t="str">
        <f>Claims!E337</f>
        <v>Stationery</v>
      </c>
      <c r="D341" s="36" t="str">
        <f>Claims!G337</f>
        <v>Metro</v>
      </c>
      <c r="E341" s="40">
        <f>Claims!H337</f>
        <v>1389</v>
      </c>
      <c r="F341" s="36" t="str">
        <f>Claims!K337</f>
        <v>Yes</v>
      </c>
      <c r="G341" s="36" t="str">
        <f>IF(Claims!M337="","",Claims!M337)</f>
        <v/>
      </c>
      <c r="H341" s="36" t="str">
        <f>IF(Claims!N337="","",Claims!N337)</f>
        <v/>
      </c>
      <c r="I341" s="41">
        <f>Claims!J337-Claims!I337</f>
        <v>20</v>
      </c>
      <c r="J341" s="42" t="str">
        <f t="shared" si="71"/>
        <v>n/a</v>
      </c>
      <c r="K341" s="42" t="str">
        <f t="shared" si="72"/>
        <v>n/a</v>
      </c>
      <c r="L341" s="42" t="str">
        <f t="shared" si="73"/>
        <v>n/a</v>
      </c>
      <c r="M341" s="42" t="str">
        <f t="shared" si="74"/>
        <v>n/a</v>
      </c>
      <c r="N341" s="42" t="str">
        <f t="shared" si="75"/>
        <v>n/a</v>
      </c>
      <c r="O341" s="42" t="str">
        <f t="shared" si="76"/>
        <v>n/a</v>
      </c>
      <c r="P341" s="42" t="str">
        <f t="shared" si="77"/>
        <v>Compliant</v>
      </c>
      <c r="Q341" s="42" t="str">
        <f t="shared" si="78"/>
        <v>Violation</v>
      </c>
      <c r="R341" s="42" t="str">
        <f t="shared" si="79"/>
        <v>Violation</v>
      </c>
      <c r="S341" s="36" t="str">
        <f t="shared" si="80"/>
        <v>TP-10</v>
      </c>
      <c r="T341" s="42" t="str">
        <f t="shared" si="81"/>
        <v>Late</v>
      </c>
      <c r="U341" s="42" t="str">
        <f t="shared" si="82"/>
        <v>Definite</v>
      </c>
      <c r="V341" s="42" t="str">
        <f t="shared" si="83"/>
        <v/>
      </c>
      <c r="W341" s="42" t="str">
        <f t="shared" si="84"/>
        <v/>
      </c>
    </row>
    <row r="342" spans="1:23" ht="15" hidden="1" customHeight="1" x14ac:dyDescent="0.25">
      <c r="A342" s="36" t="str">
        <f>Claims!A338</f>
        <v>EXP00337</v>
      </c>
      <c r="B342" s="36" t="str">
        <f>Claims!D338</f>
        <v>M1</v>
      </c>
      <c r="C342" s="36" t="str">
        <f>Claims!E338</f>
        <v>Hotel</v>
      </c>
      <c r="D342" s="36" t="str">
        <f>Claims!G338</f>
        <v>Non-metro</v>
      </c>
      <c r="E342" s="40">
        <f>Claims!H338</f>
        <v>15020</v>
      </c>
      <c r="F342" s="36" t="str">
        <f>Claims!K338</f>
        <v>Yes</v>
      </c>
      <c r="G342" s="36" t="str">
        <f>IF(Claims!M338="","",Claims!M338)</f>
        <v/>
      </c>
      <c r="H342" s="36" t="str">
        <f>IF(Claims!N338="","",Claims!N338)</f>
        <v/>
      </c>
      <c r="I342" s="41">
        <f>Claims!J338-Claims!I338</f>
        <v>9</v>
      </c>
      <c r="J342" s="42" t="str">
        <f t="shared" si="71"/>
        <v>n/a</v>
      </c>
      <c r="K342" s="42" t="str">
        <f t="shared" si="72"/>
        <v>n/a</v>
      </c>
      <c r="L342" s="42" t="str">
        <f t="shared" si="73"/>
        <v>n/a</v>
      </c>
      <c r="M342" s="42" t="str">
        <f t="shared" si="74"/>
        <v>Violation</v>
      </c>
      <c r="N342" s="42" t="str">
        <f t="shared" si="75"/>
        <v>n/a</v>
      </c>
      <c r="O342" s="42" t="str">
        <f t="shared" si="76"/>
        <v>n/a</v>
      </c>
      <c r="P342" s="42" t="str">
        <f t="shared" si="77"/>
        <v>Compliant</v>
      </c>
      <c r="Q342" s="42" t="str">
        <f t="shared" si="78"/>
        <v>Compliant</v>
      </c>
      <c r="R342" s="42" t="str">
        <f t="shared" si="79"/>
        <v>Violation</v>
      </c>
      <c r="S342" s="36" t="str">
        <f t="shared" si="80"/>
        <v>TP-05</v>
      </c>
      <c r="T342" s="42" t="str">
        <f t="shared" si="81"/>
        <v/>
      </c>
      <c r="U342" s="42" t="str">
        <f t="shared" si="82"/>
        <v>Assumption-based</v>
      </c>
      <c r="V342" s="42">
        <f t="shared" si="83"/>
        <v>4</v>
      </c>
      <c r="W342" s="42" t="str">
        <f t="shared" si="84"/>
        <v>Needs nights</v>
      </c>
    </row>
    <row r="343" spans="1:23" ht="15" hidden="1" customHeight="1" x14ac:dyDescent="0.25">
      <c r="A343" s="36" t="str">
        <f>Claims!A339</f>
        <v>EXP00338</v>
      </c>
      <c r="B343" s="36" t="str">
        <f>Claims!D339</f>
        <v>M1</v>
      </c>
      <c r="C343" s="36" t="str">
        <f>Claims!E339</f>
        <v>Hotel</v>
      </c>
      <c r="D343" s="36" t="str">
        <f>Claims!G339</f>
        <v>Non-metro</v>
      </c>
      <c r="E343" s="40">
        <f>Claims!H339</f>
        <v>15910</v>
      </c>
      <c r="F343" s="36" t="str">
        <f>Claims!K339</f>
        <v>Yes</v>
      </c>
      <c r="G343" s="36" t="str">
        <f>IF(Claims!M339="","",Claims!M339)</f>
        <v/>
      </c>
      <c r="H343" s="36" t="str">
        <f>IF(Claims!N339="","",Claims!N339)</f>
        <v/>
      </c>
      <c r="I343" s="41">
        <f>Claims!J339-Claims!I339</f>
        <v>20</v>
      </c>
      <c r="J343" s="42" t="str">
        <f t="shared" si="71"/>
        <v>n/a</v>
      </c>
      <c r="K343" s="42" t="str">
        <f t="shared" si="72"/>
        <v>n/a</v>
      </c>
      <c r="L343" s="42" t="str">
        <f t="shared" si="73"/>
        <v>n/a</v>
      </c>
      <c r="M343" s="42" t="str">
        <f t="shared" si="74"/>
        <v>Violation</v>
      </c>
      <c r="N343" s="42" t="str">
        <f t="shared" si="75"/>
        <v>n/a</v>
      </c>
      <c r="O343" s="42" t="str">
        <f t="shared" si="76"/>
        <v>n/a</v>
      </c>
      <c r="P343" s="42" t="str">
        <f t="shared" si="77"/>
        <v>Compliant</v>
      </c>
      <c r="Q343" s="42" t="str">
        <f t="shared" si="78"/>
        <v>Violation</v>
      </c>
      <c r="R343" s="42" t="str">
        <f t="shared" si="79"/>
        <v>Violation</v>
      </c>
      <c r="S343" s="36" t="str">
        <f t="shared" si="80"/>
        <v>TP-05, TP-10</v>
      </c>
      <c r="T343" s="42" t="str">
        <f t="shared" si="81"/>
        <v>Late</v>
      </c>
      <c r="U343" s="42" t="str">
        <f t="shared" si="82"/>
        <v>Definite</v>
      </c>
      <c r="V343" s="42">
        <f t="shared" si="83"/>
        <v>4</v>
      </c>
      <c r="W343" s="42" t="str">
        <f t="shared" si="84"/>
        <v>Needs nights</v>
      </c>
    </row>
    <row r="344" spans="1:23" ht="15" hidden="1" customHeight="1" x14ac:dyDescent="0.25">
      <c r="A344" s="36" t="str">
        <f>Claims!A340</f>
        <v>EXP00339</v>
      </c>
      <c r="B344" s="36" t="str">
        <f>Claims!D340</f>
        <v>M3</v>
      </c>
      <c r="C344" s="36" t="str">
        <f>Claims!E340</f>
        <v>Meals/DA</v>
      </c>
      <c r="D344" s="36" t="str">
        <f>Claims!G340</f>
        <v>Non-metro</v>
      </c>
      <c r="E344" s="40">
        <f>Claims!H340</f>
        <v>2019</v>
      </c>
      <c r="F344" s="36" t="str">
        <f>Claims!K340</f>
        <v>Yes</v>
      </c>
      <c r="G344" s="36" t="str">
        <f>IF(Claims!M340="","",Claims!M340)</f>
        <v/>
      </c>
      <c r="H344" s="36" t="str">
        <f>IF(Claims!N340="","",Claims!N340)</f>
        <v/>
      </c>
      <c r="I344" s="41">
        <f>Claims!J340-Claims!I340</f>
        <v>20</v>
      </c>
      <c r="J344" s="42" t="str">
        <f t="shared" si="71"/>
        <v>n/a</v>
      </c>
      <c r="K344" s="42" t="str">
        <f t="shared" si="72"/>
        <v>n/a</v>
      </c>
      <c r="L344" s="42" t="str">
        <f t="shared" si="73"/>
        <v>n/a</v>
      </c>
      <c r="M344" s="42" t="str">
        <f t="shared" si="74"/>
        <v>n/a</v>
      </c>
      <c r="N344" s="42" t="str">
        <f t="shared" si="75"/>
        <v>Violation</v>
      </c>
      <c r="O344" s="42" t="str">
        <f t="shared" si="76"/>
        <v>n/a</v>
      </c>
      <c r="P344" s="42" t="str">
        <f t="shared" si="77"/>
        <v>Compliant</v>
      </c>
      <c r="Q344" s="42" t="str">
        <f t="shared" si="78"/>
        <v>Violation</v>
      </c>
      <c r="R344" s="42" t="str">
        <f t="shared" si="79"/>
        <v>Violation</v>
      </c>
      <c r="S344" s="36" t="str">
        <f t="shared" si="80"/>
        <v>TP-06, TP-10</v>
      </c>
      <c r="T344" s="42" t="str">
        <f t="shared" si="81"/>
        <v>Late</v>
      </c>
      <c r="U344" s="42" t="str">
        <f t="shared" si="82"/>
        <v>Definite</v>
      </c>
      <c r="V344" s="42">
        <f t="shared" si="83"/>
        <v>3</v>
      </c>
      <c r="W344" s="42" t="str">
        <f t="shared" si="84"/>
        <v>Needs days</v>
      </c>
    </row>
    <row r="345" spans="1:23" ht="15" hidden="1" customHeight="1" x14ac:dyDescent="0.25">
      <c r="A345" s="36" t="str">
        <f>Claims!A341</f>
        <v>EXP00340</v>
      </c>
      <c r="B345" s="36" t="str">
        <f>Claims!D341</f>
        <v>M2</v>
      </c>
      <c r="C345" s="36" t="str">
        <f>Claims!E341</f>
        <v>Local Cab</v>
      </c>
      <c r="D345" s="36" t="str">
        <f>Claims!G341</f>
        <v>Metro</v>
      </c>
      <c r="E345" s="40">
        <f>Claims!H341</f>
        <v>1083</v>
      </c>
      <c r="F345" s="36" t="str">
        <f>Claims!K341</f>
        <v>No</v>
      </c>
      <c r="G345" s="36" t="str">
        <f>IF(Claims!M341="","",Claims!M341)</f>
        <v/>
      </c>
      <c r="H345" s="36" t="str">
        <f>IF(Claims!N341="","",Claims!N341)</f>
        <v/>
      </c>
      <c r="I345" s="41">
        <f>Claims!J341-Claims!I341</f>
        <v>9</v>
      </c>
      <c r="J345" s="42" t="str">
        <f t="shared" si="71"/>
        <v>n/a</v>
      </c>
      <c r="K345" s="42" t="str">
        <f t="shared" si="72"/>
        <v>n/a</v>
      </c>
      <c r="L345" s="42" t="str">
        <f t="shared" si="73"/>
        <v>n/a</v>
      </c>
      <c r="M345" s="42" t="str">
        <f t="shared" si="74"/>
        <v>n/a</v>
      </c>
      <c r="N345" s="42" t="str">
        <f t="shared" si="75"/>
        <v>n/a</v>
      </c>
      <c r="O345" s="42" t="str">
        <f t="shared" si="76"/>
        <v>n/a</v>
      </c>
      <c r="P345" s="42" t="str">
        <f t="shared" si="77"/>
        <v>Violation</v>
      </c>
      <c r="Q345" s="42" t="str">
        <f t="shared" si="78"/>
        <v>Compliant</v>
      </c>
      <c r="R345" s="42" t="str">
        <f t="shared" si="79"/>
        <v>Violation</v>
      </c>
      <c r="S345" s="36" t="str">
        <f t="shared" si="80"/>
        <v>TP-09</v>
      </c>
      <c r="T345" s="42" t="str">
        <f t="shared" si="81"/>
        <v/>
      </c>
      <c r="U345" s="42" t="str">
        <f t="shared" si="82"/>
        <v>Definite</v>
      </c>
      <c r="V345" s="42" t="str">
        <f t="shared" si="83"/>
        <v/>
      </c>
      <c r="W345" s="42" t="str">
        <f t="shared" si="84"/>
        <v/>
      </c>
    </row>
    <row r="346" spans="1:23" ht="15" hidden="1" customHeight="1" x14ac:dyDescent="0.25">
      <c r="A346" s="36" t="str">
        <f>Claims!A342</f>
        <v>EXP00341</v>
      </c>
      <c r="B346" s="36" t="str">
        <f>Claims!D342</f>
        <v>M2</v>
      </c>
      <c r="C346" s="36" t="str">
        <f>Claims!E342</f>
        <v>Flight</v>
      </c>
      <c r="D346" s="36" t="str">
        <f>Claims!G342</f>
        <v>Metro</v>
      </c>
      <c r="E346" s="40">
        <f>Claims!H342</f>
        <v>9050</v>
      </c>
      <c r="F346" s="36" t="str">
        <f>Claims!K342</f>
        <v>Yes</v>
      </c>
      <c r="G346" s="36">
        <f>IF(Claims!M342="","",Claims!M342)</f>
        <v>4</v>
      </c>
      <c r="H346" s="36" t="str">
        <f>IF(Claims!N342="","",Claims!N342)</f>
        <v>Economy</v>
      </c>
      <c r="I346" s="41">
        <f>Claims!J342-Claims!I342</f>
        <v>14</v>
      </c>
      <c r="J346" s="42" t="str">
        <f t="shared" si="71"/>
        <v>Compliant</v>
      </c>
      <c r="K346" s="42" t="str">
        <f t="shared" si="72"/>
        <v>Violation</v>
      </c>
      <c r="L346" s="42" t="str">
        <f t="shared" si="73"/>
        <v>n/a</v>
      </c>
      <c r="M346" s="42" t="str">
        <f t="shared" si="74"/>
        <v>n/a</v>
      </c>
      <c r="N346" s="42" t="str">
        <f t="shared" si="75"/>
        <v>n/a</v>
      </c>
      <c r="O346" s="42" t="str">
        <f t="shared" si="76"/>
        <v>n/a</v>
      </c>
      <c r="P346" s="42" t="str">
        <f t="shared" si="77"/>
        <v>Compliant</v>
      </c>
      <c r="Q346" s="42" t="str">
        <f t="shared" si="78"/>
        <v>Compliant</v>
      </c>
      <c r="R346" s="42" t="str">
        <f t="shared" si="79"/>
        <v>Violation</v>
      </c>
      <c r="S346" s="36" t="str">
        <f t="shared" si="80"/>
        <v>TP-02</v>
      </c>
      <c r="T346" s="42" t="str">
        <f t="shared" si="81"/>
        <v/>
      </c>
      <c r="U346" s="42" t="str">
        <f t="shared" si="82"/>
        <v>Assumption-based</v>
      </c>
      <c r="V346" s="42" t="str">
        <f t="shared" si="83"/>
        <v/>
      </c>
      <c r="W346" s="42" t="str">
        <f t="shared" si="84"/>
        <v>Needs approval</v>
      </c>
    </row>
    <row r="347" spans="1:23" ht="15" hidden="1" customHeight="1" x14ac:dyDescent="0.25">
      <c r="A347" s="36" t="str">
        <f>Claims!A343</f>
        <v>EXP00342</v>
      </c>
      <c r="B347" s="36" t="str">
        <f>Claims!D343</f>
        <v>M4</v>
      </c>
      <c r="C347" s="36" t="str">
        <f>Claims!E343</f>
        <v>Client Entertainment</v>
      </c>
      <c r="D347" s="36" t="str">
        <f>Claims!G343</f>
        <v>Metro</v>
      </c>
      <c r="E347" s="40">
        <f>Claims!H343</f>
        <v>10763</v>
      </c>
      <c r="F347" s="36" t="str">
        <f>Claims!K343</f>
        <v>Yes</v>
      </c>
      <c r="G347" s="36" t="str">
        <f>IF(Claims!M343="","",Claims!M343)</f>
        <v/>
      </c>
      <c r="H347" s="36" t="str">
        <f>IF(Claims!N343="","",Claims!N343)</f>
        <v/>
      </c>
      <c r="I347" s="41">
        <f>Claims!J343-Claims!I343</f>
        <v>2</v>
      </c>
      <c r="J347" s="42" t="str">
        <f t="shared" si="71"/>
        <v>n/a</v>
      </c>
      <c r="K347" s="42" t="str">
        <f t="shared" si="72"/>
        <v>n/a</v>
      </c>
      <c r="L347" s="42" t="str">
        <f t="shared" si="73"/>
        <v>n/a</v>
      </c>
      <c r="M347" s="42" t="str">
        <f t="shared" si="74"/>
        <v>n/a</v>
      </c>
      <c r="N347" s="42" t="str">
        <f t="shared" si="75"/>
        <v>n/a</v>
      </c>
      <c r="O347" s="42" t="str">
        <f t="shared" si="76"/>
        <v>n/a</v>
      </c>
      <c r="P347" s="42" t="str">
        <f t="shared" si="77"/>
        <v>Compliant</v>
      </c>
      <c r="Q347" s="42" t="str">
        <f t="shared" si="78"/>
        <v>Compliant</v>
      </c>
      <c r="R347" s="42" t="str">
        <f t="shared" si="79"/>
        <v>Compliant</v>
      </c>
      <c r="S347" s="36" t="str">
        <f t="shared" si="80"/>
        <v/>
      </c>
      <c r="T347" s="42" t="str">
        <f t="shared" si="81"/>
        <v/>
      </c>
      <c r="U347" s="42" t="str">
        <f t="shared" si="82"/>
        <v/>
      </c>
      <c r="V347" s="42" t="str">
        <f t="shared" si="83"/>
        <v/>
      </c>
      <c r="W347" s="42" t="str">
        <f t="shared" si="84"/>
        <v/>
      </c>
    </row>
    <row r="348" spans="1:23" ht="15" hidden="1" customHeight="1" x14ac:dyDescent="0.25">
      <c r="A348" s="36" t="str">
        <f>Claims!A344</f>
        <v>EXP00343</v>
      </c>
      <c r="B348" s="36" t="str">
        <f>Claims!D344</f>
        <v>M2</v>
      </c>
      <c r="C348" s="36" t="str">
        <f>Claims!E344</f>
        <v>Local Cab</v>
      </c>
      <c r="D348" s="36" t="str">
        <f>Claims!G344</f>
        <v>Metro</v>
      </c>
      <c r="E348" s="40">
        <f>Claims!H344</f>
        <v>365</v>
      </c>
      <c r="F348" s="36" t="str">
        <f>Claims!K344</f>
        <v>Yes</v>
      </c>
      <c r="G348" s="36" t="str">
        <f>IF(Claims!M344="","",Claims!M344)</f>
        <v/>
      </c>
      <c r="H348" s="36" t="str">
        <f>IF(Claims!N344="","",Claims!N344)</f>
        <v/>
      </c>
      <c r="I348" s="41">
        <f>Claims!J344-Claims!I344</f>
        <v>70</v>
      </c>
      <c r="J348" s="42" t="str">
        <f t="shared" si="71"/>
        <v>n/a</v>
      </c>
      <c r="K348" s="42" t="str">
        <f t="shared" si="72"/>
        <v>n/a</v>
      </c>
      <c r="L348" s="42" t="str">
        <f t="shared" si="73"/>
        <v>n/a</v>
      </c>
      <c r="M348" s="42" t="str">
        <f t="shared" si="74"/>
        <v>n/a</v>
      </c>
      <c r="N348" s="42" t="str">
        <f t="shared" si="75"/>
        <v>n/a</v>
      </c>
      <c r="O348" s="42" t="str">
        <f t="shared" si="76"/>
        <v>n/a</v>
      </c>
      <c r="P348" s="42" t="str">
        <f t="shared" si="77"/>
        <v>Compliant</v>
      </c>
      <c r="Q348" s="42" t="str">
        <f t="shared" si="78"/>
        <v>Violation</v>
      </c>
      <c r="R348" s="42" t="str">
        <f t="shared" si="79"/>
        <v>Violation</v>
      </c>
      <c r="S348" s="36" t="str">
        <f t="shared" si="80"/>
        <v>TP-10</v>
      </c>
      <c r="T348" s="42" t="str">
        <f t="shared" si="81"/>
        <v>Expired</v>
      </c>
      <c r="U348" s="42" t="str">
        <f t="shared" si="82"/>
        <v>Definite</v>
      </c>
      <c r="V348" s="42" t="str">
        <f t="shared" si="83"/>
        <v/>
      </c>
      <c r="W348" s="42" t="str">
        <f t="shared" si="84"/>
        <v/>
      </c>
    </row>
    <row r="349" spans="1:23" ht="15" hidden="1" customHeight="1" x14ac:dyDescent="0.25">
      <c r="A349" s="36" t="str">
        <f>Claims!A345</f>
        <v>EXP00344</v>
      </c>
      <c r="B349" s="36" t="str">
        <f>Claims!D345</f>
        <v>M2</v>
      </c>
      <c r="C349" s="36" t="str">
        <f>Claims!E345</f>
        <v>Train</v>
      </c>
      <c r="D349" s="36" t="str">
        <f>Claims!G345</f>
        <v>Non-metro</v>
      </c>
      <c r="E349" s="40">
        <f>Claims!H345</f>
        <v>2407</v>
      </c>
      <c r="F349" s="36" t="str">
        <f>Claims!K345</f>
        <v>Yes</v>
      </c>
      <c r="G349" s="36" t="str">
        <f>IF(Claims!M345="","",Claims!M345)</f>
        <v/>
      </c>
      <c r="H349" s="36" t="str">
        <f>IF(Claims!N345="","",Claims!N345)</f>
        <v/>
      </c>
      <c r="I349" s="41">
        <f>Claims!J345-Claims!I345</f>
        <v>5</v>
      </c>
      <c r="J349" s="42" t="str">
        <f t="shared" si="71"/>
        <v>n/a</v>
      </c>
      <c r="K349" s="42" t="str">
        <f t="shared" si="72"/>
        <v>n/a</v>
      </c>
      <c r="L349" s="42" t="str">
        <f t="shared" si="73"/>
        <v>n/a</v>
      </c>
      <c r="M349" s="42" t="str">
        <f t="shared" si="74"/>
        <v>n/a</v>
      </c>
      <c r="N349" s="42" t="str">
        <f t="shared" si="75"/>
        <v>n/a</v>
      </c>
      <c r="O349" s="42" t="str">
        <f t="shared" si="76"/>
        <v>n/a</v>
      </c>
      <c r="P349" s="42" t="str">
        <f t="shared" si="77"/>
        <v>Compliant</v>
      </c>
      <c r="Q349" s="42" t="str">
        <f t="shared" si="78"/>
        <v>Compliant</v>
      </c>
      <c r="R349" s="42" t="str">
        <f t="shared" si="79"/>
        <v>Compliant</v>
      </c>
      <c r="S349" s="36" t="str">
        <f t="shared" si="80"/>
        <v/>
      </c>
      <c r="T349" s="42" t="str">
        <f t="shared" si="81"/>
        <v/>
      </c>
      <c r="U349" s="42" t="str">
        <f t="shared" si="82"/>
        <v/>
      </c>
      <c r="V349" s="42" t="str">
        <f t="shared" si="83"/>
        <v/>
      </c>
      <c r="W349" s="42" t="str">
        <f t="shared" si="84"/>
        <v/>
      </c>
    </row>
    <row r="350" spans="1:23" ht="15" hidden="1" customHeight="1" x14ac:dyDescent="0.25">
      <c r="A350" s="36" t="str">
        <f>Claims!A346</f>
        <v>EXP00345</v>
      </c>
      <c r="B350" s="36" t="str">
        <f>Claims!D346</f>
        <v>M1</v>
      </c>
      <c r="C350" s="36" t="str">
        <f>Claims!E346</f>
        <v>Train</v>
      </c>
      <c r="D350" s="36" t="str">
        <f>Claims!G346</f>
        <v>Non-metro</v>
      </c>
      <c r="E350" s="40">
        <f>Claims!H346</f>
        <v>841</v>
      </c>
      <c r="F350" s="36" t="str">
        <f>Claims!K346</f>
        <v>Yes</v>
      </c>
      <c r="G350" s="36" t="str">
        <f>IF(Claims!M346="","",Claims!M346)</f>
        <v/>
      </c>
      <c r="H350" s="36" t="str">
        <f>IF(Claims!N346="","",Claims!N346)</f>
        <v/>
      </c>
      <c r="I350" s="41">
        <f>Claims!J346-Claims!I346</f>
        <v>14</v>
      </c>
      <c r="J350" s="42" t="str">
        <f t="shared" si="71"/>
        <v>n/a</v>
      </c>
      <c r="K350" s="42" t="str">
        <f t="shared" si="72"/>
        <v>n/a</v>
      </c>
      <c r="L350" s="42" t="str">
        <f t="shared" si="73"/>
        <v>n/a</v>
      </c>
      <c r="M350" s="42" t="str">
        <f t="shared" si="74"/>
        <v>n/a</v>
      </c>
      <c r="N350" s="42" t="str">
        <f t="shared" si="75"/>
        <v>n/a</v>
      </c>
      <c r="O350" s="42" t="str">
        <f t="shared" si="76"/>
        <v>n/a</v>
      </c>
      <c r="P350" s="42" t="str">
        <f t="shared" si="77"/>
        <v>Compliant</v>
      </c>
      <c r="Q350" s="42" t="str">
        <f t="shared" si="78"/>
        <v>Compliant</v>
      </c>
      <c r="R350" s="42" t="str">
        <f t="shared" si="79"/>
        <v>Compliant</v>
      </c>
      <c r="S350" s="36" t="str">
        <f t="shared" si="80"/>
        <v/>
      </c>
      <c r="T350" s="42" t="str">
        <f t="shared" si="81"/>
        <v/>
      </c>
      <c r="U350" s="42" t="str">
        <f t="shared" si="82"/>
        <v/>
      </c>
      <c r="V350" s="42" t="str">
        <f t="shared" si="83"/>
        <v/>
      </c>
      <c r="W350" s="42" t="str">
        <f t="shared" si="84"/>
        <v/>
      </c>
    </row>
    <row r="351" spans="1:23" ht="15" hidden="1" customHeight="1" x14ac:dyDescent="0.25">
      <c r="A351" s="36" t="str">
        <f>Claims!A347</f>
        <v>EXP00346</v>
      </c>
      <c r="B351" s="36" t="str">
        <f>Claims!D347</f>
        <v>M2</v>
      </c>
      <c r="C351" s="36" t="str">
        <f>Claims!E347</f>
        <v>Flight</v>
      </c>
      <c r="D351" s="36" t="str">
        <f>Claims!G347</f>
        <v>Non-metro</v>
      </c>
      <c r="E351" s="40">
        <f>Claims!H347</f>
        <v>10801</v>
      </c>
      <c r="F351" s="36" t="str">
        <f>Claims!K347</f>
        <v>Yes</v>
      </c>
      <c r="G351" s="36">
        <f>IF(Claims!M347="","",Claims!M347)</f>
        <v>15</v>
      </c>
      <c r="H351" s="36" t="str">
        <f>IF(Claims!N347="","",Claims!N347)</f>
        <v>Economy</v>
      </c>
      <c r="I351" s="41">
        <f>Claims!J347-Claims!I347</f>
        <v>2</v>
      </c>
      <c r="J351" s="42" t="str">
        <f t="shared" si="71"/>
        <v>Compliant</v>
      </c>
      <c r="K351" s="42" t="str">
        <f t="shared" si="72"/>
        <v>Compliant</v>
      </c>
      <c r="L351" s="42" t="str">
        <f t="shared" si="73"/>
        <v>n/a</v>
      </c>
      <c r="M351" s="42" t="str">
        <f t="shared" si="74"/>
        <v>n/a</v>
      </c>
      <c r="N351" s="42" t="str">
        <f t="shared" si="75"/>
        <v>n/a</v>
      </c>
      <c r="O351" s="42" t="str">
        <f t="shared" si="76"/>
        <v>n/a</v>
      </c>
      <c r="P351" s="42" t="str">
        <f t="shared" si="77"/>
        <v>Compliant</v>
      </c>
      <c r="Q351" s="42" t="str">
        <f t="shared" si="78"/>
        <v>Compliant</v>
      </c>
      <c r="R351" s="42" t="str">
        <f t="shared" si="79"/>
        <v>Compliant</v>
      </c>
      <c r="S351" s="36" t="str">
        <f t="shared" si="80"/>
        <v/>
      </c>
      <c r="T351" s="42" t="str">
        <f t="shared" si="81"/>
        <v/>
      </c>
      <c r="U351" s="42" t="str">
        <f t="shared" si="82"/>
        <v/>
      </c>
      <c r="V351" s="42" t="str">
        <f t="shared" si="83"/>
        <v/>
      </c>
      <c r="W351" s="42" t="str">
        <f t="shared" si="84"/>
        <v/>
      </c>
    </row>
    <row r="352" spans="1:23" ht="15" hidden="1" customHeight="1" x14ac:dyDescent="0.25">
      <c r="A352" s="36" t="str">
        <f>Claims!A348</f>
        <v>EXP00347</v>
      </c>
      <c r="B352" s="36" t="str">
        <f>Claims!D348</f>
        <v>M3</v>
      </c>
      <c r="C352" s="36" t="str">
        <f>Claims!E348</f>
        <v>Meals/DA</v>
      </c>
      <c r="D352" s="36" t="str">
        <f>Claims!G348</f>
        <v>Metro</v>
      </c>
      <c r="E352" s="40">
        <f>Claims!H348</f>
        <v>632</v>
      </c>
      <c r="F352" s="36" t="str">
        <f>Claims!K348</f>
        <v>No</v>
      </c>
      <c r="G352" s="36" t="str">
        <f>IF(Claims!M348="","",Claims!M348)</f>
        <v/>
      </c>
      <c r="H352" s="36" t="str">
        <f>IF(Claims!N348="","",Claims!N348)</f>
        <v/>
      </c>
      <c r="I352" s="41">
        <f>Claims!J348-Claims!I348</f>
        <v>5</v>
      </c>
      <c r="J352" s="42" t="str">
        <f t="shared" si="71"/>
        <v>n/a</v>
      </c>
      <c r="K352" s="42" t="str">
        <f t="shared" si="72"/>
        <v>n/a</v>
      </c>
      <c r="L352" s="42" t="str">
        <f t="shared" si="73"/>
        <v>n/a</v>
      </c>
      <c r="M352" s="42" t="str">
        <f t="shared" si="74"/>
        <v>n/a</v>
      </c>
      <c r="N352" s="42" t="str">
        <f t="shared" si="75"/>
        <v>Compliant</v>
      </c>
      <c r="O352" s="42" t="str">
        <f t="shared" si="76"/>
        <v>n/a</v>
      </c>
      <c r="P352" s="42" t="str">
        <f t="shared" si="77"/>
        <v>Violation</v>
      </c>
      <c r="Q352" s="42" t="str">
        <f t="shared" si="78"/>
        <v>Compliant</v>
      </c>
      <c r="R352" s="42" t="str">
        <f t="shared" si="79"/>
        <v>Violation</v>
      </c>
      <c r="S352" s="36" t="str">
        <f t="shared" si="80"/>
        <v>TP-09</v>
      </c>
      <c r="T352" s="42" t="str">
        <f t="shared" si="81"/>
        <v/>
      </c>
      <c r="U352" s="42" t="str">
        <f t="shared" si="82"/>
        <v>Definite</v>
      </c>
      <c r="V352" s="42" t="str">
        <f t="shared" si="83"/>
        <v/>
      </c>
      <c r="W352" s="42" t="str">
        <f t="shared" si="84"/>
        <v/>
      </c>
    </row>
    <row r="353" spans="1:23" ht="15" hidden="1" customHeight="1" x14ac:dyDescent="0.25">
      <c r="A353" s="36" t="str">
        <f>Claims!A349</f>
        <v>EXP00348</v>
      </c>
      <c r="B353" s="36" t="str">
        <f>Claims!D349</f>
        <v>M3</v>
      </c>
      <c r="C353" s="36" t="str">
        <f>Claims!E349</f>
        <v>Flight</v>
      </c>
      <c r="D353" s="36" t="str">
        <f>Claims!G349</f>
        <v>Metro</v>
      </c>
      <c r="E353" s="40">
        <f>Claims!H349</f>
        <v>8659</v>
      </c>
      <c r="F353" s="36" t="str">
        <f>Claims!K349</f>
        <v>Yes</v>
      </c>
      <c r="G353" s="36">
        <f>IF(Claims!M349="","",Claims!M349)</f>
        <v>6</v>
      </c>
      <c r="H353" s="36" t="str">
        <f>IF(Claims!N349="","",Claims!N349)</f>
        <v>Economy</v>
      </c>
      <c r="I353" s="41">
        <f>Claims!J349-Claims!I349</f>
        <v>5</v>
      </c>
      <c r="J353" s="42" t="str">
        <f t="shared" si="71"/>
        <v>Compliant</v>
      </c>
      <c r="K353" s="42" t="str">
        <f t="shared" si="72"/>
        <v>Violation</v>
      </c>
      <c r="L353" s="42" t="str">
        <f t="shared" si="73"/>
        <v>n/a</v>
      </c>
      <c r="M353" s="42" t="str">
        <f t="shared" si="74"/>
        <v>n/a</v>
      </c>
      <c r="N353" s="42" t="str">
        <f t="shared" si="75"/>
        <v>n/a</v>
      </c>
      <c r="O353" s="42" t="str">
        <f t="shared" si="76"/>
        <v>n/a</v>
      </c>
      <c r="P353" s="42" t="str">
        <f t="shared" si="77"/>
        <v>Compliant</v>
      </c>
      <c r="Q353" s="42" t="str">
        <f t="shared" si="78"/>
        <v>Compliant</v>
      </c>
      <c r="R353" s="42" t="str">
        <f t="shared" si="79"/>
        <v>Violation</v>
      </c>
      <c r="S353" s="36" t="str">
        <f t="shared" si="80"/>
        <v>TP-02</v>
      </c>
      <c r="T353" s="42" t="str">
        <f t="shared" si="81"/>
        <v/>
      </c>
      <c r="U353" s="42" t="str">
        <f t="shared" si="82"/>
        <v>Assumption-based</v>
      </c>
      <c r="V353" s="42" t="str">
        <f t="shared" si="83"/>
        <v/>
      </c>
      <c r="W353" s="42" t="str">
        <f t="shared" si="84"/>
        <v>Needs approval</v>
      </c>
    </row>
    <row r="354" spans="1:23" ht="15" hidden="1" customHeight="1" x14ac:dyDescent="0.25">
      <c r="A354" s="36" t="str">
        <f>Claims!A350</f>
        <v>EXP00349</v>
      </c>
      <c r="B354" s="36" t="str">
        <f>Claims!D350</f>
        <v>M4</v>
      </c>
      <c r="C354" s="36" t="str">
        <f>Claims!E350</f>
        <v>Hotel</v>
      </c>
      <c r="D354" s="36" t="str">
        <f>Claims!G350</f>
        <v>Non-metro</v>
      </c>
      <c r="E354" s="40">
        <f>Claims!H350</f>
        <v>14152</v>
      </c>
      <c r="F354" s="36" t="str">
        <f>Claims!K350</f>
        <v>Yes</v>
      </c>
      <c r="G354" s="36" t="str">
        <f>IF(Claims!M350="","",Claims!M350)</f>
        <v/>
      </c>
      <c r="H354" s="36" t="str">
        <f>IF(Claims!N350="","",Claims!N350)</f>
        <v/>
      </c>
      <c r="I354" s="41">
        <f>Claims!J350-Claims!I350</f>
        <v>2</v>
      </c>
      <c r="J354" s="42" t="str">
        <f t="shared" si="71"/>
        <v>n/a</v>
      </c>
      <c r="K354" s="42" t="str">
        <f t="shared" si="72"/>
        <v>n/a</v>
      </c>
      <c r="L354" s="42" t="str">
        <f t="shared" si="73"/>
        <v>n/a</v>
      </c>
      <c r="M354" s="42" t="str">
        <f t="shared" si="74"/>
        <v>Violation</v>
      </c>
      <c r="N354" s="42" t="str">
        <f t="shared" si="75"/>
        <v>n/a</v>
      </c>
      <c r="O354" s="42" t="str">
        <f t="shared" si="76"/>
        <v>n/a</v>
      </c>
      <c r="P354" s="42" t="str">
        <f t="shared" si="77"/>
        <v>Compliant</v>
      </c>
      <c r="Q354" s="42" t="str">
        <f t="shared" si="78"/>
        <v>Compliant</v>
      </c>
      <c r="R354" s="42" t="str">
        <f t="shared" si="79"/>
        <v>Violation</v>
      </c>
      <c r="S354" s="36" t="str">
        <f t="shared" si="80"/>
        <v>TP-05</v>
      </c>
      <c r="T354" s="42" t="str">
        <f t="shared" si="81"/>
        <v/>
      </c>
      <c r="U354" s="42" t="str">
        <f t="shared" si="82"/>
        <v>Assumption-based</v>
      </c>
      <c r="V354" s="42">
        <f t="shared" si="83"/>
        <v>2</v>
      </c>
      <c r="W354" s="42" t="str">
        <f t="shared" si="84"/>
        <v>Needs nights</v>
      </c>
    </row>
    <row r="355" spans="1:23" ht="15" hidden="1" customHeight="1" x14ac:dyDescent="0.25">
      <c r="A355" s="36" t="str">
        <f>Claims!A351</f>
        <v>EXP00350</v>
      </c>
      <c r="B355" s="36" t="str">
        <f>Claims!D351</f>
        <v>M1</v>
      </c>
      <c r="C355" s="36" t="str">
        <f>Claims!E351</f>
        <v>Client Entertainment</v>
      </c>
      <c r="D355" s="36" t="str">
        <f>Claims!G351</f>
        <v>Metro</v>
      </c>
      <c r="E355" s="40">
        <f>Claims!H351</f>
        <v>14033</v>
      </c>
      <c r="F355" s="36" t="str">
        <f>Claims!K351</f>
        <v>Yes</v>
      </c>
      <c r="G355" s="36" t="str">
        <f>IF(Claims!M351="","",Claims!M351)</f>
        <v/>
      </c>
      <c r="H355" s="36" t="str">
        <f>IF(Claims!N351="","",Claims!N351)</f>
        <v/>
      </c>
      <c r="I355" s="41">
        <f>Claims!J351-Claims!I351</f>
        <v>5</v>
      </c>
      <c r="J355" s="42" t="str">
        <f t="shared" si="71"/>
        <v>n/a</v>
      </c>
      <c r="K355" s="42" t="str">
        <f t="shared" si="72"/>
        <v>n/a</v>
      </c>
      <c r="L355" s="42" t="str">
        <f t="shared" si="73"/>
        <v>n/a</v>
      </c>
      <c r="M355" s="42" t="str">
        <f t="shared" si="74"/>
        <v>n/a</v>
      </c>
      <c r="N355" s="42" t="str">
        <f t="shared" si="75"/>
        <v>n/a</v>
      </c>
      <c r="O355" s="42" t="str">
        <f t="shared" si="76"/>
        <v>n/a</v>
      </c>
      <c r="P355" s="42" t="str">
        <f t="shared" si="77"/>
        <v>Compliant</v>
      </c>
      <c r="Q355" s="42" t="str">
        <f t="shared" si="78"/>
        <v>Compliant</v>
      </c>
      <c r="R355" s="42" t="str">
        <f t="shared" si="79"/>
        <v>Compliant</v>
      </c>
      <c r="S355" s="36" t="str">
        <f t="shared" si="80"/>
        <v/>
      </c>
      <c r="T355" s="42" t="str">
        <f t="shared" si="81"/>
        <v/>
      </c>
      <c r="U355" s="42" t="str">
        <f t="shared" si="82"/>
        <v/>
      </c>
      <c r="V355" s="42" t="str">
        <f t="shared" si="83"/>
        <v/>
      </c>
      <c r="W355" s="42" t="str">
        <f t="shared" si="84"/>
        <v/>
      </c>
    </row>
    <row r="356" spans="1:23" ht="15" hidden="1" customHeight="1" x14ac:dyDescent="0.25">
      <c r="A356" s="36" t="str">
        <f>Claims!A352</f>
        <v>EXP00351</v>
      </c>
      <c r="B356" s="36" t="str">
        <f>Claims!D352</f>
        <v>M2</v>
      </c>
      <c r="C356" s="36" t="str">
        <f>Claims!E352</f>
        <v>Train</v>
      </c>
      <c r="D356" s="36" t="str">
        <f>Claims!G352</f>
        <v>Metro</v>
      </c>
      <c r="E356" s="40">
        <f>Claims!H352</f>
        <v>866</v>
      </c>
      <c r="F356" s="36" t="str">
        <f>Claims!K352</f>
        <v>Yes</v>
      </c>
      <c r="G356" s="36" t="str">
        <f>IF(Claims!M352="","",Claims!M352)</f>
        <v/>
      </c>
      <c r="H356" s="36" t="str">
        <f>IF(Claims!N352="","",Claims!N352)</f>
        <v/>
      </c>
      <c r="I356" s="41">
        <f>Claims!J352-Claims!I352</f>
        <v>2</v>
      </c>
      <c r="J356" s="42" t="str">
        <f t="shared" si="71"/>
        <v>n/a</v>
      </c>
      <c r="K356" s="42" t="str">
        <f t="shared" si="72"/>
        <v>n/a</v>
      </c>
      <c r="L356" s="42" t="str">
        <f t="shared" si="73"/>
        <v>n/a</v>
      </c>
      <c r="M356" s="42" t="str">
        <f t="shared" si="74"/>
        <v>n/a</v>
      </c>
      <c r="N356" s="42" t="str">
        <f t="shared" si="75"/>
        <v>n/a</v>
      </c>
      <c r="O356" s="42" t="str">
        <f t="shared" si="76"/>
        <v>n/a</v>
      </c>
      <c r="P356" s="42" t="str">
        <f t="shared" si="77"/>
        <v>Compliant</v>
      </c>
      <c r="Q356" s="42" t="str">
        <f t="shared" si="78"/>
        <v>Compliant</v>
      </c>
      <c r="R356" s="42" t="str">
        <f t="shared" si="79"/>
        <v>Compliant</v>
      </c>
      <c r="S356" s="36" t="str">
        <f t="shared" si="80"/>
        <v/>
      </c>
      <c r="T356" s="42" t="str">
        <f t="shared" si="81"/>
        <v/>
      </c>
      <c r="U356" s="42" t="str">
        <f t="shared" si="82"/>
        <v/>
      </c>
      <c r="V356" s="42" t="str">
        <f t="shared" si="83"/>
        <v/>
      </c>
      <c r="W356" s="42" t="str">
        <f t="shared" si="84"/>
        <v/>
      </c>
    </row>
    <row r="357" spans="1:23" ht="15" hidden="1" customHeight="1" x14ac:dyDescent="0.25">
      <c r="A357" s="36" t="str">
        <f>Claims!A353</f>
        <v>EXP00352</v>
      </c>
      <c r="B357" s="36" t="str">
        <f>Claims!D353</f>
        <v>M3</v>
      </c>
      <c r="C357" s="36" t="str">
        <f>Claims!E353</f>
        <v>Meals/DA</v>
      </c>
      <c r="D357" s="36" t="str">
        <f>Claims!G353</f>
        <v>Metro</v>
      </c>
      <c r="E357" s="40">
        <f>Claims!H353</f>
        <v>816</v>
      </c>
      <c r="F357" s="36" t="str">
        <f>Claims!K353</f>
        <v>Yes</v>
      </c>
      <c r="G357" s="36" t="str">
        <f>IF(Claims!M353="","",Claims!M353)</f>
        <v/>
      </c>
      <c r="H357" s="36" t="str">
        <f>IF(Claims!N353="","",Claims!N353)</f>
        <v/>
      </c>
      <c r="I357" s="41">
        <f>Claims!J353-Claims!I353</f>
        <v>9</v>
      </c>
      <c r="J357" s="42" t="str">
        <f t="shared" si="71"/>
        <v>n/a</v>
      </c>
      <c r="K357" s="42" t="str">
        <f t="shared" si="72"/>
        <v>n/a</v>
      </c>
      <c r="L357" s="42" t="str">
        <f t="shared" si="73"/>
        <v>n/a</v>
      </c>
      <c r="M357" s="42" t="str">
        <f t="shared" si="74"/>
        <v>n/a</v>
      </c>
      <c r="N357" s="42" t="str">
        <f t="shared" si="75"/>
        <v>Compliant</v>
      </c>
      <c r="O357" s="42" t="str">
        <f t="shared" si="76"/>
        <v>n/a</v>
      </c>
      <c r="P357" s="42" t="str">
        <f t="shared" si="77"/>
        <v>Compliant</v>
      </c>
      <c r="Q357" s="42" t="str">
        <f t="shared" si="78"/>
        <v>Compliant</v>
      </c>
      <c r="R357" s="42" t="str">
        <f t="shared" si="79"/>
        <v>Compliant</v>
      </c>
      <c r="S357" s="36" t="str">
        <f t="shared" si="80"/>
        <v/>
      </c>
      <c r="T357" s="42" t="str">
        <f t="shared" si="81"/>
        <v/>
      </c>
      <c r="U357" s="42" t="str">
        <f t="shared" si="82"/>
        <v/>
      </c>
      <c r="V357" s="42" t="str">
        <f t="shared" si="83"/>
        <v/>
      </c>
      <c r="W357" s="42" t="str">
        <f t="shared" si="84"/>
        <v/>
      </c>
    </row>
    <row r="358" spans="1:23" ht="15" hidden="1" customHeight="1" x14ac:dyDescent="0.25">
      <c r="A358" s="36" t="str">
        <f>Claims!A354</f>
        <v>EXP00353</v>
      </c>
      <c r="B358" s="36" t="str">
        <f>Claims!D354</f>
        <v>M1</v>
      </c>
      <c r="C358" s="36" t="str">
        <f>Claims!E354</f>
        <v>Meals/DA</v>
      </c>
      <c r="D358" s="36" t="str">
        <f>Claims!G354</f>
        <v>Metro</v>
      </c>
      <c r="E358" s="40">
        <f>Claims!H354</f>
        <v>1771</v>
      </c>
      <c r="F358" s="36" t="str">
        <f>Claims!K354</f>
        <v>Yes</v>
      </c>
      <c r="G358" s="36" t="str">
        <f>IF(Claims!M354="","",Claims!M354)</f>
        <v/>
      </c>
      <c r="H358" s="36" t="str">
        <f>IF(Claims!N354="","",Claims!N354)</f>
        <v/>
      </c>
      <c r="I358" s="41">
        <f>Claims!J354-Claims!I354</f>
        <v>5</v>
      </c>
      <c r="J358" s="42" t="str">
        <f t="shared" si="71"/>
        <v>n/a</v>
      </c>
      <c r="K358" s="42" t="str">
        <f t="shared" si="72"/>
        <v>n/a</v>
      </c>
      <c r="L358" s="42" t="str">
        <f t="shared" si="73"/>
        <v>n/a</v>
      </c>
      <c r="M358" s="42" t="str">
        <f t="shared" si="74"/>
        <v>n/a</v>
      </c>
      <c r="N358" s="42" t="str">
        <f t="shared" si="75"/>
        <v>Violation</v>
      </c>
      <c r="O358" s="42" t="str">
        <f t="shared" si="76"/>
        <v>n/a</v>
      </c>
      <c r="P358" s="42" t="str">
        <f t="shared" si="77"/>
        <v>Compliant</v>
      </c>
      <c r="Q358" s="42" t="str">
        <f t="shared" si="78"/>
        <v>Compliant</v>
      </c>
      <c r="R358" s="42" t="str">
        <f t="shared" si="79"/>
        <v>Violation</v>
      </c>
      <c r="S358" s="36" t="str">
        <f t="shared" si="80"/>
        <v>TP-06</v>
      </c>
      <c r="T358" s="42" t="str">
        <f t="shared" si="81"/>
        <v/>
      </c>
      <c r="U358" s="42" t="str">
        <f t="shared" si="82"/>
        <v>Assumption-based</v>
      </c>
      <c r="V358" s="42">
        <f t="shared" si="83"/>
        <v>2</v>
      </c>
      <c r="W358" s="42" t="str">
        <f t="shared" si="84"/>
        <v>Needs days</v>
      </c>
    </row>
    <row r="359" spans="1:23" ht="15" hidden="1" customHeight="1" x14ac:dyDescent="0.25">
      <c r="A359" s="36" t="str">
        <f>Claims!A355</f>
        <v>EXP00354</v>
      </c>
      <c r="B359" s="36" t="str">
        <f>Claims!D355</f>
        <v>M4</v>
      </c>
      <c r="C359" s="36" t="str">
        <f>Claims!E355</f>
        <v>Meals/DA</v>
      </c>
      <c r="D359" s="36" t="str">
        <f>Claims!G355</f>
        <v>Metro</v>
      </c>
      <c r="E359" s="40">
        <f>Claims!H355</f>
        <v>989</v>
      </c>
      <c r="F359" s="36" t="str">
        <f>Claims!K355</f>
        <v>Yes</v>
      </c>
      <c r="G359" s="36" t="str">
        <f>IF(Claims!M355="","",Claims!M355)</f>
        <v/>
      </c>
      <c r="H359" s="36" t="str">
        <f>IF(Claims!N355="","",Claims!N355)</f>
        <v/>
      </c>
      <c r="I359" s="41">
        <f>Claims!J355-Claims!I355</f>
        <v>9</v>
      </c>
      <c r="J359" s="42" t="str">
        <f t="shared" si="71"/>
        <v>n/a</v>
      </c>
      <c r="K359" s="42" t="str">
        <f t="shared" si="72"/>
        <v>n/a</v>
      </c>
      <c r="L359" s="42" t="str">
        <f t="shared" si="73"/>
        <v>n/a</v>
      </c>
      <c r="M359" s="42" t="str">
        <f t="shared" si="74"/>
        <v>n/a</v>
      </c>
      <c r="N359" s="42" t="str">
        <f t="shared" si="75"/>
        <v>Compliant</v>
      </c>
      <c r="O359" s="42" t="str">
        <f t="shared" si="76"/>
        <v>n/a</v>
      </c>
      <c r="P359" s="42" t="str">
        <f t="shared" si="77"/>
        <v>Compliant</v>
      </c>
      <c r="Q359" s="42" t="str">
        <f t="shared" si="78"/>
        <v>Compliant</v>
      </c>
      <c r="R359" s="42" t="str">
        <f t="shared" si="79"/>
        <v>Compliant</v>
      </c>
      <c r="S359" s="36" t="str">
        <f t="shared" si="80"/>
        <v/>
      </c>
      <c r="T359" s="42" t="str">
        <f t="shared" si="81"/>
        <v/>
      </c>
      <c r="U359" s="42" t="str">
        <f t="shared" si="82"/>
        <v/>
      </c>
      <c r="V359" s="42" t="str">
        <f t="shared" si="83"/>
        <v/>
      </c>
      <c r="W359" s="42" t="str">
        <f t="shared" si="84"/>
        <v/>
      </c>
    </row>
    <row r="360" spans="1:23" ht="15" hidden="1" customHeight="1" x14ac:dyDescent="0.25">
      <c r="A360" s="36" t="str">
        <f>Claims!A356</f>
        <v>EXP00355</v>
      </c>
      <c r="B360" s="36" t="str">
        <f>Claims!D356</f>
        <v>M1</v>
      </c>
      <c r="C360" s="36" t="str">
        <f>Claims!E356</f>
        <v>Meals/DA</v>
      </c>
      <c r="D360" s="36" t="str">
        <f>Claims!G356</f>
        <v>Metro</v>
      </c>
      <c r="E360" s="40">
        <f>Claims!H356</f>
        <v>1907</v>
      </c>
      <c r="F360" s="36" t="str">
        <f>Claims!K356</f>
        <v>Yes</v>
      </c>
      <c r="G360" s="36" t="str">
        <f>IF(Claims!M356="","",Claims!M356)</f>
        <v/>
      </c>
      <c r="H360" s="36" t="str">
        <f>IF(Claims!N356="","",Claims!N356)</f>
        <v/>
      </c>
      <c r="I360" s="41">
        <f>Claims!J356-Claims!I356</f>
        <v>9</v>
      </c>
      <c r="J360" s="42" t="str">
        <f t="shared" si="71"/>
        <v>n/a</v>
      </c>
      <c r="K360" s="42" t="str">
        <f t="shared" si="72"/>
        <v>n/a</v>
      </c>
      <c r="L360" s="42" t="str">
        <f t="shared" si="73"/>
        <v>n/a</v>
      </c>
      <c r="M360" s="42" t="str">
        <f t="shared" si="74"/>
        <v>n/a</v>
      </c>
      <c r="N360" s="42" t="str">
        <f t="shared" si="75"/>
        <v>Violation</v>
      </c>
      <c r="O360" s="42" t="str">
        <f t="shared" si="76"/>
        <v>n/a</v>
      </c>
      <c r="P360" s="42" t="str">
        <f t="shared" si="77"/>
        <v>Compliant</v>
      </c>
      <c r="Q360" s="42" t="str">
        <f t="shared" si="78"/>
        <v>Compliant</v>
      </c>
      <c r="R360" s="42" t="str">
        <f t="shared" si="79"/>
        <v>Violation</v>
      </c>
      <c r="S360" s="36" t="str">
        <f t="shared" si="80"/>
        <v>TP-06</v>
      </c>
      <c r="T360" s="42" t="str">
        <f t="shared" si="81"/>
        <v/>
      </c>
      <c r="U360" s="42" t="str">
        <f t="shared" si="82"/>
        <v>Assumption-based</v>
      </c>
      <c r="V360" s="42">
        <f t="shared" si="83"/>
        <v>2</v>
      </c>
      <c r="W360" s="42" t="str">
        <f t="shared" si="84"/>
        <v>Needs days</v>
      </c>
    </row>
    <row r="361" spans="1:23" ht="15" hidden="1" customHeight="1" x14ac:dyDescent="0.25">
      <c r="A361" s="36" t="str">
        <f>Claims!A357</f>
        <v>EXP00356</v>
      </c>
      <c r="B361" s="36" t="str">
        <f>Claims!D357</f>
        <v>M2</v>
      </c>
      <c r="C361" s="36" t="str">
        <f>Claims!E357</f>
        <v>Hotel</v>
      </c>
      <c r="D361" s="36" t="str">
        <f>Claims!G357</f>
        <v>Metro</v>
      </c>
      <c r="E361" s="40">
        <f>Claims!H357</f>
        <v>11843</v>
      </c>
      <c r="F361" s="36" t="str">
        <f>Claims!K357</f>
        <v>Yes</v>
      </c>
      <c r="G361" s="36" t="str">
        <f>IF(Claims!M357="","",Claims!M357)</f>
        <v/>
      </c>
      <c r="H361" s="36" t="str">
        <f>IF(Claims!N357="","",Claims!N357)</f>
        <v/>
      </c>
      <c r="I361" s="41">
        <f>Claims!J357-Claims!I357</f>
        <v>9</v>
      </c>
      <c r="J361" s="42" t="str">
        <f t="shared" si="71"/>
        <v>n/a</v>
      </c>
      <c r="K361" s="42" t="str">
        <f t="shared" si="72"/>
        <v>n/a</v>
      </c>
      <c r="L361" s="42" t="str">
        <f t="shared" si="73"/>
        <v>Violation</v>
      </c>
      <c r="M361" s="42" t="str">
        <f t="shared" si="74"/>
        <v>n/a</v>
      </c>
      <c r="N361" s="42" t="str">
        <f t="shared" si="75"/>
        <v>n/a</v>
      </c>
      <c r="O361" s="42" t="str">
        <f t="shared" si="76"/>
        <v>n/a</v>
      </c>
      <c r="P361" s="42" t="str">
        <f t="shared" si="77"/>
        <v>Compliant</v>
      </c>
      <c r="Q361" s="42" t="str">
        <f t="shared" si="78"/>
        <v>Compliant</v>
      </c>
      <c r="R361" s="42" t="str">
        <f t="shared" si="79"/>
        <v>Violation</v>
      </c>
      <c r="S361" s="36" t="str">
        <f t="shared" si="80"/>
        <v>TP-04</v>
      </c>
      <c r="T361" s="42" t="str">
        <f t="shared" si="81"/>
        <v/>
      </c>
      <c r="U361" s="42" t="str">
        <f t="shared" si="82"/>
        <v>Assumption-based</v>
      </c>
      <c r="V361" s="42">
        <f t="shared" si="83"/>
        <v>2</v>
      </c>
      <c r="W361" s="42" t="str">
        <f t="shared" si="84"/>
        <v>Needs nights</v>
      </c>
    </row>
    <row r="362" spans="1:23" ht="15" hidden="1" customHeight="1" x14ac:dyDescent="0.25">
      <c r="A362" s="36" t="str">
        <f>Claims!A358</f>
        <v>EXP00357</v>
      </c>
      <c r="B362" s="36" t="str">
        <f>Claims!D358</f>
        <v>M1</v>
      </c>
      <c r="C362" s="36" t="str">
        <f>Claims!E358</f>
        <v>Alcohol</v>
      </c>
      <c r="D362" s="36" t="str">
        <f>Claims!G358</f>
        <v>Metro</v>
      </c>
      <c r="E362" s="40">
        <f>Claims!H358</f>
        <v>4338</v>
      </c>
      <c r="F362" s="36" t="str">
        <f>Claims!K358</f>
        <v>Yes</v>
      </c>
      <c r="G362" s="36" t="str">
        <f>IF(Claims!M358="","",Claims!M358)</f>
        <v/>
      </c>
      <c r="H362" s="36" t="str">
        <f>IF(Claims!N358="","",Claims!N358)</f>
        <v/>
      </c>
      <c r="I362" s="41">
        <f>Claims!J358-Claims!I358</f>
        <v>2</v>
      </c>
      <c r="J362" s="42" t="str">
        <f t="shared" si="71"/>
        <v>n/a</v>
      </c>
      <c r="K362" s="42" t="str">
        <f t="shared" si="72"/>
        <v>n/a</v>
      </c>
      <c r="L362" s="42" t="str">
        <f t="shared" si="73"/>
        <v>n/a</v>
      </c>
      <c r="M362" s="42" t="str">
        <f t="shared" si="74"/>
        <v>n/a</v>
      </c>
      <c r="N362" s="42" t="str">
        <f t="shared" si="75"/>
        <v>n/a</v>
      </c>
      <c r="O362" s="42" t="str">
        <f t="shared" si="76"/>
        <v>Violation</v>
      </c>
      <c r="P362" s="42" t="str">
        <f t="shared" si="77"/>
        <v>Compliant</v>
      </c>
      <c r="Q362" s="42" t="str">
        <f t="shared" si="78"/>
        <v>Compliant</v>
      </c>
      <c r="R362" s="42" t="str">
        <f t="shared" si="79"/>
        <v>Violation</v>
      </c>
      <c r="S362" s="36" t="str">
        <f t="shared" si="80"/>
        <v>TP-08</v>
      </c>
      <c r="T362" s="42" t="str">
        <f t="shared" si="81"/>
        <v/>
      </c>
      <c r="U362" s="42" t="str">
        <f t="shared" si="82"/>
        <v>Definite</v>
      </c>
      <c r="V362" s="42" t="str">
        <f t="shared" si="83"/>
        <v/>
      </c>
      <c r="W362" s="42" t="str">
        <f t="shared" si="84"/>
        <v/>
      </c>
    </row>
    <row r="363" spans="1:23" ht="15" hidden="1" customHeight="1" x14ac:dyDescent="0.25">
      <c r="A363" s="36" t="str">
        <f>Claims!A359</f>
        <v>EXP00358</v>
      </c>
      <c r="B363" s="36" t="str">
        <f>Claims!D359</f>
        <v>M2</v>
      </c>
      <c r="C363" s="36" t="str">
        <f>Claims!E359</f>
        <v>Meals/DA</v>
      </c>
      <c r="D363" s="36" t="str">
        <f>Claims!G359</f>
        <v>Metro</v>
      </c>
      <c r="E363" s="40">
        <f>Claims!H359</f>
        <v>1130</v>
      </c>
      <c r="F363" s="36" t="str">
        <f>Claims!K359</f>
        <v>Yes</v>
      </c>
      <c r="G363" s="36" t="str">
        <f>IF(Claims!M359="","",Claims!M359)</f>
        <v/>
      </c>
      <c r="H363" s="36" t="str">
        <f>IF(Claims!N359="","",Claims!N359)</f>
        <v/>
      </c>
      <c r="I363" s="41">
        <f>Claims!J359-Claims!I359</f>
        <v>14</v>
      </c>
      <c r="J363" s="42" t="str">
        <f t="shared" si="71"/>
        <v>n/a</v>
      </c>
      <c r="K363" s="42" t="str">
        <f t="shared" si="72"/>
        <v>n/a</v>
      </c>
      <c r="L363" s="42" t="str">
        <f t="shared" si="73"/>
        <v>n/a</v>
      </c>
      <c r="M363" s="42" t="str">
        <f t="shared" si="74"/>
        <v>n/a</v>
      </c>
      <c r="N363" s="42" t="str">
        <f t="shared" si="75"/>
        <v>Compliant</v>
      </c>
      <c r="O363" s="42" t="str">
        <f t="shared" si="76"/>
        <v>n/a</v>
      </c>
      <c r="P363" s="42" t="str">
        <f t="shared" si="77"/>
        <v>Compliant</v>
      </c>
      <c r="Q363" s="42" t="str">
        <f t="shared" si="78"/>
        <v>Compliant</v>
      </c>
      <c r="R363" s="42" t="str">
        <f t="shared" si="79"/>
        <v>Compliant</v>
      </c>
      <c r="S363" s="36" t="str">
        <f t="shared" si="80"/>
        <v/>
      </c>
      <c r="T363" s="42" t="str">
        <f t="shared" si="81"/>
        <v/>
      </c>
      <c r="U363" s="42" t="str">
        <f t="shared" si="82"/>
        <v/>
      </c>
      <c r="V363" s="42" t="str">
        <f t="shared" si="83"/>
        <v/>
      </c>
      <c r="W363" s="42" t="str">
        <f t="shared" si="84"/>
        <v/>
      </c>
    </row>
    <row r="364" spans="1:23" ht="15" hidden="1" customHeight="1" x14ac:dyDescent="0.25">
      <c r="A364" s="36" t="str">
        <f>Claims!A360</f>
        <v>EXP00359</v>
      </c>
      <c r="B364" s="36" t="str">
        <f>Claims!D360</f>
        <v>M2</v>
      </c>
      <c r="C364" s="36" t="str">
        <f>Claims!E360</f>
        <v>Local Cab</v>
      </c>
      <c r="D364" s="36" t="str">
        <f>Claims!G360</f>
        <v>Non-metro</v>
      </c>
      <c r="E364" s="40">
        <f>Claims!H360</f>
        <v>178</v>
      </c>
      <c r="F364" s="36" t="str">
        <f>Claims!K360</f>
        <v>Yes</v>
      </c>
      <c r="G364" s="36" t="str">
        <f>IF(Claims!M360="","",Claims!M360)</f>
        <v/>
      </c>
      <c r="H364" s="36" t="str">
        <f>IF(Claims!N360="","",Claims!N360)</f>
        <v/>
      </c>
      <c r="I364" s="41">
        <f>Claims!J360-Claims!I360</f>
        <v>14</v>
      </c>
      <c r="J364" s="42" t="str">
        <f t="shared" si="71"/>
        <v>n/a</v>
      </c>
      <c r="K364" s="42" t="str">
        <f t="shared" si="72"/>
        <v>n/a</v>
      </c>
      <c r="L364" s="42" t="str">
        <f t="shared" si="73"/>
        <v>n/a</v>
      </c>
      <c r="M364" s="42" t="str">
        <f t="shared" si="74"/>
        <v>n/a</v>
      </c>
      <c r="N364" s="42" t="str">
        <f t="shared" si="75"/>
        <v>n/a</v>
      </c>
      <c r="O364" s="42" t="str">
        <f t="shared" si="76"/>
        <v>n/a</v>
      </c>
      <c r="P364" s="42" t="str">
        <f t="shared" si="77"/>
        <v>Compliant</v>
      </c>
      <c r="Q364" s="42" t="str">
        <f t="shared" si="78"/>
        <v>Compliant</v>
      </c>
      <c r="R364" s="42" t="str">
        <f t="shared" si="79"/>
        <v>Compliant</v>
      </c>
      <c r="S364" s="36" t="str">
        <f t="shared" si="80"/>
        <v/>
      </c>
      <c r="T364" s="42" t="str">
        <f t="shared" si="81"/>
        <v/>
      </c>
      <c r="U364" s="42" t="str">
        <f t="shared" si="82"/>
        <v/>
      </c>
      <c r="V364" s="42" t="str">
        <f t="shared" si="83"/>
        <v/>
      </c>
      <c r="W364" s="42" t="str">
        <f t="shared" si="84"/>
        <v/>
      </c>
    </row>
    <row r="365" spans="1:23" ht="15" hidden="1" customHeight="1" x14ac:dyDescent="0.25">
      <c r="A365" s="36" t="str">
        <f>Claims!A361</f>
        <v>EXP00360</v>
      </c>
      <c r="B365" s="36" t="str">
        <f>Claims!D361</f>
        <v>M1</v>
      </c>
      <c r="C365" s="36" t="str">
        <f>Claims!E361</f>
        <v>Meals/DA</v>
      </c>
      <c r="D365" s="36" t="str">
        <f>Claims!G361</f>
        <v>Metro</v>
      </c>
      <c r="E365" s="40">
        <f>Claims!H361</f>
        <v>1904</v>
      </c>
      <c r="F365" s="36" t="str">
        <f>Claims!K361</f>
        <v>No</v>
      </c>
      <c r="G365" s="36" t="str">
        <f>IF(Claims!M361="","",Claims!M361)</f>
        <v/>
      </c>
      <c r="H365" s="36" t="str">
        <f>IF(Claims!N361="","",Claims!N361)</f>
        <v/>
      </c>
      <c r="I365" s="41">
        <f>Claims!J361-Claims!I361</f>
        <v>9</v>
      </c>
      <c r="J365" s="42" t="str">
        <f t="shared" si="71"/>
        <v>n/a</v>
      </c>
      <c r="K365" s="42" t="str">
        <f t="shared" si="72"/>
        <v>n/a</v>
      </c>
      <c r="L365" s="42" t="str">
        <f t="shared" si="73"/>
        <v>n/a</v>
      </c>
      <c r="M365" s="42" t="str">
        <f t="shared" si="74"/>
        <v>n/a</v>
      </c>
      <c r="N365" s="42" t="str">
        <f t="shared" si="75"/>
        <v>Violation</v>
      </c>
      <c r="O365" s="42" t="str">
        <f t="shared" si="76"/>
        <v>n/a</v>
      </c>
      <c r="P365" s="42" t="str">
        <f t="shared" si="77"/>
        <v>Violation</v>
      </c>
      <c r="Q365" s="42" t="str">
        <f t="shared" si="78"/>
        <v>Compliant</v>
      </c>
      <c r="R365" s="42" t="str">
        <f t="shared" si="79"/>
        <v>Violation</v>
      </c>
      <c r="S365" s="36" t="str">
        <f t="shared" si="80"/>
        <v>TP-06, TP-09</v>
      </c>
      <c r="T365" s="42" t="str">
        <f t="shared" si="81"/>
        <v/>
      </c>
      <c r="U365" s="42" t="str">
        <f t="shared" si="82"/>
        <v>Definite</v>
      </c>
      <c r="V365" s="42">
        <f t="shared" si="83"/>
        <v>2</v>
      </c>
      <c r="W365" s="42" t="str">
        <f t="shared" si="84"/>
        <v>Needs days</v>
      </c>
    </row>
    <row r="366" spans="1:23" ht="15" hidden="1" customHeight="1" x14ac:dyDescent="0.25">
      <c r="A366" s="36" t="str">
        <f>Claims!A362</f>
        <v>EXP00361</v>
      </c>
      <c r="B366" s="36" t="str">
        <f>Claims!D362</f>
        <v>M2</v>
      </c>
      <c r="C366" s="36" t="str">
        <f>Claims!E362</f>
        <v>Client Entertainment</v>
      </c>
      <c r="D366" s="36" t="str">
        <f>Claims!G362</f>
        <v>Non-metro</v>
      </c>
      <c r="E366" s="40">
        <f>Claims!H362</f>
        <v>11351</v>
      </c>
      <c r="F366" s="36" t="str">
        <f>Claims!K362</f>
        <v>Yes</v>
      </c>
      <c r="G366" s="36" t="str">
        <f>IF(Claims!M362="","",Claims!M362)</f>
        <v/>
      </c>
      <c r="H366" s="36" t="str">
        <f>IF(Claims!N362="","",Claims!N362)</f>
        <v/>
      </c>
      <c r="I366" s="41">
        <f>Claims!J362-Claims!I362</f>
        <v>14</v>
      </c>
      <c r="J366" s="42" t="str">
        <f t="shared" si="71"/>
        <v>n/a</v>
      </c>
      <c r="K366" s="42" t="str">
        <f t="shared" si="72"/>
        <v>n/a</v>
      </c>
      <c r="L366" s="42" t="str">
        <f t="shared" si="73"/>
        <v>n/a</v>
      </c>
      <c r="M366" s="42" t="str">
        <f t="shared" si="74"/>
        <v>n/a</v>
      </c>
      <c r="N366" s="42" t="str">
        <f t="shared" si="75"/>
        <v>n/a</v>
      </c>
      <c r="O366" s="42" t="str">
        <f t="shared" si="76"/>
        <v>n/a</v>
      </c>
      <c r="P366" s="42" t="str">
        <f t="shared" si="77"/>
        <v>Compliant</v>
      </c>
      <c r="Q366" s="42" t="str">
        <f t="shared" si="78"/>
        <v>Compliant</v>
      </c>
      <c r="R366" s="42" t="str">
        <f t="shared" si="79"/>
        <v>Compliant</v>
      </c>
      <c r="S366" s="36" t="str">
        <f t="shared" si="80"/>
        <v/>
      </c>
      <c r="T366" s="42" t="str">
        <f t="shared" si="81"/>
        <v/>
      </c>
      <c r="U366" s="42" t="str">
        <f t="shared" si="82"/>
        <v/>
      </c>
      <c r="V366" s="42" t="str">
        <f t="shared" si="83"/>
        <v/>
      </c>
      <c r="W366" s="42" t="str">
        <f t="shared" si="84"/>
        <v/>
      </c>
    </row>
    <row r="367" spans="1:23" ht="15" hidden="1" customHeight="1" x14ac:dyDescent="0.25">
      <c r="A367" s="36" t="str">
        <f>Claims!A363</f>
        <v>EXP00362</v>
      </c>
      <c r="B367" s="36" t="str">
        <f>Claims!D363</f>
        <v>M2</v>
      </c>
      <c r="C367" s="36" t="str">
        <f>Claims!E363</f>
        <v>Meals/DA</v>
      </c>
      <c r="D367" s="36" t="str">
        <f>Claims!G363</f>
        <v>Non-metro</v>
      </c>
      <c r="E367" s="40">
        <f>Claims!H363</f>
        <v>1580</v>
      </c>
      <c r="F367" s="36" t="str">
        <f>Claims!K363</f>
        <v>Yes</v>
      </c>
      <c r="G367" s="36" t="str">
        <f>IF(Claims!M363="","",Claims!M363)</f>
        <v/>
      </c>
      <c r="H367" s="36" t="str">
        <f>IF(Claims!N363="","",Claims!N363)</f>
        <v/>
      </c>
      <c r="I367" s="41">
        <f>Claims!J363-Claims!I363</f>
        <v>9</v>
      </c>
      <c r="J367" s="42" t="str">
        <f t="shared" si="71"/>
        <v>n/a</v>
      </c>
      <c r="K367" s="42" t="str">
        <f t="shared" si="72"/>
        <v>n/a</v>
      </c>
      <c r="L367" s="42" t="str">
        <f t="shared" si="73"/>
        <v>n/a</v>
      </c>
      <c r="M367" s="42" t="str">
        <f t="shared" si="74"/>
        <v>n/a</v>
      </c>
      <c r="N367" s="42" t="str">
        <f t="shared" si="75"/>
        <v>Violation</v>
      </c>
      <c r="O367" s="42" t="str">
        <f t="shared" si="76"/>
        <v>n/a</v>
      </c>
      <c r="P367" s="42" t="str">
        <f t="shared" si="77"/>
        <v>Compliant</v>
      </c>
      <c r="Q367" s="42" t="str">
        <f t="shared" si="78"/>
        <v>Compliant</v>
      </c>
      <c r="R367" s="42" t="str">
        <f t="shared" si="79"/>
        <v>Violation</v>
      </c>
      <c r="S367" s="36" t="str">
        <f t="shared" si="80"/>
        <v>TP-06</v>
      </c>
      <c r="T367" s="42" t="str">
        <f t="shared" si="81"/>
        <v/>
      </c>
      <c r="U367" s="42" t="str">
        <f t="shared" si="82"/>
        <v>Assumption-based</v>
      </c>
      <c r="V367" s="42">
        <f t="shared" si="83"/>
        <v>2</v>
      </c>
      <c r="W367" s="42" t="str">
        <f t="shared" si="84"/>
        <v>Needs days</v>
      </c>
    </row>
    <row r="368" spans="1:23" ht="15" hidden="1" customHeight="1" x14ac:dyDescent="0.25">
      <c r="A368" s="36" t="str">
        <f>Claims!A364</f>
        <v>EXP00363</v>
      </c>
      <c r="B368" s="36" t="str">
        <f>Claims!D364</f>
        <v>M3</v>
      </c>
      <c r="C368" s="36" t="str">
        <f>Claims!E364</f>
        <v>Meals/DA</v>
      </c>
      <c r="D368" s="36" t="str">
        <f>Claims!G364</f>
        <v>Metro</v>
      </c>
      <c r="E368" s="40">
        <f>Claims!H364</f>
        <v>1168</v>
      </c>
      <c r="F368" s="36" t="str">
        <f>Claims!K364</f>
        <v>Yes</v>
      </c>
      <c r="G368" s="36" t="str">
        <f>IF(Claims!M364="","",Claims!M364)</f>
        <v/>
      </c>
      <c r="H368" s="36" t="str">
        <f>IF(Claims!N364="","",Claims!N364)</f>
        <v/>
      </c>
      <c r="I368" s="41">
        <f>Claims!J364-Claims!I364</f>
        <v>5</v>
      </c>
      <c r="J368" s="42" t="str">
        <f t="shared" si="71"/>
        <v>n/a</v>
      </c>
      <c r="K368" s="42" t="str">
        <f t="shared" si="72"/>
        <v>n/a</v>
      </c>
      <c r="L368" s="42" t="str">
        <f t="shared" si="73"/>
        <v>n/a</v>
      </c>
      <c r="M368" s="42" t="str">
        <f t="shared" si="74"/>
        <v>n/a</v>
      </c>
      <c r="N368" s="42" t="str">
        <f t="shared" si="75"/>
        <v>Compliant</v>
      </c>
      <c r="O368" s="42" t="str">
        <f t="shared" si="76"/>
        <v>n/a</v>
      </c>
      <c r="P368" s="42" t="str">
        <f t="shared" si="77"/>
        <v>Compliant</v>
      </c>
      <c r="Q368" s="42" t="str">
        <f t="shared" si="78"/>
        <v>Compliant</v>
      </c>
      <c r="R368" s="42" t="str">
        <f t="shared" si="79"/>
        <v>Compliant</v>
      </c>
      <c r="S368" s="36" t="str">
        <f t="shared" si="80"/>
        <v/>
      </c>
      <c r="T368" s="42" t="str">
        <f t="shared" si="81"/>
        <v/>
      </c>
      <c r="U368" s="42" t="str">
        <f t="shared" si="82"/>
        <v/>
      </c>
      <c r="V368" s="42" t="str">
        <f t="shared" si="83"/>
        <v/>
      </c>
      <c r="W368" s="42" t="str">
        <f t="shared" si="84"/>
        <v/>
      </c>
    </row>
    <row r="369" spans="1:23" ht="15" hidden="1" customHeight="1" x14ac:dyDescent="0.25">
      <c r="A369" s="36" t="str">
        <f>Claims!A365</f>
        <v>EXP00364</v>
      </c>
      <c r="B369" s="36" t="str">
        <f>Claims!D365</f>
        <v>M1</v>
      </c>
      <c r="C369" s="36" t="str">
        <f>Claims!E365</f>
        <v>Meals/DA</v>
      </c>
      <c r="D369" s="36" t="str">
        <f>Claims!G365</f>
        <v>Non-metro</v>
      </c>
      <c r="E369" s="40">
        <f>Claims!H365</f>
        <v>498</v>
      </c>
      <c r="F369" s="36" t="str">
        <f>Claims!K365</f>
        <v>Yes</v>
      </c>
      <c r="G369" s="36" t="str">
        <f>IF(Claims!M365="","",Claims!M365)</f>
        <v/>
      </c>
      <c r="H369" s="36" t="str">
        <f>IF(Claims!N365="","",Claims!N365)</f>
        <v/>
      </c>
      <c r="I369" s="41">
        <f>Claims!J365-Claims!I365</f>
        <v>5</v>
      </c>
      <c r="J369" s="42" t="str">
        <f t="shared" si="71"/>
        <v>n/a</v>
      </c>
      <c r="K369" s="42" t="str">
        <f t="shared" si="72"/>
        <v>n/a</v>
      </c>
      <c r="L369" s="42" t="str">
        <f t="shared" si="73"/>
        <v>n/a</v>
      </c>
      <c r="M369" s="42" t="str">
        <f t="shared" si="74"/>
        <v>n/a</v>
      </c>
      <c r="N369" s="42" t="str">
        <f t="shared" si="75"/>
        <v>Compliant</v>
      </c>
      <c r="O369" s="42" t="str">
        <f t="shared" si="76"/>
        <v>n/a</v>
      </c>
      <c r="P369" s="42" t="str">
        <f t="shared" si="77"/>
        <v>Compliant</v>
      </c>
      <c r="Q369" s="42" t="str">
        <f t="shared" si="78"/>
        <v>Compliant</v>
      </c>
      <c r="R369" s="42" t="str">
        <f t="shared" si="79"/>
        <v>Compliant</v>
      </c>
      <c r="S369" s="36" t="str">
        <f t="shared" si="80"/>
        <v/>
      </c>
      <c r="T369" s="42" t="str">
        <f t="shared" si="81"/>
        <v/>
      </c>
      <c r="U369" s="42" t="str">
        <f t="shared" si="82"/>
        <v/>
      </c>
      <c r="V369" s="42" t="str">
        <f t="shared" si="83"/>
        <v/>
      </c>
      <c r="W369" s="42" t="str">
        <f t="shared" si="84"/>
        <v/>
      </c>
    </row>
    <row r="370" spans="1:23" ht="15" hidden="1" customHeight="1" x14ac:dyDescent="0.25">
      <c r="A370" s="36" t="str">
        <f>Claims!A366</f>
        <v>EXP00365</v>
      </c>
      <c r="B370" s="36" t="str">
        <f>Claims!D366</f>
        <v>M2</v>
      </c>
      <c r="C370" s="36" t="str">
        <f>Claims!E366</f>
        <v>Meals/DA</v>
      </c>
      <c r="D370" s="36" t="str">
        <f>Claims!G366</f>
        <v>Non-metro</v>
      </c>
      <c r="E370" s="40">
        <f>Claims!H366</f>
        <v>638</v>
      </c>
      <c r="F370" s="36" t="str">
        <f>Claims!K366</f>
        <v>Yes</v>
      </c>
      <c r="G370" s="36" t="str">
        <f>IF(Claims!M366="","",Claims!M366)</f>
        <v/>
      </c>
      <c r="H370" s="36" t="str">
        <f>IF(Claims!N366="","",Claims!N366)</f>
        <v/>
      </c>
      <c r="I370" s="41">
        <f>Claims!J366-Claims!I366</f>
        <v>5</v>
      </c>
      <c r="J370" s="42" t="str">
        <f t="shared" si="71"/>
        <v>n/a</v>
      </c>
      <c r="K370" s="42" t="str">
        <f t="shared" si="72"/>
        <v>n/a</v>
      </c>
      <c r="L370" s="42" t="str">
        <f t="shared" si="73"/>
        <v>n/a</v>
      </c>
      <c r="M370" s="42" t="str">
        <f t="shared" si="74"/>
        <v>n/a</v>
      </c>
      <c r="N370" s="42" t="str">
        <f t="shared" si="75"/>
        <v>Compliant</v>
      </c>
      <c r="O370" s="42" t="str">
        <f t="shared" si="76"/>
        <v>n/a</v>
      </c>
      <c r="P370" s="42" t="str">
        <f t="shared" si="77"/>
        <v>Compliant</v>
      </c>
      <c r="Q370" s="42" t="str">
        <f t="shared" si="78"/>
        <v>Compliant</v>
      </c>
      <c r="R370" s="42" t="str">
        <f t="shared" si="79"/>
        <v>Compliant</v>
      </c>
      <c r="S370" s="36" t="str">
        <f t="shared" si="80"/>
        <v/>
      </c>
      <c r="T370" s="42" t="str">
        <f t="shared" si="81"/>
        <v/>
      </c>
      <c r="U370" s="42" t="str">
        <f t="shared" si="82"/>
        <v/>
      </c>
      <c r="V370" s="42" t="str">
        <f t="shared" si="83"/>
        <v/>
      </c>
      <c r="W370" s="42" t="str">
        <f t="shared" si="84"/>
        <v/>
      </c>
    </row>
    <row r="371" spans="1:23" ht="15" hidden="1" customHeight="1" x14ac:dyDescent="0.25">
      <c r="A371" s="36" t="str">
        <f>Claims!A367</f>
        <v>EXP00366</v>
      </c>
      <c r="B371" s="36" t="str">
        <f>Claims!D367</f>
        <v>M3</v>
      </c>
      <c r="C371" s="36" t="str">
        <f>Claims!E367</f>
        <v>Meals/DA</v>
      </c>
      <c r="D371" s="36" t="str">
        <f>Claims!G367</f>
        <v>Non-metro</v>
      </c>
      <c r="E371" s="40">
        <f>Claims!H367</f>
        <v>1550</v>
      </c>
      <c r="F371" s="36" t="str">
        <f>Claims!K367</f>
        <v>Yes</v>
      </c>
      <c r="G371" s="36" t="str">
        <f>IF(Claims!M367="","",Claims!M367)</f>
        <v/>
      </c>
      <c r="H371" s="36" t="str">
        <f>IF(Claims!N367="","",Claims!N367)</f>
        <v/>
      </c>
      <c r="I371" s="41">
        <f>Claims!J367-Claims!I367</f>
        <v>9</v>
      </c>
      <c r="J371" s="42" t="str">
        <f t="shared" si="71"/>
        <v>n/a</v>
      </c>
      <c r="K371" s="42" t="str">
        <f t="shared" si="72"/>
        <v>n/a</v>
      </c>
      <c r="L371" s="42" t="str">
        <f t="shared" si="73"/>
        <v>n/a</v>
      </c>
      <c r="M371" s="42" t="str">
        <f t="shared" si="74"/>
        <v>n/a</v>
      </c>
      <c r="N371" s="42" t="str">
        <f t="shared" si="75"/>
        <v>Violation</v>
      </c>
      <c r="O371" s="42" t="str">
        <f t="shared" si="76"/>
        <v>n/a</v>
      </c>
      <c r="P371" s="42" t="str">
        <f t="shared" si="77"/>
        <v>Compliant</v>
      </c>
      <c r="Q371" s="42" t="str">
        <f t="shared" si="78"/>
        <v>Compliant</v>
      </c>
      <c r="R371" s="42" t="str">
        <f t="shared" si="79"/>
        <v>Violation</v>
      </c>
      <c r="S371" s="36" t="str">
        <f t="shared" si="80"/>
        <v>TP-06</v>
      </c>
      <c r="T371" s="42" t="str">
        <f t="shared" si="81"/>
        <v/>
      </c>
      <c r="U371" s="42" t="str">
        <f t="shared" si="82"/>
        <v>Assumption-based</v>
      </c>
      <c r="V371" s="42">
        <f t="shared" si="83"/>
        <v>2</v>
      </c>
      <c r="W371" s="42" t="str">
        <f t="shared" si="84"/>
        <v>Needs days</v>
      </c>
    </row>
    <row r="372" spans="1:23" ht="15" hidden="1" customHeight="1" x14ac:dyDescent="0.25">
      <c r="A372" s="36" t="str">
        <f>Claims!A368</f>
        <v>EXP00367</v>
      </c>
      <c r="B372" s="36" t="str">
        <f>Claims!D368</f>
        <v>M3</v>
      </c>
      <c r="C372" s="36" t="str">
        <f>Claims!E368</f>
        <v>Meals/DA</v>
      </c>
      <c r="D372" s="36" t="str">
        <f>Claims!G368</f>
        <v>Non-metro</v>
      </c>
      <c r="E372" s="40">
        <f>Claims!H368</f>
        <v>1876</v>
      </c>
      <c r="F372" s="36" t="str">
        <f>Claims!K368</f>
        <v>Yes</v>
      </c>
      <c r="G372" s="36" t="str">
        <f>IF(Claims!M368="","",Claims!M368)</f>
        <v/>
      </c>
      <c r="H372" s="36" t="str">
        <f>IF(Claims!N368="","",Claims!N368)</f>
        <v/>
      </c>
      <c r="I372" s="41">
        <f>Claims!J368-Claims!I368</f>
        <v>14</v>
      </c>
      <c r="J372" s="42" t="str">
        <f t="shared" si="71"/>
        <v>n/a</v>
      </c>
      <c r="K372" s="42" t="str">
        <f t="shared" si="72"/>
        <v>n/a</v>
      </c>
      <c r="L372" s="42" t="str">
        <f t="shared" si="73"/>
        <v>n/a</v>
      </c>
      <c r="M372" s="42" t="str">
        <f t="shared" si="74"/>
        <v>n/a</v>
      </c>
      <c r="N372" s="42" t="str">
        <f t="shared" si="75"/>
        <v>Violation</v>
      </c>
      <c r="O372" s="42" t="str">
        <f t="shared" si="76"/>
        <v>n/a</v>
      </c>
      <c r="P372" s="42" t="str">
        <f t="shared" si="77"/>
        <v>Compliant</v>
      </c>
      <c r="Q372" s="42" t="str">
        <f t="shared" si="78"/>
        <v>Compliant</v>
      </c>
      <c r="R372" s="42" t="str">
        <f t="shared" si="79"/>
        <v>Violation</v>
      </c>
      <c r="S372" s="36" t="str">
        <f t="shared" si="80"/>
        <v>TP-06</v>
      </c>
      <c r="T372" s="42" t="str">
        <f t="shared" si="81"/>
        <v/>
      </c>
      <c r="U372" s="42" t="str">
        <f t="shared" si="82"/>
        <v>Assumption-based</v>
      </c>
      <c r="V372" s="42">
        <f t="shared" si="83"/>
        <v>3</v>
      </c>
      <c r="W372" s="42" t="str">
        <f t="shared" si="84"/>
        <v>Needs days</v>
      </c>
    </row>
    <row r="373" spans="1:23" ht="15" hidden="1" customHeight="1" x14ac:dyDescent="0.25">
      <c r="A373" s="36" t="str">
        <f>Claims!A369</f>
        <v>EXP00368</v>
      </c>
      <c r="B373" s="36" t="str">
        <f>Claims!D369</f>
        <v>M2</v>
      </c>
      <c r="C373" s="36" t="str">
        <f>Claims!E369</f>
        <v>Local Cab</v>
      </c>
      <c r="D373" s="36" t="str">
        <f>Claims!G369</f>
        <v>Non-metro</v>
      </c>
      <c r="E373" s="40">
        <f>Claims!H369</f>
        <v>1803</v>
      </c>
      <c r="F373" s="36" t="str">
        <f>Claims!K369</f>
        <v>Yes</v>
      </c>
      <c r="G373" s="36" t="str">
        <f>IF(Claims!M369="","",Claims!M369)</f>
        <v/>
      </c>
      <c r="H373" s="36" t="str">
        <f>IF(Claims!N369="","",Claims!N369)</f>
        <v/>
      </c>
      <c r="I373" s="41">
        <f>Claims!J369-Claims!I369</f>
        <v>5</v>
      </c>
      <c r="J373" s="42" t="str">
        <f t="shared" si="71"/>
        <v>n/a</v>
      </c>
      <c r="K373" s="42" t="str">
        <f t="shared" si="72"/>
        <v>n/a</v>
      </c>
      <c r="L373" s="42" t="str">
        <f t="shared" si="73"/>
        <v>n/a</v>
      </c>
      <c r="M373" s="42" t="str">
        <f t="shared" si="74"/>
        <v>n/a</v>
      </c>
      <c r="N373" s="42" t="str">
        <f t="shared" si="75"/>
        <v>n/a</v>
      </c>
      <c r="O373" s="42" t="str">
        <f t="shared" si="76"/>
        <v>n/a</v>
      </c>
      <c r="P373" s="42" t="str">
        <f t="shared" si="77"/>
        <v>Compliant</v>
      </c>
      <c r="Q373" s="42" t="str">
        <f t="shared" si="78"/>
        <v>Compliant</v>
      </c>
      <c r="R373" s="42" t="str">
        <f t="shared" si="79"/>
        <v>Compliant</v>
      </c>
      <c r="S373" s="36" t="str">
        <f t="shared" si="80"/>
        <v/>
      </c>
      <c r="T373" s="42" t="str">
        <f t="shared" si="81"/>
        <v/>
      </c>
      <c r="U373" s="42" t="str">
        <f t="shared" si="82"/>
        <v/>
      </c>
      <c r="V373" s="42" t="str">
        <f t="shared" si="83"/>
        <v/>
      </c>
      <c r="W373" s="42" t="str">
        <f t="shared" si="84"/>
        <v/>
      </c>
    </row>
    <row r="374" spans="1:23" ht="15" hidden="1" customHeight="1" x14ac:dyDescent="0.25">
      <c r="A374" s="36" t="str">
        <f>Claims!A370</f>
        <v>EXP00369</v>
      </c>
      <c r="B374" s="36" t="str">
        <f>Claims!D370</f>
        <v>M2</v>
      </c>
      <c r="C374" s="36" t="str">
        <f>Claims!E370</f>
        <v>Flight</v>
      </c>
      <c r="D374" s="36" t="str">
        <f>Claims!G370</f>
        <v>Non-metro</v>
      </c>
      <c r="E374" s="40">
        <f>Claims!H370</f>
        <v>21709</v>
      </c>
      <c r="F374" s="36" t="str">
        <f>Claims!K370</f>
        <v>Yes</v>
      </c>
      <c r="G374" s="36">
        <f>IF(Claims!M370="","",Claims!M370)</f>
        <v>6</v>
      </c>
      <c r="H374" s="36" t="str">
        <f>IF(Claims!N370="","",Claims!N370)</f>
        <v>Economy</v>
      </c>
      <c r="I374" s="41">
        <f>Claims!J370-Claims!I370</f>
        <v>2</v>
      </c>
      <c r="J374" s="42" t="str">
        <f t="shared" si="71"/>
        <v>Compliant</v>
      </c>
      <c r="K374" s="42" t="str">
        <f t="shared" si="72"/>
        <v>Violation</v>
      </c>
      <c r="L374" s="42" t="str">
        <f t="shared" si="73"/>
        <v>n/a</v>
      </c>
      <c r="M374" s="42" t="str">
        <f t="shared" si="74"/>
        <v>n/a</v>
      </c>
      <c r="N374" s="42" t="str">
        <f t="shared" si="75"/>
        <v>n/a</v>
      </c>
      <c r="O374" s="42" t="str">
        <f t="shared" si="76"/>
        <v>n/a</v>
      </c>
      <c r="P374" s="42" t="str">
        <f t="shared" si="77"/>
        <v>Compliant</v>
      </c>
      <c r="Q374" s="42" t="str">
        <f t="shared" si="78"/>
        <v>Compliant</v>
      </c>
      <c r="R374" s="42" t="str">
        <f t="shared" si="79"/>
        <v>Violation</v>
      </c>
      <c r="S374" s="36" t="str">
        <f t="shared" si="80"/>
        <v>TP-02</v>
      </c>
      <c r="T374" s="42" t="str">
        <f t="shared" si="81"/>
        <v/>
      </c>
      <c r="U374" s="42" t="str">
        <f t="shared" si="82"/>
        <v>Assumption-based</v>
      </c>
      <c r="V374" s="42" t="str">
        <f t="shared" si="83"/>
        <v/>
      </c>
      <c r="W374" s="42" t="str">
        <f t="shared" si="84"/>
        <v>Needs approval</v>
      </c>
    </row>
    <row r="375" spans="1:23" ht="15" hidden="1" customHeight="1" x14ac:dyDescent="0.25">
      <c r="A375" s="36" t="str">
        <f>Claims!A371</f>
        <v>EXP00370</v>
      </c>
      <c r="B375" s="36" t="str">
        <f>Claims!D371</f>
        <v>M2</v>
      </c>
      <c r="C375" s="36" t="str">
        <f>Claims!E371</f>
        <v>Alcohol</v>
      </c>
      <c r="D375" s="36" t="str">
        <f>Claims!G371</f>
        <v>Non-metro</v>
      </c>
      <c r="E375" s="40">
        <f>Claims!H371</f>
        <v>3431</v>
      </c>
      <c r="F375" s="36" t="str">
        <f>Claims!K371</f>
        <v>Yes</v>
      </c>
      <c r="G375" s="36" t="str">
        <f>IF(Claims!M371="","",Claims!M371)</f>
        <v/>
      </c>
      <c r="H375" s="36" t="str">
        <f>IF(Claims!N371="","",Claims!N371)</f>
        <v/>
      </c>
      <c r="I375" s="41">
        <f>Claims!J371-Claims!I371</f>
        <v>9</v>
      </c>
      <c r="J375" s="42" t="str">
        <f t="shared" si="71"/>
        <v>n/a</v>
      </c>
      <c r="K375" s="42" t="str">
        <f t="shared" si="72"/>
        <v>n/a</v>
      </c>
      <c r="L375" s="42" t="str">
        <f t="shared" si="73"/>
        <v>n/a</v>
      </c>
      <c r="M375" s="42" t="str">
        <f t="shared" si="74"/>
        <v>n/a</v>
      </c>
      <c r="N375" s="42" t="str">
        <f t="shared" si="75"/>
        <v>n/a</v>
      </c>
      <c r="O375" s="42" t="str">
        <f t="shared" si="76"/>
        <v>Violation</v>
      </c>
      <c r="P375" s="42" t="str">
        <f t="shared" si="77"/>
        <v>Compliant</v>
      </c>
      <c r="Q375" s="42" t="str">
        <f t="shared" si="78"/>
        <v>Compliant</v>
      </c>
      <c r="R375" s="42" t="str">
        <f t="shared" si="79"/>
        <v>Violation</v>
      </c>
      <c r="S375" s="36" t="str">
        <f t="shared" si="80"/>
        <v>TP-08</v>
      </c>
      <c r="T375" s="42" t="str">
        <f t="shared" si="81"/>
        <v/>
      </c>
      <c r="U375" s="42" t="str">
        <f t="shared" si="82"/>
        <v>Definite</v>
      </c>
      <c r="V375" s="42" t="str">
        <f t="shared" si="83"/>
        <v/>
      </c>
      <c r="W375" s="42" t="str">
        <f t="shared" si="84"/>
        <v/>
      </c>
    </row>
    <row r="376" spans="1:23" ht="15" hidden="1" customHeight="1" x14ac:dyDescent="0.25">
      <c r="A376" s="36" t="str">
        <f>Claims!A372</f>
        <v>EXP00371</v>
      </c>
      <c r="B376" s="36" t="str">
        <f>Claims!D372</f>
        <v>M1</v>
      </c>
      <c r="C376" s="36" t="str">
        <f>Claims!E372</f>
        <v>Meals/DA</v>
      </c>
      <c r="D376" s="36" t="str">
        <f>Claims!G372</f>
        <v>Metro</v>
      </c>
      <c r="E376" s="40">
        <f>Claims!H372</f>
        <v>1264</v>
      </c>
      <c r="F376" s="36" t="str">
        <f>Claims!K372</f>
        <v>Yes</v>
      </c>
      <c r="G376" s="36" t="str">
        <f>IF(Claims!M372="","",Claims!M372)</f>
        <v/>
      </c>
      <c r="H376" s="36" t="str">
        <f>IF(Claims!N372="","",Claims!N372)</f>
        <v/>
      </c>
      <c r="I376" s="41">
        <f>Claims!J372-Claims!I372</f>
        <v>9</v>
      </c>
      <c r="J376" s="42" t="str">
        <f t="shared" si="71"/>
        <v>n/a</v>
      </c>
      <c r="K376" s="42" t="str">
        <f t="shared" si="72"/>
        <v>n/a</v>
      </c>
      <c r="L376" s="42" t="str">
        <f t="shared" si="73"/>
        <v>n/a</v>
      </c>
      <c r="M376" s="42" t="str">
        <f t="shared" si="74"/>
        <v>n/a</v>
      </c>
      <c r="N376" s="42" t="str">
        <f t="shared" si="75"/>
        <v>Violation</v>
      </c>
      <c r="O376" s="42" t="str">
        <f t="shared" si="76"/>
        <v>n/a</v>
      </c>
      <c r="P376" s="42" t="str">
        <f t="shared" si="77"/>
        <v>Compliant</v>
      </c>
      <c r="Q376" s="42" t="str">
        <f t="shared" si="78"/>
        <v>Compliant</v>
      </c>
      <c r="R376" s="42" t="str">
        <f t="shared" si="79"/>
        <v>Violation</v>
      </c>
      <c r="S376" s="36" t="str">
        <f t="shared" si="80"/>
        <v>TP-06</v>
      </c>
      <c r="T376" s="42" t="str">
        <f t="shared" si="81"/>
        <v/>
      </c>
      <c r="U376" s="42" t="str">
        <f t="shared" si="82"/>
        <v>Assumption-based</v>
      </c>
      <c r="V376" s="42">
        <f t="shared" si="83"/>
        <v>2</v>
      </c>
      <c r="W376" s="42" t="str">
        <f t="shared" si="84"/>
        <v>Needs days</v>
      </c>
    </row>
    <row r="377" spans="1:23" ht="15" hidden="1" customHeight="1" x14ac:dyDescent="0.25">
      <c r="A377" s="36" t="str">
        <f>Claims!A373</f>
        <v>EXP00372</v>
      </c>
      <c r="B377" s="36" t="str">
        <f>Claims!D373</f>
        <v>M1</v>
      </c>
      <c r="C377" s="36" t="str">
        <f>Claims!E373</f>
        <v>Local Cab</v>
      </c>
      <c r="D377" s="36" t="str">
        <f>Claims!G373</f>
        <v>Non-metro</v>
      </c>
      <c r="E377" s="40">
        <f>Claims!H373</f>
        <v>1454</v>
      </c>
      <c r="F377" s="36" t="str">
        <f>Claims!K373</f>
        <v>No</v>
      </c>
      <c r="G377" s="36" t="str">
        <f>IF(Claims!M373="","",Claims!M373)</f>
        <v/>
      </c>
      <c r="H377" s="36" t="str">
        <f>IF(Claims!N373="","",Claims!N373)</f>
        <v/>
      </c>
      <c r="I377" s="41">
        <f>Claims!J373-Claims!I373</f>
        <v>5</v>
      </c>
      <c r="J377" s="42" t="str">
        <f t="shared" si="71"/>
        <v>n/a</v>
      </c>
      <c r="K377" s="42" t="str">
        <f t="shared" si="72"/>
        <v>n/a</v>
      </c>
      <c r="L377" s="42" t="str">
        <f t="shared" si="73"/>
        <v>n/a</v>
      </c>
      <c r="M377" s="42" t="str">
        <f t="shared" si="74"/>
        <v>n/a</v>
      </c>
      <c r="N377" s="42" t="str">
        <f t="shared" si="75"/>
        <v>n/a</v>
      </c>
      <c r="O377" s="42" t="str">
        <f t="shared" si="76"/>
        <v>n/a</v>
      </c>
      <c r="P377" s="42" t="str">
        <f t="shared" si="77"/>
        <v>Violation</v>
      </c>
      <c r="Q377" s="42" t="str">
        <f t="shared" si="78"/>
        <v>Compliant</v>
      </c>
      <c r="R377" s="42" t="str">
        <f t="shared" si="79"/>
        <v>Violation</v>
      </c>
      <c r="S377" s="36" t="str">
        <f t="shared" si="80"/>
        <v>TP-09</v>
      </c>
      <c r="T377" s="42" t="str">
        <f t="shared" si="81"/>
        <v/>
      </c>
      <c r="U377" s="42" t="str">
        <f t="shared" si="82"/>
        <v>Definite</v>
      </c>
      <c r="V377" s="42" t="str">
        <f t="shared" si="83"/>
        <v/>
      </c>
      <c r="W377" s="42" t="str">
        <f t="shared" si="84"/>
        <v/>
      </c>
    </row>
    <row r="378" spans="1:23" ht="15" hidden="1" customHeight="1" x14ac:dyDescent="0.25">
      <c r="A378" s="36" t="str">
        <f>Claims!A374</f>
        <v>EXP00373</v>
      </c>
      <c r="B378" s="36" t="str">
        <f>Claims!D374</f>
        <v>M2</v>
      </c>
      <c r="C378" s="36" t="str">
        <f>Claims!E374</f>
        <v>Meals/DA</v>
      </c>
      <c r="D378" s="36" t="str">
        <f>Claims!G374</f>
        <v>Non-metro</v>
      </c>
      <c r="E378" s="40">
        <f>Claims!H374</f>
        <v>1109</v>
      </c>
      <c r="F378" s="36" t="str">
        <f>Claims!K374</f>
        <v>Yes</v>
      </c>
      <c r="G378" s="36" t="str">
        <f>IF(Claims!M374="","",Claims!M374)</f>
        <v/>
      </c>
      <c r="H378" s="36" t="str">
        <f>IF(Claims!N374="","",Claims!N374)</f>
        <v/>
      </c>
      <c r="I378" s="41">
        <f>Claims!J374-Claims!I374</f>
        <v>20</v>
      </c>
      <c r="J378" s="42" t="str">
        <f t="shared" si="71"/>
        <v>n/a</v>
      </c>
      <c r="K378" s="42" t="str">
        <f t="shared" si="72"/>
        <v>n/a</v>
      </c>
      <c r="L378" s="42" t="str">
        <f t="shared" si="73"/>
        <v>n/a</v>
      </c>
      <c r="M378" s="42" t="str">
        <f t="shared" si="74"/>
        <v>n/a</v>
      </c>
      <c r="N378" s="42" t="str">
        <f t="shared" si="75"/>
        <v>Violation</v>
      </c>
      <c r="O378" s="42" t="str">
        <f t="shared" si="76"/>
        <v>n/a</v>
      </c>
      <c r="P378" s="42" t="str">
        <f t="shared" si="77"/>
        <v>Compliant</v>
      </c>
      <c r="Q378" s="42" t="str">
        <f t="shared" si="78"/>
        <v>Violation</v>
      </c>
      <c r="R378" s="42" t="str">
        <f t="shared" si="79"/>
        <v>Violation</v>
      </c>
      <c r="S378" s="36" t="str">
        <f t="shared" si="80"/>
        <v>TP-06, TP-10</v>
      </c>
      <c r="T378" s="42" t="str">
        <f t="shared" si="81"/>
        <v>Late</v>
      </c>
      <c r="U378" s="42" t="str">
        <f t="shared" si="82"/>
        <v>Definite</v>
      </c>
      <c r="V378" s="42">
        <f t="shared" si="83"/>
        <v>2</v>
      </c>
      <c r="W378" s="42" t="str">
        <f t="shared" si="84"/>
        <v>Needs days</v>
      </c>
    </row>
    <row r="379" spans="1:23" ht="15" hidden="1" customHeight="1" x14ac:dyDescent="0.25">
      <c r="A379" s="36" t="str">
        <f>Claims!A375</f>
        <v>EXP00374</v>
      </c>
      <c r="B379" s="36" t="str">
        <f>Claims!D375</f>
        <v>M2</v>
      </c>
      <c r="C379" s="36" t="str">
        <f>Claims!E375</f>
        <v>Hotel</v>
      </c>
      <c r="D379" s="36" t="str">
        <f>Claims!G375</f>
        <v>Non-metro</v>
      </c>
      <c r="E379" s="40">
        <f>Claims!H375</f>
        <v>14614</v>
      </c>
      <c r="F379" s="36" t="str">
        <f>Claims!K375</f>
        <v>Yes</v>
      </c>
      <c r="G379" s="36" t="str">
        <f>IF(Claims!M375="","",Claims!M375)</f>
        <v/>
      </c>
      <c r="H379" s="36" t="str">
        <f>IF(Claims!N375="","",Claims!N375)</f>
        <v/>
      </c>
      <c r="I379" s="41">
        <f>Claims!J375-Claims!I375</f>
        <v>9</v>
      </c>
      <c r="J379" s="42" t="str">
        <f t="shared" si="71"/>
        <v>n/a</v>
      </c>
      <c r="K379" s="42" t="str">
        <f t="shared" si="72"/>
        <v>n/a</v>
      </c>
      <c r="L379" s="42" t="str">
        <f t="shared" si="73"/>
        <v>n/a</v>
      </c>
      <c r="M379" s="42" t="str">
        <f t="shared" si="74"/>
        <v>Violation</v>
      </c>
      <c r="N379" s="42" t="str">
        <f t="shared" si="75"/>
        <v>n/a</v>
      </c>
      <c r="O379" s="42" t="str">
        <f t="shared" si="76"/>
        <v>n/a</v>
      </c>
      <c r="P379" s="42" t="str">
        <f t="shared" si="77"/>
        <v>Compliant</v>
      </c>
      <c r="Q379" s="42" t="str">
        <f t="shared" si="78"/>
        <v>Compliant</v>
      </c>
      <c r="R379" s="42" t="str">
        <f t="shared" si="79"/>
        <v>Violation</v>
      </c>
      <c r="S379" s="36" t="str">
        <f t="shared" si="80"/>
        <v>TP-05</v>
      </c>
      <c r="T379" s="42" t="str">
        <f t="shared" si="81"/>
        <v/>
      </c>
      <c r="U379" s="42" t="str">
        <f t="shared" si="82"/>
        <v>Assumption-based</v>
      </c>
      <c r="V379" s="42">
        <f t="shared" si="83"/>
        <v>4</v>
      </c>
      <c r="W379" s="42" t="str">
        <f t="shared" si="84"/>
        <v>Needs nights</v>
      </c>
    </row>
    <row r="380" spans="1:23" ht="15" hidden="1" customHeight="1" x14ac:dyDescent="0.25">
      <c r="A380" s="36" t="str">
        <f>Claims!A376</f>
        <v>EXP00375</v>
      </c>
      <c r="B380" s="36" t="str">
        <f>Claims!D376</f>
        <v>M2</v>
      </c>
      <c r="C380" s="36" t="str">
        <f>Claims!E376</f>
        <v>Local Cab</v>
      </c>
      <c r="D380" s="36" t="str">
        <f>Claims!G376</f>
        <v>Metro</v>
      </c>
      <c r="E380" s="40">
        <f>Claims!H376</f>
        <v>784</v>
      </c>
      <c r="F380" s="36" t="str">
        <f>Claims!K376</f>
        <v>Yes</v>
      </c>
      <c r="G380" s="36" t="str">
        <f>IF(Claims!M376="","",Claims!M376)</f>
        <v/>
      </c>
      <c r="H380" s="36" t="str">
        <f>IF(Claims!N376="","",Claims!N376)</f>
        <v/>
      </c>
      <c r="I380" s="41">
        <f>Claims!J376-Claims!I376</f>
        <v>9</v>
      </c>
      <c r="J380" s="42" t="str">
        <f t="shared" si="71"/>
        <v>n/a</v>
      </c>
      <c r="K380" s="42" t="str">
        <f t="shared" si="72"/>
        <v>n/a</v>
      </c>
      <c r="L380" s="42" t="str">
        <f t="shared" si="73"/>
        <v>n/a</v>
      </c>
      <c r="M380" s="42" t="str">
        <f t="shared" si="74"/>
        <v>n/a</v>
      </c>
      <c r="N380" s="42" t="str">
        <f t="shared" si="75"/>
        <v>n/a</v>
      </c>
      <c r="O380" s="42" t="str">
        <f t="shared" si="76"/>
        <v>n/a</v>
      </c>
      <c r="P380" s="42" t="str">
        <f t="shared" si="77"/>
        <v>Compliant</v>
      </c>
      <c r="Q380" s="42" t="str">
        <f t="shared" si="78"/>
        <v>Compliant</v>
      </c>
      <c r="R380" s="42" t="str">
        <f t="shared" si="79"/>
        <v>Compliant</v>
      </c>
      <c r="S380" s="36" t="str">
        <f t="shared" si="80"/>
        <v/>
      </c>
      <c r="T380" s="42" t="str">
        <f t="shared" si="81"/>
        <v/>
      </c>
      <c r="U380" s="42" t="str">
        <f t="shared" si="82"/>
        <v/>
      </c>
      <c r="V380" s="42" t="str">
        <f t="shared" si="83"/>
        <v/>
      </c>
      <c r="W380" s="42" t="str">
        <f t="shared" si="84"/>
        <v/>
      </c>
    </row>
    <row r="381" spans="1:23" ht="15" hidden="1" customHeight="1" x14ac:dyDescent="0.25">
      <c r="A381" s="36" t="str">
        <f>Claims!A377</f>
        <v>EXP00376</v>
      </c>
      <c r="B381" s="36" t="str">
        <f>Claims!D377</f>
        <v>M5</v>
      </c>
      <c r="C381" s="36" t="str">
        <f>Claims!E377</f>
        <v>Train</v>
      </c>
      <c r="D381" s="36" t="str">
        <f>Claims!G377</f>
        <v>Non-metro</v>
      </c>
      <c r="E381" s="40">
        <f>Claims!H377</f>
        <v>3125</v>
      </c>
      <c r="F381" s="36" t="str">
        <f>Claims!K377</f>
        <v>Yes</v>
      </c>
      <c r="G381" s="36" t="str">
        <f>IF(Claims!M377="","",Claims!M377)</f>
        <v/>
      </c>
      <c r="H381" s="36" t="str">
        <f>IF(Claims!N377="","",Claims!N377)</f>
        <v/>
      </c>
      <c r="I381" s="41">
        <f>Claims!J377-Claims!I377</f>
        <v>9</v>
      </c>
      <c r="J381" s="42" t="str">
        <f t="shared" si="71"/>
        <v>n/a</v>
      </c>
      <c r="K381" s="42" t="str">
        <f t="shared" si="72"/>
        <v>n/a</v>
      </c>
      <c r="L381" s="42" t="str">
        <f t="shared" si="73"/>
        <v>n/a</v>
      </c>
      <c r="M381" s="42" t="str">
        <f t="shared" si="74"/>
        <v>n/a</v>
      </c>
      <c r="N381" s="42" t="str">
        <f t="shared" si="75"/>
        <v>n/a</v>
      </c>
      <c r="O381" s="42" t="str">
        <f t="shared" si="76"/>
        <v>n/a</v>
      </c>
      <c r="P381" s="42" t="str">
        <f t="shared" si="77"/>
        <v>Compliant</v>
      </c>
      <c r="Q381" s="42" t="str">
        <f t="shared" si="78"/>
        <v>Compliant</v>
      </c>
      <c r="R381" s="42" t="str">
        <f t="shared" si="79"/>
        <v>Compliant</v>
      </c>
      <c r="S381" s="36" t="str">
        <f t="shared" si="80"/>
        <v/>
      </c>
      <c r="T381" s="42" t="str">
        <f t="shared" si="81"/>
        <v/>
      </c>
      <c r="U381" s="42" t="str">
        <f t="shared" si="82"/>
        <v/>
      </c>
      <c r="V381" s="42" t="str">
        <f t="shared" si="83"/>
        <v/>
      </c>
      <c r="W381" s="42" t="str">
        <f t="shared" si="84"/>
        <v/>
      </c>
    </row>
    <row r="382" spans="1:23" ht="15" hidden="1" customHeight="1" x14ac:dyDescent="0.25">
      <c r="A382" s="36" t="str">
        <f>Claims!A378</f>
        <v>EXP00377</v>
      </c>
      <c r="B382" s="36" t="str">
        <f>Claims!D378</f>
        <v>M2</v>
      </c>
      <c r="C382" s="36" t="str">
        <f>Claims!E378</f>
        <v>Local Cab</v>
      </c>
      <c r="D382" s="36" t="str">
        <f>Claims!G378</f>
        <v>Non-metro</v>
      </c>
      <c r="E382" s="40">
        <f>Claims!H378</f>
        <v>1818</v>
      </c>
      <c r="F382" s="36" t="str">
        <f>Claims!K378</f>
        <v>Yes</v>
      </c>
      <c r="G382" s="36" t="str">
        <f>IF(Claims!M378="","",Claims!M378)</f>
        <v/>
      </c>
      <c r="H382" s="36" t="str">
        <f>IF(Claims!N378="","",Claims!N378)</f>
        <v/>
      </c>
      <c r="I382" s="41">
        <f>Claims!J378-Claims!I378</f>
        <v>14</v>
      </c>
      <c r="J382" s="42" t="str">
        <f t="shared" si="71"/>
        <v>n/a</v>
      </c>
      <c r="K382" s="42" t="str">
        <f t="shared" si="72"/>
        <v>n/a</v>
      </c>
      <c r="L382" s="42" t="str">
        <f t="shared" si="73"/>
        <v>n/a</v>
      </c>
      <c r="M382" s="42" t="str">
        <f t="shared" si="74"/>
        <v>n/a</v>
      </c>
      <c r="N382" s="42" t="str">
        <f t="shared" si="75"/>
        <v>n/a</v>
      </c>
      <c r="O382" s="42" t="str">
        <f t="shared" si="76"/>
        <v>n/a</v>
      </c>
      <c r="P382" s="42" t="str">
        <f t="shared" si="77"/>
        <v>Compliant</v>
      </c>
      <c r="Q382" s="42" t="str">
        <f t="shared" si="78"/>
        <v>Compliant</v>
      </c>
      <c r="R382" s="42" t="str">
        <f t="shared" si="79"/>
        <v>Compliant</v>
      </c>
      <c r="S382" s="36" t="str">
        <f t="shared" si="80"/>
        <v/>
      </c>
      <c r="T382" s="42" t="str">
        <f t="shared" si="81"/>
        <v/>
      </c>
      <c r="U382" s="42" t="str">
        <f t="shared" si="82"/>
        <v/>
      </c>
      <c r="V382" s="42" t="str">
        <f t="shared" si="83"/>
        <v/>
      </c>
      <c r="W382" s="42" t="str">
        <f t="shared" si="84"/>
        <v/>
      </c>
    </row>
    <row r="383" spans="1:23" ht="15" hidden="1" customHeight="1" x14ac:dyDescent="0.25">
      <c r="A383" s="36" t="str">
        <f>Claims!A379</f>
        <v>EXP00378</v>
      </c>
      <c r="B383" s="36" t="str">
        <f>Claims!D379</f>
        <v>M2</v>
      </c>
      <c r="C383" s="36" t="str">
        <f>Claims!E379</f>
        <v>Stationery</v>
      </c>
      <c r="D383" s="36" t="str">
        <f>Claims!G379</f>
        <v>Non-metro</v>
      </c>
      <c r="E383" s="40">
        <f>Claims!H379</f>
        <v>1304</v>
      </c>
      <c r="F383" s="36" t="str">
        <f>Claims!K379</f>
        <v>No</v>
      </c>
      <c r="G383" s="36" t="str">
        <f>IF(Claims!M379="","",Claims!M379)</f>
        <v/>
      </c>
      <c r="H383" s="36" t="str">
        <f>IF(Claims!N379="","",Claims!N379)</f>
        <v/>
      </c>
      <c r="I383" s="41">
        <f>Claims!J379-Claims!I379</f>
        <v>9</v>
      </c>
      <c r="J383" s="42" t="str">
        <f t="shared" si="71"/>
        <v>n/a</v>
      </c>
      <c r="K383" s="42" t="str">
        <f t="shared" si="72"/>
        <v>n/a</v>
      </c>
      <c r="L383" s="42" t="str">
        <f t="shared" si="73"/>
        <v>n/a</v>
      </c>
      <c r="M383" s="42" t="str">
        <f t="shared" si="74"/>
        <v>n/a</v>
      </c>
      <c r="N383" s="42" t="str">
        <f t="shared" si="75"/>
        <v>n/a</v>
      </c>
      <c r="O383" s="42" t="str">
        <f t="shared" si="76"/>
        <v>n/a</v>
      </c>
      <c r="P383" s="42" t="str">
        <f t="shared" si="77"/>
        <v>Violation</v>
      </c>
      <c r="Q383" s="42" t="str">
        <f t="shared" si="78"/>
        <v>Compliant</v>
      </c>
      <c r="R383" s="42" t="str">
        <f t="shared" si="79"/>
        <v>Violation</v>
      </c>
      <c r="S383" s="36" t="str">
        <f t="shared" si="80"/>
        <v>TP-09</v>
      </c>
      <c r="T383" s="42" t="str">
        <f t="shared" si="81"/>
        <v/>
      </c>
      <c r="U383" s="42" t="str">
        <f t="shared" si="82"/>
        <v>Definite</v>
      </c>
      <c r="V383" s="42" t="str">
        <f t="shared" si="83"/>
        <v/>
      </c>
      <c r="W383" s="42" t="str">
        <f t="shared" si="84"/>
        <v/>
      </c>
    </row>
    <row r="384" spans="1:23" ht="15" hidden="1" customHeight="1" x14ac:dyDescent="0.25">
      <c r="A384" s="36" t="str">
        <f>Claims!A380</f>
        <v>EXP00379</v>
      </c>
      <c r="B384" s="36" t="str">
        <f>Claims!D380</f>
        <v>M3</v>
      </c>
      <c r="C384" s="36" t="str">
        <f>Claims!E380</f>
        <v>Local Cab</v>
      </c>
      <c r="D384" s="36" t="str">
        <f>Claims!G380</f>
        <v>Non-metro</v>
      </c>
      <c r="E384" s="40">
        <f>Claims!H380</f>
        <v>1799</v>
      </c>
      <c r="F384" s="36" t="str">
        <f>Claims!K380</f>
        <v>Yes</v>
      </c>
      <c r="G384" s="36" t="str">
        <f>IF(Claims!M380="","",Claims!M380)</f>
        <v/>
      </c>
      <c r="H384" s="36" t="str">
        <f>IF(Claims!N380="","",Claims!N380)</f>
        <v/>
      </c>
      <c r="I384" s="41">
        <f>Claims!J380-Claims!I380</f>
        <v>2</v>
      </c>
      <c r="J384" s="42" t="str">
        <f t="shared" si="71"/>
        <v>n/a</v>
      </c>
      <c r="K384" s="42" t="str">
        <f t="shared" si="72"/>
        <v>n/a</v>
      </c>
      <c r="L384" s="42" t="str">
        <f t="shared" si="73"/>
        <v>n/a</v>
      </c>
      <c r="M384" s="42" t="str">
        <f t="shared" si="74"/>
        <v>n/a</v>
      </c>
      <c r="N384" s="42" t="str">
        <f t="shared" si="75"/>
        <v>n/a</v>
      </c>
      <c r="O384" s="42" t="str">
        <f t="shared" si="76"/>
        <v>n/a</v>
      </c>
      <c r="P384" s="42" t="str">
        <f t="shared" si="77"/>
        <v>Compliant</v>
      </c>
      <c r="Q384" s="42" t="str">
        <f t="shared" si="78"/>
        <v>Compliant</v>
      </c>
      <c r="R384" s="42" t="str">
        <f t="shared" si="79"/>
        <v>Compliant</v>
      </c>
      <c r="S384" s="36" t="str">
        <f t="shared" si="80"/>
        <v/>
      </c>
      <c r="T384" s="42" t="str">
        <f t="shared" si="81"/>
        <v/>
      </c>
      <c r="U384" s="42" t="str">
        <f t="shared" si="82"/>
        <v/>
      </c>
      <c r="V384" s="42" t="str">
        <f t="shared" si="83"/>
        <v/>
      </c>
      <c r="W384" s="42" t="str">
        <f t="shared" si="84"/>
        <v/>
      </c>
    </row>
    <row r="385" spans="1:23" ht="15" hidden="1" customHeight="1" x14ac:dyDescent="0.25">
      <c r="A385" s="36" t="str">
        <f>Claims!A381</f>
        <v>EXP00380</v>
      </c>
      <c r="B385" s="36" t="str">
        <f>Claims!D381</f>
        <v>M4</v>
      </c>
      <c r="C385" s="36" t="str">
        <f>Claims!E381</f>
        <v>Local Cab</v>
      </c>
      <c r="D385" s="36" t="str">
        <f>Claims!G381</f>
        <v>Metro</v>
      </c>
      <c r="E385" s="40">
        <f>Claims!H381</f>
        <v>1480</v>
      </c>
      <c r="F385" s="36" t="str">
        <f>Claims!K381</f>
        <v>No</v>
      </c>
      <c r="G385" s="36" t="str">
        <f>IF(Claims!M381="","",Claims!M381)</f>
        <v/>
      </c>
      <c r="H385" s="36" t="str">
        <f>IF(Claims!N381="","",Claims!N381)</f>
        <v/>
      </c>
      <c r="I385" s="41">
        <f>Claims!J381-Claims!I381</f>
        <v>14</v>
      </c>
      <c r="J385" s="42" t="str">
        <f t="shared" si="71"/>
        <v>n/a</v>
      </c>
      <c r="K385" s="42" t="str">
        <f t="shared" si="72"/>
        <v>n/a</v>
      </c>
      <c r="L385" s="42" t="str">
        <f t="shared" si="73"/>
        <v>n/a</v>
      </c>
      <c r="M385" s="42" t="str">
        <f t="shared" si="74"/>
        <v>n/a</v>
      </c>
      <c r="N385" s="42" t="str">
        <f t="shared" si="75"/>
        <v>n/a</v>
      </c>
      <c r="O385" s="42" t="str">
        <f t="shared" si="76"/>
        <v>n/a</v>
      </c>
      <c r="P385" s="42" t="str">
        <f t="shared" si="77"/>
        <v>Violation</v>
      </c>
      <c r="Q385" s="42" t="str">
        <f t="shared" si="78"/>
        <v>Compliant</v>
      </c>
      <c r="R385" s="42" t="str">
        <f t="shared" si="79"/>
        <v>Violation</v>
      </c>
      <c r="S385" s="36" t="str">
        <f t="shared" si="80"/>
        <v>TP-09</v>
      </c>
      <c r="T385" s="42" t="str">
        <f t="shared" si="81"/>
        <v/>
      </c>
      <c r="U385" s="42" t="str">
        <f t="shared" si="82"/>
        <v>Definite</v>
      </c>
      <c r="V385" s="42" t="str">
        <f t="shared" si="83"/>
        <v/>
      </c>
      <c r="W385" s="42" t="str">
        <f t="shared" si="84"/>
        <v/>
      </c>
    </row>
    <row r="386" spans="1:23" ht="15" hidden="1" customHeight="1" x14ac:dyDescent="0.25">
      <c r="A386" s="36" t="str">
        <f>Claims!A382</f>
        <v>EXP00381</v>
      </c>
      <c r="B386" s="36" t="str">
        <f>Claims!D382</f>
        <v>M4</v>
      </c>
      <c r="C386" s="36" t="str">
        <f>Claims!E382</f>
        <v>Local Cab</v>
      </c>
      <c r="D386" s="36" t="str">
        <f>Claims!G382</f>
        <v>Non-metro</v>
      </c>
      <c r="E386" s="40">
        <f>Claims!H382</f>
        <v>1135</v>
      </c>
      <c r="F386" s="36" t="str">
        <f>Claims!K382</f>
        <v>Yes</v>
      </c>
      <c r="G386" s="36" t="str">
        <f>IF(Claims!M382="","",Claims!M382)</f>
        <v/>
      </c>
      <c r="H386" s="36" t="str">
        <f>IF(Claims!N382="","",Claims!N382)</f>
        <v/>
      </c>
      <c r="I386" s="41">
        <f>Claims!J382-Claims!I382</f>
        <v>5</v>
      </c>
      <c r="J386" s="42" t="str">
        <f t="shared" si="71"/>
        <v>n/a</v>
      </c>
      <c r="K386" s="42" t="str">
        <f t="shared" si="72"/>
        <v>n/a</v>
      </c>
      <c r="L386" s="42" t="str">
        <f t="shared" si="73"/>
        <v>n/a</v>
      </c>
      <c r="M386" s="42" t="str">
        <f t="shared" si="74"/>
        <v>n/a</v>
      </c>
      <c r="N386" s="42" t="str">
        <f t="shared" si="75"/>
        <v>n/a</v>
      </c>
      <c r="O386" s="42" t="str">
        <f t="shared" si="76"/>
        <v>n/a</v>
      </c>
      <c r="P386" s="42" t="str">
        <f t="shared" si="77"/>
        <v>Compliant</v>
      </c>
      <c r="Q386" s="42" t="str">
        <f t="shared" si="78"/>
        <v>Compliant</v>
      </c>
      <c r="R386" s="42" t="str">
        <f t="shared" si="79"/>
        <v>Compliant</v>
      </c>
      <c r="S386" s="36" t="str">
        <f t="shared" si="80"/>
        <v/>
      </c>
      <c r="T386" s="42" t="str">
        <f t="shared" si="81"/>
        <v/>
      </c>
      <c r="U386" s="42" t="str">
        <f t="shared" si="82"/>
        <v/>
      </c>
      <c r="V386" s="42" t="str">
        <f t="shared" si="83"/>
        <v/>
      </c>
      <c r="W386" s="42" t="str">
        <f t="shared" si="84"/>
        <v/>
      </c>
    </row>
    <row r="387" spans="1:23" ht="15" hidden="1" customHeight="1" x14ac:dyDescent="0.25">
      <c r="A387" s="36" t="str">
        <f>Claims!A383</f>
        <v>EXP00382</v>
      </c>
      <c r="B387" s="36" t="str">
        <f>Claims!D383</f>
        <v>M4</v>
      </c>
      <c r="C387" s="36" t="str">
        <f>Claims!E383</f>
        <v>Hotel</v>
      </c>
      <c r="D387" s="36" t="str">
        <f>Claims!G383</f>
        <v>Metro</v>
      </c>
      <c r="E387" s="40">
        <f>Claims!H383</f>
        <v>13082</v>
      </c>
      <c r="F387" s="36" t="str">
        <f>Claims!K383</f>
        <v>No</v>
      </c>
      <c r="G387" s="36" t="str">
        <f>IF(Claims!M383="","",Claims!M383)</f>
        <v/>
      </c>
      <c r="H387" s="36" t="str">
        <f>IF(Claims!N383="","",Claims!N383)</f>
        <v/>
      </c>
      <c r="I387" s="41">
        <f>Claims!J383-Claims!I383</f>
        <v>14</v>
      </c>
      <c r="J387" s="42" t="str">
        <f t="shared" si="71"/>
        <v>n/a</v>
      </c>
      <c r="K387" s="42" t="str">
        <f t="shared" si="72"/>
        <v>n/a</v>
      </c>
      <c r="L387" s="42" t="str">
        <f t="shared" si="73"/>
        <v>Compliant</v>
      </c>
      <c r="M387" s="42" t="str">
        <f t="shared" si="74"/>
        <v>n/a</v>
      </c>
      <c r="N387" s="42" t="str">
        <f t="shared" si="75"/>
        <v>n/a</v>
      </c>
      <c r="O387" s="42" t="str">
        <f t="shared" si="76"/>
        <v>n/a</v>
      </c>
      <c r="P387" s="42" t="str">
        <f t="shared" si="77"/>
        <v>Violation</v>
      </c>
      <c r="Q387" s="42" t="str">
        <f t="shared" si="78"/>
        <v>Compliant</v>
      </c>
      <c r="R387" s="42" t="str">
        <f t="shared" si="79"/>
        <v>Violation</v>
      </c>
      <c r="S387" s="36" t="str">
        <f t="shared" si="80"/>
        <v>TP-09</v>
      </c>
      <c r="T387" s="42" t="str">
        <f t="shared" si="81"/>
        <v/>
      </c>
      <c r="U387" s="42" t="str">
        <f t="shared" si="82"/>
        <v>Definite</v>
      </c>
      <c r="V387" s="42" t="str">
        <f t="shared" si="83"/>
        <v/>
      </c>
      <c r="W387" s="42" t="str">
        <f t="shared" si="84"/>
        <v/>
      </c>
    </row>
    <row r="388" spans="1:23" ht="15" hidden="1" customHeight="1" x14ac:dyDescent="0.25">
      <c r="A388" s="36" t="str">
        <f>Claims!A384</f>
        <v>EXP00383</v>
      </c>
      <c r="B388" s="36" t="str">
        <f>Claims!D384</f>
        <v>M1</v>
      </c>
      <c r="C388" s="36" t="str">
        <f>Claims!E384</f>
        <v>Local Cab</v>
      </c>
      <c r="D388" s="36" t="str">
        <f>Claims!G384</f>
        <v>Non-metro</v>
      </c>
      <c r="E388" s="40">
        <f>Claims!H384</f>
        <v>1651</v>
      </c>
      <c r="F388" s="36" t="str">
        <f>Claims!K384</f>
        <v>Yes</v>
      </c>
      <c r="G388" s="36" t="str">
        <f>IF(Claims!M384="","",Claims!M384)</f>
        <v/>
      </c>
      <c r="H388" s="36" t="str">
        <f>IF(Claims!N384="","",Claims!N384)</f>
        <v/>
      </c>
      <c r="I388" s="41">
        <f>Claims!J384-Claims!I384</f>
        <v>2</v>
      </c>
      <c r="J388" s="42" t="str">
        <f t="shared" si="71"/>
        <v>n/a</v>
      </c>
      <c r="K388" s="42" t="str">
        <f t="shared" si="72"/>
        <v>n/a</v>
      </c>
      <c r="L388" s="42" t="str">
        <f t="shared" si="73"/>
        <v>n/a</v>
      </c>
      <c r="M388" s="42" t="str">
        <f t="shared" si="74"/>
        <v>n/a</v>
      </c>
      <c r="N388" s="42" t="str">
        <f t="shared" si="75"/>
        <v>n/a</v>
      </c>
      <c r="O388" s="42" t="str">
        <f t="shared" si="76"/>
        <v>n/a</v>
      </c>
      <c r="P388" s="42" t="str">
        <f t="shared" si="77"/>
        <v>Compliant</v>
      </c>
      <c r="Q388" s="42" t="str">
        <f t="shared" si="78"/>
        <v>Compliant</v>
      </c>
      <c r="R388" s="42" t="str">
        <f t="shared" si="79"/>
        <v>Compliant</v>
      </c>
      <c r="S388" s="36" t="str">
        <f t="shared" si="80"/>
        <v/>
      </c>
      <c r="T388" s="42" t="str">
        <f t="shared" si="81"/>
        <v/>
      </c>
      <c r="U388" s="42" t="str">
        <f t="shared" si="82"/>
        <v/>
      </c>
      <c r="V388" s="42" t="str">
        <f t="shared" si="83"/>
        <v/>
      </c>
      <c r="W388" s="42" t="str">
        <f t="shared" si="84"/>
        <v/>
      </c>
    </row>
    <row r="389" spans="1:23" ht="15" hidden="1" customHeight="1" x14ac:dyDescent="0.25">
      <c r="A389" s="36" t="str">
        <f>Claims!A385</f>
        <v>EXP00384</v>
      </c>
      <c r="B389" s="36" t="str">
        <f>Claims!D385</f>
        <v>M2</v>
      </c>
      <c r="C389" s="36" t="str">
        <f>Claims!E385</f>
        <v>Hotel</v>
      </c>
      <c r="D389" s="36" t="str">
        <f>Claims!G385</f>
        <v>Non-metro</v>
      </c>
      <c r="E389" s="40">
        <f>Claims!H385</f>
        <v>13675</v>
      </c>
      <c r="F389" s="36" t="str">
        <f>Claims!K385</f>
        <v>Yes</v>
      </c>
      <c r="G389" s="36" t="str">
        <f>IF(Claims!M385="","",Claims!M385)</f>
        <v/>
      </c>
      <c r="H389" s="36" t="str">
        <f>IF(Claims!N385="","",Claims!N385)</f>
        <v/>
      </c>
      <c r="I389" s="41">
        <f>Claims!J385-Claims!I385</f>
        <v>35</v>
      </c>
      <c r="J389" s="42" t="str">
        <f t="shared" si="71"/>
        <v>n/a</v>
      </c>
      <c r="K389" s="42" t="str">
        <f t="shared" si="72"/>
        <v>n/a</v>
      </c>
      <c r="L389" s="42" t="str">
        <f t="shared" si="73"/>
        <v>n/a</v>
      </c>
      <c r="M389" s="42" t="str">
        <f t="shared" si="74"/>
        <v>Violation</v>
      </c>
      <c r="N389" s="42" t="str">
        <f t="shared" si="75"/>
        <v>n/a</v>
      </c>
      <c r="O389" s="42" t="str">
        <f t="shared" si="76"/>
        <v>n/a</v>
      </c>
      <c r="P389" s="42" t="str">
        <f t="shared" si="77"/>
        <v>Compliant</v>
      </c>
      <c r="Q389" s="42" t="str">
        <f t="shared" si="78"/>
        <v>Violation</v>
      </c>
      <c r="R389" s="42" t="str">
        <f t="shared" si="79"/>
        <v>Violation</v>
      </c>
      <c r="S389" s="36" t="str">
        <f t="shared" si="80"/>
        <v>TP-05, TP-10</v>
      </c>
      <c r="T389" s="42" t="str">
        <f t="shared" si="81"/>
        <v>Late</v>
      </c>
      <c r="U389" s="42" t="str">
        <f t="shared" si="82"/>
        <v>Definite</v>
      </c>
      <c r="V389" s="42">
        <f t="shared" si="83"/>
        <v>4</v>
      </c>
      <c r="W389" s="42" t="str">
        <f t="shared" si="84"/>
        <v>Needs nights</v>
      </c>
    </row>
    <row r="390" spans="1:23" ht="15" hidden="1" customHeight="1" x14ac:dyDescent="0.25">
      <c r="A390" s="36" t="str">
        <f>Claims!A386</f>
        <v>EXP00385</v>
      </c>
      <c r="B390" s="36" t="str">
        <f>Claims!D386</f>
        <v>M2</v>
      </c>
      <c r="C390" s="36" t="str">
        <f>Claims!E386</f>
        <v>Local Cab</v>
      </c>
      <c r="D390" s="36" t="str">
        <f>Claims!G386</f>
        <v>Metro</v>
      </c>
      <c r="E390" s="40">
        <f>Claims!H386</f>
        <v>1901</v>
      </c>
      <c r="F390" s="36" t="str">
        <f>Claims!K386</f>
        <v>Yes</v>
      </c>
      <c r="G390" s="36" t="str">
        <f>IF(Claims!M386="","",Claims!M386)</f>
        <v/>
      </c>
      <c r="H390" s="36" t="str">
        <f>IF(Claims!N386="","",Claims!N386)</f>
        <v/>
      </c>
      <c r="I390" s="41">
        <f>Claims!J386-Claims!I386</f>
        <v>2</v>
      </c>
      <c r="J390" s="42" t="str">
        <f t="shared" ref="J390:J405" si="85">IF(C390=Lbl_Flight,IF(AND(H390=Lbl_Business,INDEX(Biz_Permitted,MATCH(B390,Caps_Grade,0))=Lbl_BizNo),Lbl_Viol,Lbl_Comp),Lbl_NA)</f>
        <v>n/a</v>
      </c>
      <c r="K390" s="42" t="str">
        <f t="shared" ref="K390:K405" si="86">IF(C390=Lbl_Flight,IF(G390&lt;Min_Days_Booked,Lbl_Viol,Lbl_Comp),Lbl_NA)</f>
        <v>n/a</v>
      </c>
      <c r="L390" s="42" t="str">
        <f t="shared" ref="L390:L405" si="87">IF(AND(C390=Lbl_Hotel,D390=Lbl_Metro),IF(E390&gt;INDEX(Caps_Metro,MATCH(B390,Caps_Grade,0)),Lbl_Viol,Lbl_Comp),Lbl_NA)</f>
        <v>n/a</v>
      </c>
      <c r="M390" s="42" t="str">
        <f t="shared" ref="M390:M405" si="88">IF(AND(C390=Lbl_Hotel,D390=Lbl_NonMetro),IF(E390&gt;INDEX(Caps_NonMetro,MATCH(B390,Caps_Grade,0)),Lbl_Viol,Lbl_Comp),Lbl_NA)</f>
        <v>n/a</v>
      </c>
      <c r="N390" s="42" t="str">
        <f t="shared" ref="N390:N405" si="89">IF(C390=Lbl_Meals,IF(E390&gt;IF(D390=Lbl_Metro,Limit_Metro,Limit_NonMetro),Lbl_Viol,Lbl_Comp),Lbl_NA)</f>
        <v>n/a</v>
      </c>
      <c r="O390" s="42" t="str">
        <f t="shared" ref="O390:O405" si="90">IF(C390=Lbl_Alcohol,Lbl_Viol,Lbl_NA)</f>
        <v>n/a</v>
      </c>
      <c r="P390" s="42" t="str">
        <f t="shared" ref="P390:P405" si="91">IF(AND(F390=Lbl_NoReceipt,E390&gt;Receipt_Threshold),Lbl_Viol,Lbl_Comp)</f>
        <v>Compliant</v>
      </c>
      <c r="Q390" s="42" t="str">
        <f t="shared" ref="Q390:Q405" si="92">IF(I390&gt;Late_Days,Lbl_Viol,Lbl_Comp)</f>
        <v>Compliant</v>
      </c>
      <c r="R390" s="42" t="str">
        <f t="shared" ref="R390:R453" si="93">IF(COUNTIF(J390:Q390,Lbl_Viol)&gt;0,Lbl_Viol,Lbl_Comp)</f>
        <v>Compliant</v>
      </c>
      <c r="S390" s="36" t="str">
        <f t="shared" ref="S390:S405" si="94">_xlfn.TEXTJOIN(", ",TRUE(),IF(J390=Lbl_Viol,J$5,""),IF(K390=Lbl_Viol,K$5,""),IF(L390=Lbl_Viol,L$5,""),IF(M390=Lbl_Viol,M$5,""),IF(N390=Lbl_Viol,N$5,""),IF(O390=Lbl_Viol,O$5,""),IF(P390=Lbl_Viol,P$5,""),IF(Q390=Lbl_Viol,Q$5,""))</f>
        <v/>
      </c>
      <c r="T390" s="42" t="str">
        <f t="shared" ref="T390:T405" si="95">IF(Q390=Lbl_Viol,IF(I390&gt;Expired_Days,Lbl_Expired,Lbl_Late),"")</f>
        <v/>
      </c>
      <c r="U390" s="42" t="str">
        <f t="shared" ref="U390:U405" si="96">IF(R390=Lbl_Comp,"",IF(SUMPRODUCT((J390:Q390=Lbl_Viol)*(J$4:Q$4=Lbl_Definite))&gt;0,Lbl_Definite,Lbl_Assumption))</f>
        <v/>
      </c>
      <c r="V390" s="42" t="str">
        <f t="shared" ref="V390:V405" si="97">IF(L390=Lbl_Viol,ROUNDUP(E390/INDEX(Caps_Metro,MATCH(B390,Caps_Grade,0)),0),IF(M390=Lbl_Viol,ROUNDUP(E390/INDEX(Caps_NonMetro,MATCH(B390,Caps_Grade,0)),0),IF(N390=Lbl_Viol,ROUNDUP(E390/IF(D390=Lbl_Metro,Limit_Metro,Limit_NonMetro),0),"")))</f>
        <v/>
      </c>
      <c r="W390" s="42" t="str">
        <f t="shared" ref="W390:W405" si="98">IF(OR(L390=Lbl_Viol,M390=Lbl_Viol),Lbl_NeedNights,IF(N390=Lbl_Viol,Lbl_NeedDays,IF(K390=Lbl_Viol,Lbl_NeedApproval,"")))</f>
        <v/>
      </c>
    </row>
    <row r="391" spans="1:23" ht="15" hidden="1" customHeight="1" x14ac:dyDescent="0.25">
      <c r="A391" s="36" t="str">
        <f>Claims!A387</f>
        <v>EXP00386</v>
      </c>
      <c r="B391" s="36" t="str">
        <f>Claims!D387</f>
        <v>M1</v>
      </c>
      <c r="C391" s="36" t="str">
        <f>Claims!E387</f>
        <v>Local Cab</v>
      </c>
      <c r="D391" s="36" t="str">
        <f>Claims!G387</f>
        <v>Metro</v>
      </c>
      <c r="E391" s="40">
        <f>Claims!H387</f>
        <v>1156</v>
      </c>
      <c r="F391" s="36" t="str">
        <f>Claims!K387</f>
        <v>Yes</v>
      </c>
      <c r="G391" s="36" t="str">
        <f>IF(Claims!M387="","",Claims!M387)</f>
        <v/>
      </c>
      <c r="H391" s="36" t="str">
        <f>IF(Claims!N387="","",Claims!N387)</f>
        <v/>
      </c>
      <c r="I391" s="41">
        <f>Claims!J387-Claims!I387</f>
        <v>5</v>
      </c>
      <c r="J391" s="42" t="str">
        <f t="shared" si="85"/>
        <v>n/a</v>
      </c>
      <c r="K391" s="42" t="str">
        <f t="shared" si="86"/>
        <v>n/a</v>
      </c>
      <c r="L391" s="42" t="str">
        <f t="shared" si="87"/>
        <v>n/a</v>
      </c>
      <c r="M391" s="42" t="str">
        <f t="shared" si="88"/>
        <v>n/a</v>
      </c>
      <c r="N391" s="42" t="str">
        <f t="shared" si="89"/>
        <v>n/a</v>
      </c>
      <c r="O391" s="42" t="str">
        <f t="shared" si="90"/>
        <v>n/a</v>
      </c>
      <c r="P391" s="42" t="str">
        <f t="shared" si="91"/>
        <v>Compliant</v>
      </c>
      <c r="Q391" s="42" t="str">
        <f t="shared" si="92"/>
        <v>Compliant</v>
      </c>
      <c r="R391" s="42" t="str">
        <f t="shared" si="93"/>
        <v>Compliant</v>
      </c>
      <c r="S391" s="36" t="str">
        <f t="shared" si="94"/>
        <v/>
      </c>
      <c r="T391" s="42" t="str">
        <f t="shared" si="95"/>
        <v/>
      </c>
      <c r="U391" s="42" t="str">
        <f t="shared" si="96"/>
        <v/>
      </c>
      <c r="V391" s="42" t="str">
        <f t="shared" si="97"/>
        <v/>
      </c>
      <c r="W391" s="42" t="str">
        <f t="shared" si="98"/>
        <v/>
      </c>
    </row>
    <row r="392" spans="1:23" ht="15" hidden="1" customHeight="1" x14ac:dyDescent="0.25">
      <c r="A392" s="36" t="str">
        <f>Claims!A388</f>
        <v>EXP00387</v>
      </c>
      <c r="B392" s="36" t="str">
        <f>Claims!D388</f>
        <v>M1</v>
      </c>
      <c r="C392" s="36" t="str">
        <f>Claims!E388</f>
        <v>Flight</v>
      </c>
      <c r="D392" s="36" t="str">
        <f>Claims!G388</f>
        <v>Metro</v>
      </c>
      <c r="E392" s="40">
        <f>Claims!H388</f>
        <v>21921</v>
      </c>
      <c r="F392" s="36" t="str">
        <f>Claims!K388</f>
        <v>Yes</v>
      </c>
      <c r="G392" s="36">
        <f>IF(Claims!M388="","",Claims!M388)</f>
        <v>19</v>
      </c>
      <c r="H392" s="36" t="str">
        <f>IF(Claims!N388="","",Claims!N388)</f>
        <v>Economy</v>
      </c>
      <c r="I392" s="41">
        <f>Claims!J388-Claims!I388</f>
        <v>5</v>
      </c>
      <c r="J392" s="42" t="str">
        <f t="shared" si="85"/>
        <v>Compliant</v>
      </c>
      <c r="K392" s="42" t="str">
        <f t="shared" si="86"/>
        <v>Compliant</v>
      </c>
      <c r="L392" s="42" t="str">
        <f t="shared" si="87"/>
        <v>n/a</v>
      </c>
      <c r="M392" s="42" t="str">
        <f t="shared" si="88"/>
        <v>n/a</v>
      </c>
      <c r="N392" s="42" t="str">
        <f t="shared" si="89"/>
        <v>n/a</v>
      </c>
      <c r="O392" s="42" t="str">
        <f t="shared" si="90"/>
        <v>n/a</v>
      </c>
      <c r="P392" s="42" t="str">
        <f t="shared" si="91"/>
        <v>Compliant</v>
      </c>
      <c r="Q392" s="42" t="str">
        <f t="shared" si="92"/>
        <v>Compliant</v>
      </c>
      <c r="R392" s="42" t="str">
        <f t="shared" si="93"/>
        <v>Compliant</v>
      </c>
      <c r="S392" s="36" t="str">
        <f t="shared" si="94"/>
        <v/>
      </c>
      <c r="T392" s="42" t="str">
        <f t="shared" si="95"/>
        <v/>
      </c>
      <c r="U392" s="42" t="str">
        <f t="shared" si="96"/>
        <v/>
      </c>
      <c r="V392" s="42" t="str">
        <f t="shared" si="97"/>
        <v/>
      </c>
      <c r="W392" s="42" t="str">
        <f t="shared" si="98"/>
        <v/>
      </c>
    </row>
    <row r="393" spans="1:23" ht="15" hidden="1" customHeight="1" x14ac:dyDescent="0.25">
      <c r="A393" s="36" t="str">
        <f>Claims!A389</f>
        <v>EXP00388</v>
      </c>
      <c r="B393" s="36" t="str">
        <f>Claims!D389</f>
        <v>M2</v>
      </c>
      <c r="C393" s="36" t="str">
        <f>Claims!E389</f>
        <v>Meals/DA</v>
      </c>
      <c r="D393" s="36" t="str">
        <f>Claims!G389</f>
        <v>Non-metro</v>
      </c>
      <c r="E393" s="40">
        <f>Claims!H389</f>
        <v>954</v>
      </c>
      <c r="F393" s="36" t="str">
        <f>Claims!K389</f>
        <v>Yes</v>
      </c>
      <c r="G393" s="36" t="str">
        <f>IF(Claims!M389="","",Claims!M389)</f>
        <v/>
      </c>
      <c r="H393" s="36" t="str">
        <f>IF(Claims!N389="","",Claims!N389)</f>
        <v/>
      </c>
      <c r="I393" s="41">
        <f>Claims!J389-Claims!I389</f>
        <v>9</v>
      </c>
      <c r="J393" s="42" t="str">
        <f t="shared" si="85"/>
        <v>n/a</v>
      </c>
      <c r="K393" s="42" t="str">
        <f t="shared" si="86"/>
        <v>n/a</v>
      </c>
      <c r="L393" s="42" t="str">
        <f t="shared" si="87"/>
        <v>n/a</v>
      </c>
      <c r="M393" s="42" t="str">
        <f t="shared" si="88"/>
        <v>n/a</v>
      </c>
      <c r="N393" s="42" t="str">
        <f t="shared" si="89"/>
        <v>Violation</v>
      </c>
      <c r="O393" s="42" t="str">
        <f t="shared" si="90"/>
        <v>n/a</v>
      </c>
      <c r="P393" s="42" t="str">
        <f t="shared" si="91"/>
        <v>Compliant</v>
      </c>
      <c r="Q393" s="42" t="str">
        <f t="shared" si="92"/>
        <v>Compliant</v>
      </c>
      <c r="R393" s="42" t="str">
        <f t="shared" si="93"/>
        <v>Violation</v>
      </c>
      <c r="S393" s="36" t="str">
        <f t="shared" si="94"/>
        <v>TP-06</v>
      </c>
      <c r="T393" s="42" t="str">
        <f t="shared" si="95"/>
        <v/>
      </c>
      <c r="U393" s="42" t="str">
        <f t="shared" si="96"/>
        <v>Assumption-based</v>
      </c>
      <c r="V393" s="42">
        <f t="shared" si="97"/>
        <v>2</v>
      </c>
      <c r="W393" s="42" t="str">
        <f t="shared" si="98"/>
        <v>Needs days</v>
      </c>
    </row>
    <row r="394" spans="1:23" ht="15" hidden="1" customHeight="1" x14ac:dyDescent="0.25">
      <c r="A394" s="36" t="str">
        <f>Claims!A390</f>
        <v>EXP00389</v>
      </c>
      <c r="B394" s="36" t="str">
        <f>Claims!D390</f>
        <v>M1</v>
      </c>
      <c r="C394" s="36" t="str">
        <f>Claims!E390</f>
        <v>Meals/DA</v>
      </c>
      <c r="D394" s="36" t="str">
        <f>Claims!G390</f>
        <v>Non-metro</v>
      </c>
      <c r="E394" s="40">
        <f>Claims!H390</f>
        <v>851</v>
      </c>
      <c r="F394" s="36" t="str">
        <f>Claims!K390</f>
        <v>Yes</v>
      </c>
      <c r="G394" s="36" t="str">
        <f>IF(Claims!M390="","",Claims!M390)</f>
        <v/>
      </c>
      <c r="H394" s="36" t="str">
        <f>IF(Claims!N390="","",Claims!N390)</f>
        <v/>
      </c>
      <c r="I394" s="41">
        <f>Claims!J390-Claims!I390</f>
        <v>20</v>
      </c>
      <c r="J394" s="42" t="str">
        <f t="shared" si="85"/>
        <v>n/a</v>
      </c>
      <c r="K394" s="42" t="str">
        <f t="shared" si="86"/>
        <v>n/a</v>
      </c>
      <c r="L394" s="42" t="str">
        <f t="shared" si="87"/>
        <v>n/a</v>
      </c>
      <c r="M394" s="42" t="str">
        <f t="shared" si="88"/>
        <v>n/a</v>
      </c>
      <c r="N394" s="42" t="str">
        <f t="shared" si="89"/>
        <v>Compliant</v>
      </c>
      <c r="O394" s="42" t="str">
        <f t="shared" si="90"/>
        <v>n/a</v>
      </c>
      <c r="P394" s="42" t="str">
        <f t="shared" si="91"/>
        <v>Compliant</v>
      </c>
      <c r="Q394" s="42" t="str">
        <f t="shared" si="92"/>
        <v>Violation</v>
      </c>
      <c r="R394" s="42" t="str">
        <f t="shared" si="93"/>
        <v>Violation</v>
      </c>
      <c r="S394" s="36" t="str">
        <f t="shared" si="94"/>
        <v>TP-10</v>
      </c>
      <c r="T394" s="42" t="str">
        <f t="shared" si="95"/>
        <v>Late</v>
      </c>
      <c r="U394" s="42" t="str">
        <f t="shared" si="96"/>
        <v>Definite</v>
      </c>
      <c r="V394" s="42" t="str">
        <f t="shared" si="97"/>
        <v/>
      </c>
      <c r="W394" s="42" t="str">
        <f t="shared" si="98"/>
        <v/>
      </c>
    </row>
    <row r="395" spans="1:23" ht="15" hidden="1" customHeight="1" x14ac:dyDescent="0.25">
      <c r="A395" s="36" t="str">
        <f>Claims!A391</f>
        <v>EXP00390</v>
      </c>
      <c r="B395" s="36" t="str">
        <f>Claims!D391</f>
        <v>M2</v>
      </c>
      <c r="C395" s="36" t="str">
        <f>Claims!E391</f>
        <v>Local Cab</v>
      </c>
      <c r="D395" s="36" t="str">
        <f>Claims!G391</f>
        <v>Non-metro</v>
      </c>
      <c r="E395" s="40">
        <f>Claims!H391</f>
        <v>760</v>
      </c>
      <c r="F395" s="36" t="str">
        <f>Claims!K391</f>
        <v>Yes</v>
      </c>
      <c r="G395" s="36" t="str">
        <f>IF(Claims!M391="","",Claims!M391)</f>
        <v/>
      </c>
      <c r="H395" s="36" t="str">
        <f>IF(Claims!N391="","",Claims!N391)</f>
        <v/>
      </c>
      <c r="I395" s="41">
        <f>Claims!J391-Claims!I391</f>
        <v>5</v>
      </c>
      <c r="J395" s="42" t="str">
        <f t="shared" si="85"/>
        <v>n/a</v>
      </c>
      <c r="K395" s="42" t="str">
        <f t="shared" si="86"/>
        <v>n/a</v>
      </c>
      <c r="L395" s="42" t="str">
        <f t="shared" si="87"/>
        <v>n/a</v>
      </c>
      <c r="M395" s="42" t="str">
        <f t="shared" si="88"/>
        <v>n/a</v>
      </c>
      <c r="N395" s="42" t="str">
        <f t="shared" si="89"/>
        <v>n/a</v>
      </c>
      <c r="O395" s="42" t="str">
        <f t="shared" si="90"/>
        <v>n/a</v>
      </c>
      <c r="P395" s="42" t="str">
        <f t="shared" si="91"/>
        <v>Compliant</v>
      </c>
      <c r="Q395" s="42" t="str">
        <f t="shared" si="92"/>
        <v>Compliant</v>
      </c>
      <c r="R395" s="42" t="str">
        <f t="shared" si="93"/>
        <v>Compliant</v>
      </c>
      <c r="S395" s="36" t="str">
        <f t="shared" si="94"/>
        <v/>
      </c>
      <c r="T395" s="42" t="str">
        <f t="shared" si="95"/>
        <v/>
      </c>
      <c r="U395" s="42" t="str">
        <f t="shared" si="96"/>
        <v/>
      </c>
      <c r="V395" s="42" t="str">
        <f t="shared" si="97"/>
        <v/>
      </c>
      <c r="W395" s="42" t="str">
        <f t="shared" si="98"/>
        <v/>
      </c>
    </row>
    <row r="396" spans="1:23" ht="15" hidden="1" customHeight="1" x14ac:dyDescent="0.25">
      <c r="A396" s="36" t="str">
        <f>Claims!A392</f>
        <v>EXP00391</v>
      </c>
      <c r="B396" s="36" t="str">
        <f>Claims!D392</f>
        <v>M1</v>
      </c>
      <c r="C396" s="36" t="str">
        <f>Claims!E392</f>
        <v>Local Cab</v>
      </c>
      <c r="D396" s="36" t="str">
        <f>Claims!G392</f>
        <v>Metro</v>
      </c>
      <c r="E396" s="40">
        <f>Claims!H392</f>
        <v>1387</v>
      </c>
      <c r="F396" s="36" t="str">
        <f>Claims!K392</f>
        <v>No</v>
      </c>
      <c r="G396" s="36" t="str">
        <f>IF(Claims!M392="","",Claims!M392)</f>
        <v/>
      </c>
      <c r="H396" s="36" t="str">
        <f>IF(Claims!N392="","",Claims!N392)</f>
        <v/>
      </c>
      <c r="I396" s="41">
        <f>Claims!J392-Claims!I392</f>
        <v>20</v>
      </c>
      <c r="J396" s="42" t="str">
        <f t="shared" si="85"/>
        <v>n/a</v>
      </c>
      <c r="K396" s="42" t="str">
        <f t="shared" si="86"/>
        <v>n/a</v>
      </c>
      <c r="L396" s="42" t="str">
        <f t="shared" si="87"/>
        <v>n/a</v>
      </c>
      <c r="M396" s="42" t="str">
        <f t="shared" si="88"/>
        <v>n/a</v>
      </c>
      <c r="N396" s="42" t="str">
        <f t="shared" si="89"/>
        <v>n/a</v>
      </c>
      <c r="O396" s="42" t="str">
        <f t="shared" si="90"/>
        <v>n/a</v>
      </c>
      <c r="P396" s="42" t="str">
        <f t="shared" si="91"/>
        <v>Violation</v>
      </c>
      <c r="Q396" s="42" t="str">
        <f t="shared" si="92"/>
        <v>Violation</v>
      </c>
      <c r="R396" s="42" t="str">
        <f t="shared" si="93"/>
        <v>Violation</v>
      </c>
      <c r="S396" s="36" t="str">
        <f t="shared" si="94"/>
        <v>TP-09, TP-10</v>
      </c>
      <c r="T396" s="42" t="str">
        <f t="shared" si="95"/>
        <v>Late</v>
      </c>
      <c r="U396" s="42" t="str">
        <f t="shared" si="96"/>
        <v>Definite</v>
      </c>
      <c r="V396" s="42" t="str">
        <f t="shared" si="97"/>
        <v/>
      </c>
      <c r="W396" s="42" t="str">
        <f t="shared" si="98"/>
        <v/>
      </c>
    </row>
    <row r="397" spans="1:23" ht="15" hidden="1" customHeight="1" x14ac:dyDescent="0.25">
      <c r="A397" s="36" t="str">
        <f>Claims!A393</f>
        <v>EXP00392</v>
      </c>
      <c r="B397" s="36" t="str">
        <f>Claims!D393</f>
        <v>M1</v>
      </c>
      <c r="C397" s="36" t="str">
        <f>Claims!E393</f>
        <v>Meals/DA</v>
      </c>
      <c r="D397" s="36" t="str">
        <f>Claims!G393</f>
        <v>Metro</v>
      </c>
      <c r="E397" s="40">
        <f>Claims!H393</f>
        <v>662</v>
      </c>
      <c r="F397" s="36" t="str">
        <f>Claims!K393</f>
        <v>Yes</v>
      </c>
      <c r="G397" s="36" t="str">
        <f>IF(Claims!M393="","",Claims!M393)</f>
        <v/>
      </c>
      <c r="H397" s="36" t="str">
        <f>IF(Claims!N393="","",Claims!N393)</f>
        <v/>
      </c>
      <c r="I397" s="41">
        <f>Claims!J393-Claims!I393</f>
        <v>2</v>
      </c>
      <c r="J397" s="42" t="str">
        <f t="shared" si="85"/>
        <v>n/a</v>
      </c>
      <c r="K397" s="42" t="str">
        <f t="shared" si="86"/>
        <v>n/a</v>
      </c>
      <c r="L397" s="42" t="str">
        <f t="shared" si="87"/>
        <v>n/a</v>
      </c>
      <c r="M397" s="42" t="str">
        <f t="shared" si="88"/>
        <v>n/a</v>
      </c>
      <c r="N397" s="42" t="str">
        <f t="shared" si="89"/>
        <v>Compliant</v>
      </c>
      <c r="O397" s="42" t="str">
        <f t="shared" si="90"/>
        <v>n/a</v>
      </c>
      <c r="P397" s="42" t="str">
        <f t="shared" si="91"/>
        <v>Compliant</v>
      </c>
      <c r="Q397" s="42" t="str">
        <f t="shared" si="92"/>
        <v>Compliant</v>
      </c>
      <c r="R397" s="42" t="str">
        <f t="shared" si="93"/>
        <v>Compliant</v>
      </c>
      <c r="S397" s="36" t="str">
        <f t="shared" si="94"/>
        <v/>
      </c>
      <c r="T397" s="42" t="str">
        <f t="shared" si="95"/>
        <v/>
      </c>
      <c r="U397" s="42" t="str">
        <f t="shared" si="96"/>
        <v/>
      </c>
      <c r="V397" s="42" t="str">
        <f t="shared" si="97"/>
        <v/>
      </c>
      <c r="W397" s="42" t="str">
        <f t="shared" si="98"/>
        <v/>
      </c>
    </row>
    <row r="398" spans="1:23" ht="15" hidden="1" customHeight="1" x14ac:dyDescent="0.25">
      <c r="A398" s="36" t="str">
        <f>Claims!A394</f>
        <v>EXP00393</v>
      </c>
      <c r="B398" s="36" t="str">
        <f>Claims!D394</f>
        <v>M2</v>
      </c>
      <c r="C398" s="36" t="str">
        <f>Claims!E394</f>
        <v>Train</v>
      </c>
      <c r="D398" s="36" t="str">
        <f>Claims!G394</f>
        <v>Non-metro</v>
      </c>
      <c r="E398" s="40">
        <f>Claims!H394</f>
        <v>2731</v>
      </c>
      <c r="F398" s="36" t="str">
        <f>Claims!K394</f>
        <v>Yes</v>
      </c>
      <c r="G398" s="36" t="str">
        <f>IF(Claims!M394="","",Claims!M394)</f>
        <v/>
      </c>
      <c r="H398" s="36" t="str">
        <f>IF(Claims!N394="","",Claims!N394)</f>
        <v/>
      </c>
      <c r="I398" s="41">
        <f>Claims!J394-Claims!I394</f>
        <v>2</v>
      </c>
      <c r="J398" s="42" t="str">
        <f t="shared" si="85"/>
        <v>n/a</v>
      </c>
      <c r="K398" s="42" t="str">
        <f t="shared" si="86"/>
        <v>n/a</v>
      </c>
      <c r="L398" s="42" t="str">
        <f t="shared" si="87"/>
        <v>n/a</v>
      </c>
      <c r="M398" s="42" t="str">
        <f t="shared" si="88"/>
        <v>n/a</v>
      </c>
      <c r="N398" s="42" t="str">
        <f t="shared" si="89"/>
        <v>n/a</v>
      </c>
      <c r="O398" s="42" t="str">
        <f t="shared" si="90"/>
        <v>n/a</v>
      </c>
      <c r="P398" s="42" t="str">
        <f t="shared" si="91"/>
        <v>Compliant</v>
      </c>
      <c r="Q398" s="42" t="str">
        <f t="shared" si="92"/>
        <v>Compliant</v>
      </c>
      <c r="R398" s="42" t="str">
        <f t="shared" si="93"/>
        <v>Compliant</v>
      </c>
      <c r="S398" s="36" t="str">
        <f t="shared" si="94"/>
        <v/>
      </c>
      <c r="T398" s="42" t="str">
        <f t="shared" si="95"/>
        <v/>
      </c>
      <c r="U398" s="42" t="str">
        <f t="shared" si="96"/>
        <v/>
      </c>
      <c r="V398" s="42" t="str">
        <f t="shared" si="97"/>
        <v/>
      </c>
      <c r="W398" s="42" t="str">
        <f t="shared" si="98"/>
        <v/>
      </c>
    </row>
    <row r="399" spans="1:23" ht="15" hidden="1" customHeight="1" x14ac:dyDescent="0.25">
      <c r="A399" s="36" t="str">
        <f>Claims!A395</f>
        <v>EXP00394</v>
      </c>
      <c r="B399" s="36" t="str">
        <f>Claims!D395</f>
        <v>M1</v>
      </c>
      <c r="C399" s="36" t="str">
        <f>Claims!E395</f>
        <v>Hotel</v>
      </c>
      <c r="D399" s="36" t="str">
        <f>Claims!G395</f>
        <v>Non-metro</v>
      </c>
      <c r="E399" s="40">
        <f>Claims!H395</f>
        <v>15675</v>
      </c>
      <c r="F399" s="36" t="str">
        <f>Claims!K395</f>
        <v>No</v>
      </c>
      <c r="G399" s="36" t="str">
        <f>IF(Claims!M395="","",Claims!M395)</f>
        <v/>
      </c>
      <c r="H399" s="36" t="str">
        <f>IF(Claims!N395="","",Claims!N395)</f>
        <v/>
      </c>
      <c r="I399" s="41">
        <f>Claims!J395-Claims!I395</f>
        <v>9</v>
      </c>
      <c r="J399" s="42" t="str">
        <f t="shared" si="85"/>
        <v>n/a</v>
      </c>
      <c r="K399" s="42" t="str">
        <f t="shared" si="86"/>
        <v>n/a</v>
      </c>
      <c r="L399" s="42" t="str">
        <f t="shared" si="87"/>
        <v>n/a</v>
      </c>
      <c r="M399" s="42" t="str">
        <f t="shared" si="88"/>
        <v>Violation</v>
      </c>
      <c r="N399" s="42" t="str">
        <f t="shared" si="89"/>
        <v>n/a</v>
      </c>
      <c r="O399" s="42" t="str">
        <f t="shared" si="90"/>
        <v>n/a</v>
      </c>
      <c r="P399" s="42" t="str">
        <f t="shared" si="91"/>
        <v>Violation</v>
      </c>
      <c r="Q399" s="42" t="str">
        <f t="shared" si="92"/>
        <v>Compliant</v>
      </c>
      <c r="R399" s="42" t="str">
        <f t="shared" si="93"/>
        <v>Violation</v>
      </c>
      <c r="S399" s="36" t="str">
        <f t="shared" si="94"/>
        <v>TP-05, TP-09</v>
      </c>
      <c r="T399" s="42" t="str">
        <f t="shared" si="95"/>
        <v/>
      </c>
      <c r="U399" s="42" t="str">
        <f t="shared" si="96"/>
        <v>Definite</v>
      </c>
      <c r="V399" s="42">
        <f t="shared" si="97"/>
        <v>4</v>
      </c>
      <c r="W399" s="42" t="str">
        <f t="shared" si="98"/>
        <v>Needs nights</v>
      </c>
    </row>
    <row r="400" spans="1:23" ht="15" hidden="1" customHeight="1" x14ac:dyDescent="0.25">
      <c r="A400" s="36" t="str">
        <f>Claims!A396</f>
        <v>EXP00395</v>
      </c>
      <c r="B400" s="36" t="str">
        <f>Claims!D396</f>
        <v>M1</v>
      </c>
      <c r="C400" s="36" t="str">
        <f>Claims!E396</f>
        <v>Alcohol</v>
      </c>
      <c r="D400" s="36" t="str">
        <f>Claims!G396</f>
        <v>Non-metro</v>
      </c>
      <c r="E400" s="40">
        <f>Claims!H396</f>
        <v>4929</v>
      </c>
      <c r="F400" s="36" t="str">
        <f>Claims!K396</f>
        <v>Yes</v>
      </c>
      <c r="G400" s="36" t="str">
        <f>IF(Claims!M396="","",Claims!M396)</f>
        <v/>
      </c>
      <c r="H400" s="36" t="str">
        <f>IF(Claims!N396="","",Claims!N396)</f>
        <v/>
      </c>
      <c r="I400" s="41">
        <f>Claims!J396-Claims!I396</f>
        <v>5</v>
      </c>
      <c r="J400" s="42" t="str">
        <f t="shared" si="85"/>
        <v>n/a</v>
      </c>
      <c r="K400" s="42" t="str">
        <f t="shared" si="86"/>
        <v>n/a</v>
      </c>
      <c r="L400" s="42" t="str">
        <f t="shared" si="87"/>
        <v>n/a</v>
      </c>
      <c r="M400" s="42" t="str">
        <f t="shared" si="88"/>
        <v>n/a</v>
      </c>
      <c r="N400" s="42" t="str">
        <f t="shared" si="89"/>
        <v>n/a</v>
      </c>
      <c r="O400" s="42" t="str">
        <f t="shared" si="90"/>
        <v>Violation</v>
      </c>
      <c r="P400" s="42" t="str">
        <f t="shared" si="91"/>
        <v>Compliant</v>
      </c>
      <c r="Q400" s="42" t="str">
        <f t="shared" si="92"/>
        <v>Compliant</v>
      </c>
      <c r="R400" s="42" t="str">
        <f t="shared" si="93"/>
        <v>Violation</v>
      </c>
      <c r="S400" s="36" t="str">
        <f t="shared" si="94"/>
        <v>TP-08</v>
      </c>
      <c r="T400" s="42" t="str">
        <f t="shared" si="95"/>
        <v/>
      </c>
      <c r="U400" s="42" t="str">
        <f t="shared" si="96"/>
        <v>Definite</v>
      </c>
      <c r="V400" s="42" t="str">
        <f t="shared" si="97"/>
        <v/>
      </c>
      <c r="W400" s="42" t="str">
        <f t="shared" si="98"/>
        <v/>
      </c>
    </row>
    <row r="401" spans="1:23" ht="15" hidden="1" customHeight="1" x14ac:dyDescent="0.25">
      <c r="A401" s="36" t="str">
        <f>Claims!A397</f>
        <v>EXP00396</v>
      </c>
      <c r="B401" s="36" t="str">
        <f>Claims!D397</f>
        <v>M3</v>
      </c>
      <c r="C401" s="36" t="str">
        <f>Claims!E397</f>
        <v>Client Entertainment</v>
      </c>
      <c r="D401" s="36" t="str">
        <f>Claims!G397</f>
        <v>Metro</v>
      </c>
      <c r="E401" s="40">
        <f>Claims!H397</f>
        <v>6860</v>
      </c>
      <c r="F401" s="36" t="str">
        <f>Claims!K397</f>
        <v>Yes</v>
      </c>
      <c r="G401" s="36" t="str">
        <f>IF(Claims!M397="","",Claims!M397)</f>
        <v/>
      </c>
      <c r="H401" s="36" t="str">
        <f>IF(Claims!N397="","",Claims!N397)</f>
        <v/>
      </c>
      <c r="I401" s="41">
        <f>Claims!J397-Claims!I397</f>
        <v>5</v>
      </c>
      <c r="J401" s="42" t="str">
        <f t="shared" si="85"/>
        <v>n/a</v>
      </c>
      <c r="K401" s="42" t="str">
        <f t="shared" si="86"/>
        <v>n/a</v>
      </c>
      <c r="L401" s="42" t="str">
        <f t="shared" si="87"/>
        <v>n/a</v>
      </c>
      <c r="M401" s="42" t="str">
        <f t="shared" si="88"/>
        <v>n/a</v>
      </c>
      <c r="N401" s="42" t="str">
        <f t="shared" si="89"/>
        <v>n/a</v>
      </c>
      <c r="O401" s="42" t="str">
        <f t="shared" si="90"/>
        <v>n/a</v>
      </c>
      <c r="P401" s="42" t="str">
        <f t="shared" si="91"/>
        <v>Compliant</v>
      </c>
      <c r="Q401" s="42" t="str">
        <f t="shared" si="92"/>
        <v>Compliant</v>
      </c>
      <c r="R401" s="42" t="str">
        <f t="shared" si="93"/>
        <v>Compliant</v>
      </c>
      <c r="S401" s="36" t="str">
        <f t="shared" si="94"/>
        <v/>
      </c>
      <c r="T401" s="42" t="str">
        <f t="shared" si="95"/>
        <v/>
      </c>
      <c r="U401" s="42" t="str">
        <f t="shared" si="96"/>
        <v/>
      </c>
      <c r="V401" s="42" t="str">
        <f t="shared" si="97"/>
        <v/>
      </c>
      <c r="W401" s="42" t="str">
        <f t="shared" si="98"/>
        <v/>
      </c>
    </row>
    <row r="402" spans="1:23" ht="15" hidden="1" customHeight="1" x14ac:dyDescent="0.25">
      <c r="A402" s="36" t="str">
        <f>Claims!A398</f>
        <v>EXP00397</v>
      </c>
      <c r="B402" s="36" t="str">
        <f>Claims!D398</f>
        <v>M1</v>
      </c>
      <c r="C402" s="36" t="str">
        <f>Claims!E398</f>
        <v>Hotel</v>
      </c>
      <c r="D402" s="36" t="str">
        <f>Claims!G398</f>
        <v>Non-metro</v>
      </c>
      <c r="E402" s="40">
        <f>Claims!H398</f>
        <v>9475</v>
      </c>
      <c r="F402" s="36" t="str">
        <f>Claims!K398</f>
        <v>Yes</v>
      </c>
      <c r="G402" s="36" t="str">
        <f>IF(Claims!M398="","",Claims!M398)</f>
        <v/>
      </c>
      <c r="H402" s="36" t="str">
        <f>IF(Claims!N398="","",Claims!N398)</f>
        <v/>
      </c>
      <c r="I402" s="41">
        <f>Claims!J398-Claims!I398</f>
        <v>14</v>
      </c>
      <c r="J402" s="42" t="str">
        <f t="shared" si="85"/>
        <v>n/a</v>
      </c>
      <c r="K402" s="42" t="str">
        <f t="shared" si="86"/>
        <v>n/a</v>
      </c>
      <c r="L402" s="42" t="str">
        <f t="shared" si="87"/>
        <v>n/a</v>
      </c>
      <c r="M402" s="42" t="str">
        <f t="shared" si="88"/>
        <v>Violation</v>
      </c>
      <c r="N402" s="42" t="str">
        <f t="shared" si="89"/>
        <v>n/a</v>
      </c>
      <c r="O402" s="42" t="str">
        <f t="shared" si="90"/>
        <v>n/a</v>
      </c>
      <c r="P402" s="42" t="str">
        <f t="shared" si="91"/>
        <v>Compliant</v>
      </c>
      <c r="Q402" s="42" t="str">
        <f t="shared" si="92"/>
        <v>Compliant</v>
      </c>
      <c r="R402" s="42" t="str">
        <f t="shared" si="93"/>
        <v>Violation</v>
      </c>
      <c r="S402" s="36" t="str">
        <f t="shared" si="94"/>
        <v>TP-05</v>
      </c>
      <c r="T402" s="42" t="str">
        <f t="shared" si="95"/>
        <v/>
      </c>
      <c r="U402" s="42" t="str">
        <f t="shared" si="96"/>
        <v>Assumption-based</v>
      </c>
      <c r="V402" s="42">
        <f t="shared" si="97"/>
        <v>3</v>
      </c>
      <c r="W402" s="42" t="str">
        <f t="shared" si="98"/>
        <v>Needs nights</v>
      </c>
    </row>
    <row r="403" spans="1:23" ht="15" hidden="1" customHeight="1" x14ac:dyDescent="0.25">
      <c r="A403" s="36" t="str">
        <f>Claims!A399</f>
        <v>EXP00398</v>
      </c>
      <c r="B403" s="36" t="str">
        <f>Claims!D399</f>
        <v>M1</v>
      </c>
      <c r="C403" s="36" t="str">
        <f>Claims!E399</f>
        <v>Train</v>
      </c>
      <c r="D403" s="36" t="str">
        <f>Claims!G399</f>
        <v>Non-metro</v>
      </c>
      <c r="E403" s="40">
        <f>Claims!H399</f>
        <v>2235</v>
      </c>
      <c r="F403" s="36" t="str">
        <f>Claims!K399</f>
        <v>Yes</v>
      </c>
      <c r="G403" s="36" t="str">
        <f>IF(Claims!M399="","",Claims!M399)</f>
        <v/>
      </c>
      <c r="H403" s="36" t="str">
        <f>IF(Claims!N399="","",Claims!N399)</f>
        <v/>
      </c>
      <c r="I403" s="41">
        <f>Claims!J399-Claims!I399</f>
        <v>5</v>
      </c>
      <c r="J403" s="42" t="str">
        <f t="shared" si="85"/>
        <v>n/a</v>
      </c>
      <c r="K403" s="42" t="str">
        <f t="shared" si="86"/>
        <v>n/a</v>
      </c>
      <c r="L403" s="42" t="str">
        <f t="shared" si="87"/>
        <v>n/a</v>
      </c>
      <c r="M403" s="42" t="str">
        <f t="shared" si="88"/>
        <v>n/a</v>
      </c>
      <c r="N403" s="42" t="str">
        <f t="shared" si="89"/>
        <v>n/a</v>
      </c>
      <c r="O403" s="42" t="str">
        <f t="shared" si="90"/>
        <v>n/a</v>
      </c>
      <c r="P403" s="42" t="str">
        <f t="shared" si="91"/>
        <v>Compliant</v>
      </c>
      <c r="Q403" s="42" t="str">
        <f t="shared" si="92"/>
        <v>Compliant</v>
      </c>
      <c r="R403" s="42" t="str">
        <f t="shared" si="93"/>
        <v>Compliant</v>
      </c>
      <c r="S403" s="36" t="str">
        <f t="shared" si="94"/>
        <v/>
      </c>
      <c r="T403" s="42" t="str">
        <f t="shared" si="95"/>
        <v/>
      </c>
      <c r="U403" s="42" t="str">
        <f t="shared" si="96"/>
        <v/>
      </c>
      <c r="V403" s="42" t="str">
        <f t="shared" si="97"/>
        <v/>
      </c>
      <c r="W403" s="42" t="str">
        <f t="shared" si="98"/>
        <v/>
      </c>
    </row>
    <row r="404" spans="1:23" ht="15" hidden="1" customHeight="1" x14ac:dyDescent="0.25">
      <c r="A404" s="36" t="str">
        <f>Claims!A400</f>
        <v>EXP00399</v>
      </c>
      <c r="B404" s="36" t="str">
        <f>Claims!D400</f>
        <v>M4</v>
      </c>
      <c r="C404" s="36" t="str">
        <f>Claims!E400</f>
        <v>Meals/DA</v>
      </c>
      <c r="D404" s="36" t="str">
        <f>Claims!G400</f>
        <v>Metro</v>
      </c>
      <c r="E404" s="40">
        <f>Claims!H400</f>
        <v>2016</v>
      </c>
      <c r="F404" s="36" t="str">
        <f>Claims!K400</f>
        <v>No</v>
      </c>
      <c r="G404" s="36" t="str">
        <f>IF(Claims!M400="","",Claims!M400)</f>
        <v/>
      </c>
      <c r="H404" s="36" t="str">
        <f>IF(Claims!N400="","",Claims!N400)</f>
        <v/>
      </c>
      <c r="I404" s="41">
        <f>Claims!J400-Claims!I400</f>
        <v>5</v>
      </c>
      <c r="J404" s="42" t="str">
        <f t="shared" si="85"/>
        <v>n/a</v>
      </c>
      <c r="K404" s="42" t="str">
        <f t="shared" si="86"/>
        <v>n/a</v>
      </c>
      <c r="L404" s="42" t="str">
        <f t="shared" si="87"/>
        <v>n/a</v>
      </c>
      <c r="M404" s="42" t="str">
        <f t="shared" si="88"/>
        <v>n/a</v>
      </c>
      <c r="N404" s="42" t="str">
        <f t="shared" si="89"/>
        <v>Violation</v>
      </c>
      <c r="O404" s="42" t="str">
        <f t="shared" si="90"/>
        <v>n/a</v>
      </c>
      <c r="P404" s="42" t="str">
        <f t="shared" si="91"/>
        <v>Violation</v>
      </c>
      <c r="Q404" s="42" t="str">
        <f t="shared" si="92"/>
        <v>Compliant</v>
      </c>
      <c r="R404" s="42" t="str">
        <f t="shared" si="93"/>
        <v>Violation</v>
      </c>
      <c r="S404" s="36" t="str">
        <f t="shared" si="94"/>
        <v>TP-06, TP-09</v>
      </c>
      <c r="T404" s="42" t="str">
        <f t="shared" si="95"/>
        <v/>
      </c>
      <c r="U404" s="42" t="str">
        <f t="shared" si="96"/>
        <v>Definite</v>
      </c>
      <c r="V404" s="42">
        <f t="shared" si="97"/>
        <v>2</v>
      </c>
      <c r="W404" s="42" t="str">
        <f t="shared" si="98"/>
        <v>Needs days</v>
      </c>
    </row>
    <row r="405" spans="1:23" ht="15" hidden="1" customHeight="1" x14ac:dyDescent="0.25">
      <c r="A405" s="36" t="str">
        <f>Claims!A401</f>
        <v>EXP00400</v>
      </c>
      <c r="B405" s="36" t="str">
        <f>Claims!D401</f>
        <v>M2</v>
      </c>
      <c r="C405" s="36" t="str">
        <f>Claims!E401</f>
        <v>Meals/DA</v>
      </c>
      <c r="D405" s="36" t="str">
        <f>Claims!G401</f>
        <v>Metro</v>
      </c>
      <c r="E405" s="40">
        <f>Claims!H401</f>
        <v>1339</v>
      </c>
      <c r="F405" s="36" t="str">
        <f>Claims!K401</f>
        <v>Yes</v>
      </c>
      <c r="G405" s="36" t="str">
        <f>IF(Claims!M401="","",Claims!M401)</f>
        <v/>
      </c>
      <c r="H405" s="36" t="str">
        <f>IF(Claims!N401="","",Claims!N401)</f>
        <v/>
      </c>
      <c r="I405" s="41">
        <f>Claims!J401-Claims!I401</f>
        <v>2</v>
      </c>
      <c r="J405" s="42" t="str">
        <f t="shared" si="85"/>
        <v>n/a</v>
      </c>
      <c r="K405" s="42" t="str">
        <f t="shared" si="86"/>
        <v>n/a</v>
      </c>
      <c r="L405" s="42" t="str">
        <f t="shared" si="87"/>
        <v>n/a</v>
      </c>
      <c r="M405" s="42" t="str">
        <f t="shared" si="88"/>
        <v>n/a</v>
      </c>
      <c r="N405" s="42" t="str">
        <f t="shared" si="89"/>
        <v>Violation</v>
      </c>
      <c r="O405" s="42" t="str">
        <f t="shared" si="90"/>
        <v>n/a</v>
      </c>
      <c r="P405" s="42" t="str">
        <f t="shared" si="91"/>
        <v>Compliant</v>
      </c>
      <c r="Q405" s="42" t="str">
        <f t="shared" si="92"/>
        <v>Compliant</v>
      </c>
      <c r="R405" s="42" t="str">
        <f t="shared" si="93"/>
        <v>Violation</v>
      </c>
      <c r="S405" s="36" t="str">
        <f t="shared" si="94"/>
        <v>TP-06</v>
      </c>
      <c r="T405" s="42" t="str">
        <f t="shared" si="95"/>
        <v/>
      </c>
      <c r="U405" s="42" t="str">
        <f t="shared" si="96"/>
        <v>Assumption-based</v>
      </c>
      <c r="V405" s="42">
        <f t="shared" si="97"/>
        <v>2</v>
      </c>
      <c r="W405" s="42" t="str">
        <f t="shared" si="98"/>
        <v>Needs days</v>
      </c>
    </row>
    <row r="408" spans="1:23" ht="15" customHeight="1" x14ac:dyDescent="0.3">
      <c r="A408" s="31" t="s">
        <v>848</v>
      </c>
    </row>
    <row r="409" spans="1:23" ht="15" customHeight="1" x14ac:dyDescent="0.25">
      <c r="A409" s="32" t="s">
        <v>825</v>
      </c>
      <c r="B409" s="43" t="s">
        <v>849</v>
      </c>
    </row>
    <row r="410" spans="1:23" ht="15" customHeight="1" x14ac:dyDescent="0.25">
      <c r="A410" s="35" t="s">
        <v>640</v>
      </c>
      <c r="B410" t="s">
        <v>850</v>
      </c>
    </row>
    <row r="411" spans="1:23" ht="15" customHeight="1" x14ac:dyDescent="0.25">
      <c r="A411" s="35" t="s">
        <v>652</v>
      </c>
      <c r="B411" t="s">
        <v>851</v>
      </c>
    </row>
    <row r="412" spans="1:23" ht="15" customHeight="1" x14ac:dyDescent="0.25">
      <c r="A412" s="35" t="s">
        <v>663</v>
      </c>
      <c r="B412" t="s">
        <v>852</v>
      </c>
    </row>
    <row r="413" spans="1:23" ht="15" customHeight="1" x14ac:dyDescent="0.25">
      <c r="A413" s="35" t="s">
        <v>666</v>
      </c>
      <c r="B413" t="s">
        <v>853</v>
      </c>
    </row>
    <row r="414" spans="1:23" ht="15" customHeight="1" x14ac:dyDescent="0.25">
      <c r="A414" s="35" t="s">
        <v>669</v>
      </c>
      <c r="B414" t="s">
        <v>854</v>
      </c>
    </row>
    <row r="415" spans="1:23" ht="15" customHeight="1" x14ac:dyDescent="0.25">
      <c r="A415" s="35" t="s">
        <v>672</v>
      </c>
      <c r="B415" t="s">
        <v>855</v>
      </c>
    </row>
    <row r="416" spans="1:23" ht="15" customHeight="1" x14ac:dyDescent="0.25">
      <c r="A416" s="35" t="s">
        <v>675</v>
      </c>
      <c r="B416" t="s">
        <v>856</v>
      </c>
    </row>
  </sheetData>
  <autoFilter ref="A5:W405" xr:uid="{00000000-0009-0000-0000-000006000000}">
    <filterColumn colId="0">
      <filters>
        <filter val="EXP00316"/>
      </filters>
    </filterColumn>
  </autoFilter>
  <conditionalFormatting sqref="J6:R405">
    <cfRule type="cellIs" dxfId="4" priority="2" operator="equal">
      <formula>"Violation"</formula>
    </cfRule>
  </conditionalFormatting>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81"/>
  <sheetViews>
    <sheetView zoomScaleNormal="100" workbookViewId="0">
      <pane ySplit="3" topLeftCell="A4" activePane="bottomLeft" state="frozen"/>
      <selection pane="bottomLeft"/>
    </sheetView>
  </sheetViews>
  <sheetFormatPr defaultColWidth="8.6328125" defaultRowHeight="12.5" x14ac:dyDescent="0.25"/>
  <cols>
    <col min="1" max="1" width="44" customWidth="1"/>
    <col min="2" max="3" width="16" customWidth="1"/>
    <col min="4" max="4" width="18" customWidth="1"/>
    <col min="5" max="5" width="14" customWidth="1"/>
    <col min="6" max="13" width="9" customWidth="1"/>
  </cols>
  <sheetData>
    <row r="1" spans="1:3" ht="15.75" customHeight="1" x14ac:dyDescent="0.35">
      <c r="A1" s="29" t="s">
        <v>857</v>
      </c>
    </row>
    <row r="2" spans="1:3" ht="15" customHeight="1" x14ac:dyDescent="0.25">
      <c r="A2" s="30" t="s">
        <v>858</v>
      </c>
    </row>
    <row r="4" spans="1:3" ht="15" customHeight="1" x14ac:dyDescent="0.3">
      <c r="A4" s="31" t="s">
        <v>859</v>
      </c>
    </row>
    <row r="5" spans="1:3" ht="15" customHeight="1" x14ac:dyDescent="0.25">
      <c r="A5" s="32" t="s">
        <v>860</v>
      </c>
      <c r="B5" s="32" t="s">
        <v>861</v>
      </c>
      <c r="C5" s="32" t="s">
        <v>780</v>
      </c>
    </row>
    <row r="6" spans="1:3" ht="15" customHeight="1" x14ac:dyDescent="0.25">
      <c r="A6" s="36" t="s">
        <v>862</v>
      </c>
      <c r="B6" s="42">
        <f>COUNTA(Checker!$A$6:$A$405)</f>
        <v>400</v>
      </c>
      <c r="C6" s="36" t="s">
        <v>863</v>
      </c>
    </row>
    <row r="7" spans="1:3" ht="15" customHeight="1" x14ac:dyDescent="0.25">
      <c r="A7" s="36" t="s">
        <v>864</v>
      </c>
      <c r="B7" s="42">
        <f>COUNTIF(Checker!$R$6:$R$405,Lbl_Viol)</f>
        <v>231</v>
      </c>
      <c r="C7" s="36" t="s">
        <v>865</v>
      </c>
    </row>
    <row r="8" spans="1:3" ht="15" customHeight="1" x14ac:dyDescent="0.25">
      <c r="A8" s="36" t="s">
        <v>866</v>
      </c>
      <c r="B8" s="42">
        <f>COUNTIF(Checker!$R$6:$R$405,Lbl_Comp)</f>
        <v>169</v>
      </c>
      <c r="C8" s="36" t="s">
        <v>867</v>
      </c>
    </row>
    <row r="9" spans="1:3" ht="15" customHeight="1" x14ac:dyDescent="0.25">
      <c r="A9" s="36" t="s">
        <v>868</v>
      </c>
      <c r="B9" s="44">
        <f>IF(B6=0,0,B7/B6)</f>
        <v>0.57750000000000001</v>
      </c>
      <c r="C9" s="36" t="s">
        <v>869</v>
      </c>
    </row>
    <row r="10" spans="1:3" ht="15" customHeight="1" x14ac:dyDescent="0.25">
      <c r="A10" s="36" t="s">
        <v>870</v>
      </c>
      <c r="B10" s="42" t="str">
        <f>IF(B7+B8=B6,"OK","CHECK")</f>
        <v>OK</v>
      </c>
      <c r="C10" s="36"/>
    </row>
    <row r="11" spans="1:3" ht="15" customHeight="1" x14ac:dyDescent="0.25">
      <c r="A11" s="36" t="s">
        <v>871</v>
      </c>
      <c r="B11" s="42">
        <f>COUNTIF(Checker!$S$6:$S$405,"*,*")</f>
        <v>46</v>
      </c>
      <c r="C11" s="36" t="s">
        <v>872</v>
      </c>
    </row>
    <row r="12" spans="1:3" ht="15" customHeight="1" x14ac:dyDescent="0.25">
      <c r="A12" s="36" t="s">
        <v>873</v>
      </c>
      <c r="B12" s="42">
        <f>COUNTIF(Checker!$U$6:$U$405,Lbl_Definite)</f>
        <v>139</v>
      </c>
      <c r="C12" s="36" t="s">
        <v>874</v>
      </c>
    </row>
    <row r="13" spans="1:3" ht="15" customHeight="1" x14ac:dyDescent="0.25">
      <c r="A13" s="36" t="s">
        <v>875</v>
      </c>
      <c r="B13" s="42">
        <f>COUNTIF(Checker!$U$6:$U$405,Lbl_Assumption)</f>
        <v>92</v>
      </c>
      <c r="C13" s="36" t="s">
        <v>876</v>
      </c>
    </row>
    <row r="14" spans="1:3" ht="15" customHeight="1" x14ac:dyDescent="0.25">
      <c r="A14" s="36" t="s">
        <v>877</v>
      </c>
      <c r="B14" s="42">
        <f>COUNTIF(Checker!$T$6:$T$405,Lbl_Late)</f>
        <v>63</v>
      </c>
      <c r="C14" s="36" t="s">
        <v>878</v>
      </c>
    </row>
    <row r="15" spans="1:3" ht="15" customHeight="1" x14ac:dyDescent="0.25">
      <c r="A15" s="36" t="s">
        <v>879</v>
      </c>
      <c r="B15" s="42">
        <f>COUNTIF(Checker!$T$6:$T$405,Lbl_Expired)</f>
        <v>15</v>
      </c>
      <c r="C15" s="36" t="s">
        <v>880</v>
      </c>
    </row>
    <row r="17" spans="1:13" ht="15" customHeight="1" x14ac:dyDescent="0.3">
      <c r="A17" s="31" t="s">
        <v>881</v>
      </c>
    </row>
    <row r="18" spans="1:13" ht="30" customHeight="1" x14ac:dyDescent="0.25">
      <c r="A18" s="32" t="s">
        <v>825</v>
      </c>
      <c r="B18" s="32" t="s">
        <v>826</v>
      </c>
      <c r="C18" s="32" t="s">
        <v>882</v>
      </c>
      <c r="D18" s="32" t="s">
        <v>883</v>
      </c>
      <c r="E18" s="32" t="s">
        <v>884</v>
      </c>
    </row>
    <row r="19" spans="1:13" ht="15" customHeight="1" x14ac:dyDescent="0.25">
      <c r="A19" s="36" t="str">
        <f>Checker!J5</f>
        <v>TP-01</v>
      </c>
      <c r="B19" s="36" t="str">
        <f>Checker!J4</f>
        <v>Definite</v>
      </c>
      <c r="C19" s="42">
        <f>COUNTIF(Checker!J$6:J$405,Lbl_Viol)</f>
        <v>7</v>
      </c>
      <c r="D19" s="42">
        <f>COUNTIF(Checker!J$6:J$405,Lbl_Viol)+COUNTIF(Checker!J$6:J$405,Lbl_Comp)</f>
        <v>58</v>
      </c>
      <c r="E19" s="44">
        <f t="shared" ref="E19:E26" si="0">IF(D19=0,0,C19/D19)</f>
        <v>0.1206896551724138</v>
      </c>
    </row>
    <row r="20" spans="1:13" ht="15" customHeight="1" x14ac:dyDescent="0.25">
      <c r="A20" s="36" t="str">
        <f>Checker!K5</f>
        <v>TP-02</v>
      </c>
      <c r="B20" s="36" t="str">
        <f>Checker!K4</f>
        <v>Assumption-based</v>
      </c>
      <c r="C20" s="42">
        <f>COUNTIF(Checker!K$6:K$405,Lbl_Viol)</f>
        <v>18</v>
      </c>
      <c r="D20" s="42">
        <f>COUNTIF(Checker!K$6:K$405,Lbl_Viol)+COUNTIF(Checker!K$6:K$405,Lbl_Comp)</f>
        <v>58</v>
      </c>
      <c r="E20" s="44">
        <f t="shared" si="0"/>
        <v>0.31034482758620691</v>
      </c>
    </row>
    <row r="21" spans="1:13" ht="15" customHeight="1" x14ac:dyDescent="0.25">
      <c r="A21" s="36" t="str">
        <f>Checker!L5</f>
        <v>TP-04</v>
      </c>
      <c r="B21" s="36" t="str">
        <f>Checker!L4</f>
        <v>Assumption-based</v>
      </c>
      <c r="C21" s="42">
        <f>COUNTIF(Checker!L$6:L$405,Lbl_Viol)</f>
        <v>18</v>
      </c>
      <c r="D21" s="42">
        <f>COUNTIF(Checker!L$6:L$405,Lbl_Viol)+COUNTIF(Checker!L$6:L$405,Lbl_Comp)</f>
        <v>36</v>
      </c>
      <c r="E21" s="44">
        <f t="shared" si="0"/>
        <v>0.5</v>
      </c>
    </row>
    <row r="22" spans="1:13" ht="15" customHeight="1" x14ac:dyDescent="0.25">
      <c r="A22" s="36" t="str">
        <f>Checker!M5</f>
        <v>TP-05</v>
      </c>
      <c r="B22" s="36" t="str">
        <f>Checker!M4</f>
        <v>Assumption-based</v>
      </c>
      <c r="C22" s="42">
        <f>COUNTIF(Checker!M$6:M$405,Lbl_Viol)</f>
        <v>31</v>
      </c>
      <c r="D22" s="42">
        <f>COUNTIF(Checker!M$6:M$405,Lbl_Viol)+COUNTIF(Checker!M$6:M$405,Lbl_Comp)</f>
        <v>37</v>
      </c>
      <c r="E22" s="44">
        <f t="shared" si="0"/>
        <v>0.83783783783783783</v>
      </c>
    </row>
    <row r="23" spans="1:13" ht="15" customHeight="1" x14ac:dyDescent="0.25">
      <c r="A23" s="36" t="str">
        <f>Checker!N5</f>
        <v>TP-06</v>
      </c>
      <c r="B23" s="36" t="str">
        <f>Checker!N4</f>
        <v>Assumption-based</v>
      </c>
      <c r="C23" s="42">
        <f>COUNTIF(Checker!N$6:N$405,Lbl_Viol)</f>
        <v>55</v>
      </c>
      <c r="D23" s="42">
        <f>COUNTIF(Checker!N$6:N$405,Lbl_Viol)+COUNTIF(Checker!N$6:N$405,Lbl_Comp)</f>
        <v>83</v>
      </c>
      <c r="E23" s="44">
        <f t="shared" si="0"/>
        <v>0.66265060240963858</v>
      </c>
    </row>
    <row r="24" spans="1:13" ht="15" customHeight="1" x14ac:dyDescent="0.25">
      <c r="A24" s="36" t="str">
        <f>Checker!O5</f>
        <v>TP-08</v>
      </c>
      <c r="B24" s="36" t="str">
        <f>Checker!O4</f>
        <v>Definite</v>
      </c>
      <c r="C24" s="42">
        <f>COUNTIF(Checker!O$6:O$405,Lbl_Viol)</f>
        <v>12</v>
      </c>
      <c r="D24" s="42">
        <f>COUNTIF(Checker!O$6:O$405,Lbl_Viol)+COUNTIF(Checker!O$6:O$405,Lbl_Comp)</f>
        <v>12</v>
      </c>
      <c r="E24" s="44">
        <f t="shared" si="0"/>
        <v>1</v>
      </c>
    </row>
    <row r="25" spans="1:13" ht="15" customHeight="1" x14ac:dyDescent="0.25">
      <c r="A25" s="36" t="str">
        <f>Checker!P5</f>
        <v>TP-09</v>
      </c>
      <c r="B25" s="36" t="str">
        <f>Checker!P4</f>
        <v>Definite</v>
      </c>
      <c r="C25" s="42">
        <f>COUNTIF(Checker!P$6:P$405,Lbl_Viol)</f>
        <v>60</v>
      </c>
      <c r="D25" s="42">
        <f>COUNTIF(Checker!P$6:P$405,Lbl_Viol)+COUNTIF(Checker!P$6:P$405,Lbl_Comp)</f>
        <v>400</v>
      </c>
      <c r="E25" s="44">
        <f t="shared" si="0"/>
        <v>0.15</v>
      </c>
    </row>
    <row r="26" spans="1:13" ht="15" customHeight="1" x14ac:dyDescent="0.25">
      <c r="A26" s="36" t="str">
        <f>Checker!Q5</f>
        <v>TP-10</v>
      </c>
      <c r="B26" s="36" t="str">
        <f>Checker!Q4</f>
        <v>Definite</v>
      </c>
      <c r="C26" s="42">
        <f>COUNTIF(Checker!Q$6:Q$405,Lbl_Viol)</f>
        <v>78</v>
      </c>
      <c r="D26" s="42">
        <f>COUNTIF(Checker!Q$6:Q$405,Lbl_Viol)+COUNTIF(Checker!Q$6:Q$405,Lbl_Comp)</f>
        <v>400</v>
      </c>
      <c r="E26" s="44">
        <f t="shared" si="0"/>
        <v>0.19500000000000001</v>
      </c>
    </row>
    <row r="27" spans="1:13" ht="15" customHeight="1" x14ac:dyDescent="0.3">
      <c r="A27" s="45" t="s">
        <v>885</v>
      </c>
      <c r="B27" s="36"/>
      <c r="C27" s="46">
        <f>SUM(C19:C26)</f>
        <v>279</v>
      </c>
      <c r="D27" s="36"/>
      <c r="E27" s="36"/>
    </row>
    <row r="29" spans="1:13" ht="15" customHeight="1" x14ac:dyDescent="0.3">
      <c r="A29" s="31" t="s">
        <v>886</v>
      </c>
    </row>
    <row r="30" spans="1:13" ht="15" customHeight="1" x14ac:dyDescent="0.25">
      <c r="A30" s="32" t="s">
        <v>66</v>
      </c>
      <c r="B30" s="32" t="s">
        <v>684</v>
      </c>
      <c r="C30" s="32" t="s">
        <v>887</v>
      </c>
      <c r="D30" s="32" t="s">
        <v>813</v>
      </c>
      <c r="E30" s="32" t="s">
        <v>868</v>
      </c>
      <c r="F30" s="32" t="str">
        <f>Checker!J5</f>
        <v>TP-01</v>
      </c>
      <c r="G30" s="32" t="str">
        <f>Checker!K5</f>
        <v>TP-02</v>
      </c>
      <c r="H30" s="32" t="str">
        <f>Checker!L5</f>
        <v>TP-04</v>
      </c>
      <c r="I30" s="32" t="str">
        <f>Checker!M5</f>
        <v>TP-05</v>
      </c>
      <c r="J30" s="32" t="str">
        <f>Checker!N5</f>
        <v>TP-06</v>
      </c>
      <c r="K30" s="32" t="str">
        <f>Checker!O5</f>
        <v>TP-08</v>
      </c>
      <c r="L30" s="32" t="str">
        <f>Checker!P5</f>
        <v>TP-09</v>
      </c>
      <c r="M30" s="32" t="str">
        <f>Checker!Q5</f>
        <v>TP-10</v>
      </c>
    </row>
    <row r="31" spans="1:13" ht="15" customHeight="1" x14ac:dyDescent="0.25">
      <c r="A31" s="36" t="str">
        <f>Lbl_Flight</f>
        <v>Flight</v>
      </c>
      <c r="B31" s="42">
        <f>COUNTIF(Checker!$C$6:$C$405,$A31)</f>
        <v>58</v>
      </c>
      <c r="C31" s="42">
        <f>COUNTIFS(Checker!$C$6:$C$405,$A31,Checker!$R$6:$R$405,Lbl_Viol)</f>
        <v>36</v>
      </c>
      <c r="D31" s="42">
        <f>COUNTIFS(Checker!$C$6:$C$405,$A31,Checker!$R$6:$R$405,Lbl_Comp)</f>
        <v>22</v>
      </c>
      <c r="E31" s="44">
        <f t="shared" ref="E31:E39" si="1">IF(B31=0,0,C31/B31)</f>
        <v>0.62068965517241381</v>
      </c>
      <c r="F31" s="42">
        <f>COUNTIFS(Checker!$C$6:$C$405,$A31,Checker!J$6:J$405,Lbl_Viol)</f>
        <v>7</v>
      </c>
      <c r="G31" s="42">
        <f>COUNTIFS(Checker!$C$6:$C$405,$A31,Checker!K$6:K$405,Lbl_Viol)</f>
        <v>18</v>
      </c>
      <c r="H31" s="42">
        <f>COUNTIFS(Checker!$C$6:$C$405,$A31,Checker!L$6:L$405,Lbl_Viol)</f>
        <v>0</v>
      </c>
      <c r="I31" s="42">
        <f>COUNTIFS(Checker!$C$6:$C$405,$A31,Checker!M$6:M$405,Lbl_Viol)</f>
        <v>0</v>
      </c>
      <c r="J31" s="42">
        <f>COUNTIFS(Checker!$C$6:$C$405,$A31,Checker!N$6:N$405,Lbl_Viol)</f>
        <v>0</v>
      </c>
      <c r="K31" s="42">
        <f>COUNTIFS(Checker!$C$6:$C$405,$A31,Checker!O$6:O$405,Lbl_Viol)</f>
        <v>0</v>
      </c>
      <c r="L31" s="42">
        <f>COUNTIFS(Checker!$C$6:$C$405,$A31,Checker!P$6:P$405,Lbl_Viol)</f>
        <v>9</v>
      </c>
      <c r="M31" s="42">
        <f>COUNTIFS(Checker!$C$6:$C$405,$A31,Checker!Q$6:Q$405,Lbl_Viol)</f>
        <v>12</v>
      </c>
    </row>
    <row r="32" spans="1:13" ht="15" customHeight="1" x14ac:dyDescent="0.25">
      <c r="A32" s="36" t="str">
        <f>Lbl_Hotel</f>
        <v>Hotel</v>
      </c>
      <c r="B32" s="42">
        <f>COUNTIF(Checker!$C$6:$C$405,$A32)</f>
        <v>73</v>
      </c>
      <c r="C32" s="42">
        <f>COUNTIFS(Checker!$C$6:$C$405,$A32,Checker!$R$6:$R$405,Lbl_Viol)</f>
        <v>61</v>
      </c>
      <c r="D32" s="42">
        <f>COUNTIFS(Checker!$C$6:$C$405,$A32,Checker!$R$6:$R$405,Lbl_Comp)</f>
        <v>12</v>
      </c>
      <c r="E32" s="44">
        <f t="shared" si="1"/>
        <v>0.83561643835616439</v>
      </c>
      <c r="F32" s="42">
        <f>COUNTIFS(Checker!$C$6:$C$405,$A32,Checker!J$6:J$405,Lbl_Viol)</f>
        <v>0</v>
      </c>
      <c r="G32" s="42">
        <f>COUNTIFS(Checker!$C$6:$C$405,$A32,Checker!K$6:K$405,Lbl_Viol)</f>
        <v>0</v>
      </c>
      <c r="H32" s="42">
        <f>COUNTIFS(Checker!$C$6:$C$405,$A32,Checker!L$6:L$405,Lbl_Viol)</f>
        <v>18</v>
      </c>
      <c r="I32" s="42">
        <f>COUNTIFS(Checker!$C$6:$C$405,$A32,Checker!M$6:M$405,Lbl_Viol)</f>
        <v>31</v>
      </c>
      <c r="J32" s="42">
        <f>COUNTIFS(Checker!$C$6:$C$405,$A32,Checker!N$6:N$405,Lbl_Viol)</f>
        <v>0</v>
      </c>
      <c r="K32" s="42">
        <f>COUNTIFS(Checker!$C$6:$C$405,$A32,Checker!O$6:O$405,Lbl_Viol)</f>
        <v>0</v>
      </c>
      <c r="L32" s="42">
        <f>COUNTIFS(Checker!$C$6:$C$405,$A32,Checker!P$6:P$405,Lbl_Viol)</f>
        <v>10</v>
      </c>
      <c r="M32" s="42">
        <f>COUNTIFS(Checker!$C$6:$C$405,$A32,Checker!Q$6:Q$405,Lbl_Viol)</f>
        <v>17</v>
      </c>
    </row>
    <row r="33" spans="1:13" ht="15" customHeight="1" x14ac:dyDescent="0.25">
      <c r="A33" s="36" t="str">
        <f>Lbl_Meals</f>
        <v>Meals/DA</v>
      </c>
      <c r="B33" s="42">
        <f>COUNTIF(Checker!$C$6:$C$405,$A33)</f>
        <v>83</v>
      </c>
      <c r="C33" s="42">
        <f>COUNTIFS(Checker!$C$6:$C$405,$A33,Checker!$R$6:$R$405,Lbl_Viol)</f>
        <v>63</v>
      </c>
      <c r="D33" s="42">
        <f>COUNTIFS(Checker!$C$6:$C$405,$A33,Checker!$R$6:$R$405,Lbl_Comp)</f>
        <v>20</v>
      </c>
      <c r="E33" s="44">
        <f t="shared" si="1"/>
        <v>0.75903614457831325</v>
      </c>
      <c r="F33" s="42">
        <f>COUNTIFS(Checker!$C$6:$C$405,$A33,Checker!J$6:J$405,Lbl_Viol)</f>
        <v>0</v>
      </c>
      <c r="G33" s="42">
        <f>COUNTIFS(Checker!$C$6:$C$405,$A33,Checker!K$6:K$405,Lbl_Viol)</f>
        <v>0</v>
      </c>
      <c r="H33" s="42">
        <f>COUNTIFS(Checker!$C$6:$C$405,$A33,Checker!L$6:L$405,Lbl_Viol)</f>
        <v>0</v>
      </c>
      <c r="I33" s="42">
        <f>COUNTIFS(Checker!$C$6:$C$405,$A33,Checker!M$6:M$405,Lbl_Viol)</f>
        <v>0</v>
      </c>
      <c r="J33" s="42">
        <f>COUNTIFS(Checker!$C$6:$C$405,$A33,Checker!N$6:N$405,Lbl_Viol)</f>
        <v>55</v>
      </c>
      <c r="K33" s="42">
        <f>COUNTIFS(Checker!$C$6:$C$405,$A33,Checker!O$6:O$405,Lbl_Viol)</f>
        <v>0</v>
      </c>
      <c r="L33" s="42">
        <f>COUNTIFS(Checker!$C$6:$C$405,$A33,Checker!P$6:P$405,Lbl_Viol)</f>
        <v>9</v>
      </c>
      <c r="M33" s="42">
        <f>COUNTIFS(Checker!$C$6:$C$405,$A33,Checker!Q$6:Q$405,Lbl_Viol)</f>
        <v>10</v>
      </c>
    </row>
    <row r="34" spans="1:13" ht="15" customHeight="1" x14ac:dyDescent="0.25">
      <c r="A34" s="36" t="str">
        <f>Lbl_Alcohol</f>
        <v>Alcohol</v>
      </c>
      <c r="B34" s="42">
        <f>COUNTIF(Checker!$C$6:$C$405,$A34)</f>
        <v>12</v>
      </c>
      <c r="C34" s="42">
        <f>COUNTIFS(Checker!$C$6:$C$405,$A34,Checker!$R$6:$R$405,Lbl_Viol)</f>
        <v>12</v>
      </c>
      <c r="D34" s="42">
        <f>COUNTIFS(Checker!$C$6:$C$405,$A34,Checker!$R$6:$R$405,Lbl_Comp)</f>
        <v>0</v>
      </c>
      <c r="E34" s="44">
        <f t="shared" si="1"/>
        <v>1</v>
      </c>
      <c r="F34" s="42">
        <f>COUNTIFS(Checker!$C$6:$C$405,$A34,Checker!J$6:J$405,Lbl_Viol)</f>
        <v>0</v>
      </c>
      <c r="G34" s="42">
        <f>COUNTIFS(Checker!$C$6:$C$405,$A34,Checker!K$6:K$405,Lbl_Viol)</f>
        <v>0</v>
      </c>
      <c r="H34" s="42">
        <f>COUNTIFS(Checker!$C$6:$C$405,$A34,Checker!L$6:L$405,Lbl_Viol)</f>
        <v>0</v>
      </c>
      <c r="I34" s="42">
        <f>COUNTIFS(Checker!$C$6:$C$405,$A34,Checker!M$6:M$405,Lbl_Viol)</f>
        <v>0</v>
      </c>
      <c r="J34" s="42">
        <f>COUNTIFS(Checker!$C$6:$C$405,$A34,Checker!N$6:N$405,Lbl_Viol)</f>
        <v>0</v>
      </c>
      <c r="K34" s="42">
        <f>COUNTIFS(Checker!$C$6:$C$405,$A34,Checker!O$6:O$405,Lbl_Viol)</f>
        <v>12</v>
      </c>
      <c r="L34" s="42">
        <f>COUNTIFS(Checker!$C$6:$C$405,$A34,Checker!P$6:P$405,Lbl_Viol)</f>
        <v>1</v>
      </c>
      <c r="M34" s="42">
        <f>COUNTIFS(Checker!$C$6:$C$405,$A34,Checker!Q$6:Q$405,Lbl_Viol)</f>
        <v>1</v>
      </c>
    </row>
    <row r="35" spans="1:13" ht="15" customHeight="1" x14ac:dyDescent="0.25">
      <c r="A35" s="37" t="s">
        <v>95</v>
      </c>
      <c r="B35" s="42">
        <f>COUNTIF(Checker!$C$6:$C$405,$A35)</f>
        <v>81</v>
      </c>
      <c r="C35" s="42">
        <f>COUNTIFS(Checker!$C$6:$C$405,$A35,Checker!$R$6:$R$405,Lbl_Viol)</f>
        <v>29</v>
      </c>
      <c r="D35" s="42">
        <f>COUNTIFS(Checker!$C$6:$C$405,$A35,Checker!$R$6:$R$405,Lbl_Comp)</f>
        <v>52</v>
      </c>
      <c r="E35" s="44">
        <f t="shared" si="1"/>
        <v>0.35802469135802467</v>
      </c>
      <c r="F35" s="42">
        <f>COUNTIFS(Checker!$C$6:$C$405,$A35,Checker!J$6:J$405,Lbl_Viol)</f>
        <v>0</v>
      </c>
      <c r="G35" s="42">
        <f>COUNTIFS(Checker!$C$6:$C$405,$A35,Checker!K$6:K$405,Lbl_Viol)</f>
        <v>0</v>
      </c>
      <c r="H35" s="42">
        <f>COUNTIFS(Checker!$C$6:$C$405,$A35,Checker!L$6:L$405,Lbl_Viol)</f>
        <v>0</v>
      </c>
      <c r="I35" s="42">
        <f>COUNTIFS(Checker!$C$6:$C$405,$A35,Checker!M$6:M$405,Lbl_Viol)</f>
        <v>0</v>
      </c>
      <c r="J35" s="42">
        <f>COUNTIFS(Checker!$C$6:$C$405,$A35,Checker!N$6:N$405,Lbl_Viol)</f>
        <v>0</v>
      </c>
      <c r="K35" s="42">
        <f>COUNTIFS(Checker!$C$6:$C$405,$A35,Checker!O$6:O$405,Lbl_Viol)</f>
        <v>0</v>
      </c>
      <c r="L35" s="42">
        <f>COUNTIFS(Checker!$C$6:$C$405,$A35,Checker!P$6:P$405,Lbl_Viol)</f>
        <v>17</v>
      </c>
      <c r="M35" s="42">
        <f>COUNTIFS(Checker!$C$6:$C$405,$A35,Checker!Q$6:Q$405,Lbl_Viol)</f>
        <v>18</v>
      </c>
    </row>
    <row r="36" spans="1:13" ht="15" customHeight="1" x14ac:dyDescent="0.25">
      <c r="A36" s="37" t="s">
        <v>172</v>
      </c>
      <c r="B36" s="42">
        <f>COUNTIF(Checker!$C$6:$C$405,$A36)</f>
        <v>33</v>
      </c>
      <c r="C36" s="42">
        <f>COUNTIFS(Checker!$C$6:$C$405,$A36,Checker!$R$6:$R$405,Lbl_Viol)</f>
        <v>11</v>
      </c>
      <c r="D36" s="42">
        <f>COUNTIFS(Checker!$C$6:$C$405,$A36,Checker!$R$6:$R$405,Lbl_Comp)</f>
        <v>22</v>
      </c>
      <c r="E36" s="44">
        <f t="shared" si="1"/>
        <v>0.33333333333333331</v>
      </c>
      <c r="F36" s="42">
        <f>COUNTIFS(Checker!$C$6:$C$405,$A36,Checker!J$6:J$405,Lbl_Viol)</f>
        <v>0</v>
      </c>
      <c r="G36" s="42">
        <f>COUNTIFS(Checker!$C$6:$C$405,$A36,Checker!K$6:K$405,Lbl_Viol)</f>
        <v>0</v>
      </c>
      <c r="H36" s="42">
        <f>COUNTIFS(Checker!$C$6:$C$405,$A36,Checker!L$6:L$405,Lbl_Viol)</f>
        <v>0</v>
      </c>
      <c r="I36" s="42">
        <f>COUNTIFS(Checker!$C$6:$C$405,$A36,Checker!M$6:M$405,Lbl_Viol)</f>
        <v>0</v>
      </c>
      <c r="J36" s="42">
        <f>COUNTIFS(Checker!$C$6:$C$405,$A36,Checker!N$6:N$405,Lbl_Viol)</f>
        <v>0</v>
      </c>
      <c r="K36" s="42">
        <f>COUNTIFS(Checker!$C$6:$C$405,$A36,Checker!O$6:O$405,Lbl_Viol)</f>
        <v>0</v>
      </c>
      <c r="L36" s="42">
        <f>COUNTIFS(Checker!$C$6:$C$405,$A36,Checker!P$6:P$405,Lbl_Viol)</f>
        <v>5</v>
      </c>
      <c r="M36" s="42">
        <f>COUNTIFS(Checker!$C$6:$C$405,$A36,Checker!Q$6:Q$405,Lbl_Viol)</f>
        <v>8</v>
      </c>
    </row>
    <row r="37" spans="1:13" ht="15" customHeight="1" x14ac:dyDescent="0.25">
      <c r="A37" s="37" t="s">
        <v>118</v>
      </c>
      <c r="B37" s="42">
        <f>COUNTIF(Checker!$C$6:$C$405,$A37)</f>
        <v>34</v>
      </c>
      <c r="C37" s="42">
        <f>COUNTIFS(Checker!$C$6:$C$405,$A37,Checker!$R$6:$R$405,Lbl_Viol)</f>
        <v>8</v>
      </c>
      <c r="D37" s="42">
        <f>COUNTIFS(Checker!$C$6:$C$405,$A37,Checker!$R$6:$R$405,Lbl_Comp)</f>
        <v>26</v>
      </c>
      <c r="E37" s="44">
        <f t="shared" si="1"/>
        <v>0.23529411764705882</v>
      </c>
      <c r="F37" s="42">
        <f>COUNTIFS(Checker!$C$6:$C$405,$A37,Checker!J$6:J$405,Lbl_Viol)</f>
        <v>0</v>
      </c>
      <c r="G37" s="42">
        <f>COUNTIFS(Checker!$C$6:$C$405,$A37,Checker!K$6:K$405,Lbl_Viol)</f>
        <v>0</v>
      </c>
      <c r="H37" s="42">
        <f>COUNTIFS(Checker!$C$6:$C$405,$A37,Checker!L$6:L$405,Lbl_Viol)</f>
        <v>0</v>
      </c>
      <c r="I37" s="42">
        <f>COUNTIFS(Checker!$C$6:$C$405,$A37,Checker!M$6:M$405,Lbl_Viol)</f>
        <v>0</v>
      </c>
      <c r="J37" s="42">
        <f>COUNTIFS(Checker!$C$6:$C$405,$A37,Checker!N$6:N$405,Lbl_Viol)</f>
        <v>0</v>
      </c>
      <c r="K37" s="42">
        <f>COUNTIFS(Checker!$C$6:$C$405,$A37,Checker!O$6:O$405,Lbl_Viol)</f>
        <v>0</v>
      </c>
      <c r="L37" s="42">
        <f>COUNTIFS(Checker!$C$6:$C$405,$A37,Checker!P$6:P$405,Lbl_Viol)</f>
        <v>2</v>
      </c>
      <c r="M37" s="42">
        <f>COUNTIFS(Checker!$C$6:$C$405,$A37,Checker!Q$6:Q$405,Lbl_Viol)</f>
        <v>6</v>
      </c>
    </row>
    <row r="38" spans="1:13" ht="15" customHeight="1" x14ac:dyDescent="0.25">
      <c r="A38" s="37" t="s">
        <v>123</v>
      </c>
      <c r="B38" s="42">
        <f>COUNTIF(Checker!$C$6:$C$405,$A38)</f>
        <v>26</v>
      </c>
      <c r="C38" s="42">
        <f>COUNTIFS(Checker!$C$6:$C$405,$A38,Checker!$R$6:$R$405,Lbl_Viol)</f>
        <v>11</v>
      </c>
      <c r="D38" s="42">
        <f>COUNTIFS(Checker!$C$6:$C$405,$A38,Checker!$R$6:$R$405,Lbl_Comp)</f>
        <v>15</v>
      </c>
      <c r="E38" s="44">
        <f t="shared" si="1"/>
        <v>0.42307692307692307</v>
      </c>
      <c r="F38" s="42">
        <f>COUNTIFS(Checker!$C$6:$C$405,$A38,Checker!J$6:J$405,Lbl_Viol)</f>
        <v>0</v>
      </c>
      <c r="G38" s="42">
        <f>COUNTIFS(Checker!$C$6:$C$405,$A38,Checker!K$6:K$405,Lbl_Viol)</f>
        <v>0</v>
      </c>
      <c r="H38" s="42">
        <f>COUNTIFS(Checker!$C$6:$C$405,$A38,Checker!L$6:L$405,Lbl_Viol)</f>
        <v>0</v>
      </c>
      <c r="I38" s="42">
        <f>COUNTIFS(Checker!$C$6:$C$405,$A38,Checker!M$6:M$405,Lbl_Viol)</f>
        <v>0</v>
      </c>
      <c r="J38" s="42">
        <f>COUNTIFS(Checker!$C$6:$C$405,$A38,Checker!N$6:N$405,Lbl_Viol)</f>
        <v>0</v>
      </c>
      <c r="K38" s="42">
        <f>COUNTIFS(Checker!$C$6:$C$405,$A38,Checker!O$6:O$405,Lbl_Viol)</f>
        <v>0</v>
      </c>
      <c r="L38" s="42">
        <f>COUNTIFS(Checker!$C$6:$C$405,$A38,Checker!P$6:P$405,Lbl_Viol)</f>
        <v>7</v>
      </c>
      <c r="M38" s="42">
        <f>COUNTIFS(Checker!$C$6:$C$405,$A38,Checker!Q$6:Q$405,Lbl_Viol)</f>
        <v>6</v>
      </c>
    </row>
    <row r="39" spans="1:13" ht="15" customHeight="1" x14ac:dyDescent="0.3">
      <c r="A39" s="45" t="s">
        <v>61</v>
      </c>
      <c r="B39" s="46">
        <f>SUM(B31:B38)</f>
        <v>400</v>
      </c>
      <c r="C39" s="46">
        <f>SUM(C31:C38)</f>
        <v>231</v>
      </c>
      <c r="D39" s="46">
        <f>SUM(D31:D38)</f>
        <v>169</v>
      </c>
      <c r="E39" s="47">
        <f t="shared" si="1"/>
        <v>0.57750000000000001</v>
      </c>
      <c r="F39" s="46">
        <f t="shared" ref="F39:M39" si="2">SUM(F31:F38)</f>
        <v>7</v>
      </c>
      <c r="G39" s="46">
        <f t="shared" si="2"/>
        <v>18</v>
      </c>
      <c r="H39" s="46">
        <f t="shared" si="2"/>
        <v>18</v>
      </c>
      <c r="I39" s="46">
        <f t="shared" si="2"/>
        <v>31</v>
      </c>
      <c r="J39" s="46">
        <f t="shared" si="2"/>
        <v>55</v>
      </c>
      <c r="K39" s="46">
        <f t="shared" si="2"/>
        <v>12</v>
      </c>
      <c r="L39" s="46">
        <f t="shared" si="2"/>
        <v>60</v>
      </c>
      <c r="M39" s="46">
        <f t="shared" si="2"/>
        <v>78</v>
      </c>
    </row>
    <row r="40" spans="1:13" ht="15" customHeight="1" x14ac:dyDescent="0.25">
      <c r="A40" s="36" t="s">
        <v>888</v>
      </c>
      <c r="B40" s="36" t="str">
        <f>IF(B39=$B$6,"OK","CHECK - a value is missing from the list")</f>
        <v>OK</v>
      </c>
    </row>
    <row r="42" spans="1:13" ht="15" customHeight="1" x14ac:dyDescent="0.3">
      <c r="A42" s="31" t="s">
        <v>889</v>
      </c>
    </row>
    <row r="43" spans="1:13" ht="15" customHeight="1" x14ac:dyDescent="0.25">
      <c r="A43" s="32" t="s">
        <v>65</v>
      </c>
      <c r="B43" s="32" t="s">
        <v>684</v>
      </c>
      <c r="C43" s="32" t="s">
        <v>887</v>
      </c>
      <c r="D43" s="32" t="s">
        <v>813</v>
      </c>
      <c r="E43" s="32" t="s">
        <v>868</v>
      </c>
      <c r="F43" s="32" t="str">
        <f>Checker!J5</f>
        <v>TP-01</v>
      </c>
      <c r="G43" s="32" t="str">
        <f>Checker!K5</f>
        <v>TP-02</v>
      </c>
      <c r="H43" s="32" t="str">
        <f>Checker!L5</f>
        <v>TP-04</v>
      </c>
      <c r="I43" s="32" t="str">
        <f>Checker!M5</f>
        <v>TP-05</v>
      </c>
      <c r="J43" s="32" t="str">
        <f>Checker!N5</f>
        <v>TP-06</v>
      </c>
      <c r="K43" s="32" t="str">
        <f>Checker!O5</f>
        <v>TP-08</v>
      </c>
      <c r="L43" s="32" t="str">
        <f>Checker!P5</f>
        <v>TP-09</v>
      </c>
      <c r="M43" s="32" t="str">
        <f>Checker!Q5</f>
        <v>TP-10</v>
      </c>
    </row>
    <row r="44" spans="1:13" ht="15" customHeight="1" x14ac:dyDescent="0.25">
      <c r="A44" s="36" t="str">
        <f>Parameters!A6</f>
        <v>M1</v>
      </c>
      <c r="B44" s="42">
        <f>COUNTIF(Checker!$B$6:$B$405,$A44)</f>
        <v>122</v>
      </c>
      <c r="C44" s="42">
        <f>COUNTIFS(Checker!$B$6:$B$405,$A44,Checker!$R$6:$R$405,Lbl_Viol)</f>
        <v>77</v>
      </c>
      <c r="D44" s="42">
        <f>COUNTIFS(Checker!$B$6:$B$405,$A44,Checker!$R$6:$R$405,Lbl_Comp)</f>
        <v>45</v>
      </c>
      <c r="E44" s="44">
        <f t="shared" ref="E44:E49" si="3">IF(B44=0,0,C44/B44)</f>
        <v>0.63114754098360659</v>
      </c>
      <c r="F44" s="42">
        <f>COUNTIFS(Checker!$B$6:$B$405,$A44,Checker!J$6:J$405,Lbl_Viol)</f>
        <v>5</v>
      </c>
      <c r="G44" s="42">
        <f>COUNTIFS(Checker!$B$6:$B$405,$A44,Checker!K$6:K$405,Lbl_Viol)</f>
        <v>1</v>
      </c>
      <c r="H44" s="42">
        <f>COUNTIFS(Checker!$B$6:$B$405,$A44,Checker!L$6:L$405,Lbl_Viol)</f>
        <v>9</v>
      </c>
      <c r="I44" s="42">
        <f>COUNTIFS(Checker!$B$6:$B$405,$A44,Checker!M$6:M$405,Lbl_Viol)</f>
        <v>11</v>
      </c>
      <c r="J44" s="42">
        <f>COUNTIFS(Checker!$B$6:$B$405,$A44,Checker!N$6:N$405,Lbl_Viol)</f>
        <v>20</v>
      </c>
      <c r="K44" s="42">
        <f>COUNTIFS(Checker!$B$6:$B$405,$A44,Checker!O$6:O$405,Lbl_Viol)</f>
        <v>4</v>
      </c>
      <c r="L44" s="42">
        <f>COUNTIFS(Checker!$B$6:$B$405,$A44,Checker!P$6:P$405,Lbl_Viol)</f>
        <v>23</v>
      </c>
      <c r="M44" s="42">
        <f>COUNTIFS(Checker!$B$6:$B$405,$A44,Checker!Q$6:Q$405,Lbl_Viol)</f>
        <v>22</v>
      </c>
    </row>
    <row r="45" spans="1:13" ht="15" customHeight="1" x14ac:dyDescent="0.25">
      <c r="A45" s="36" t="str">
        <f>Parameters!A7</f>
        <v>M2</v>
      </c>
      <c r="B45" s="42">
        <f>COUNTIF(Checker!$B$6:$B$405,$A45)</f>
        <v>148</v>
      </c>
      <c r="C45" s="42">
        <f>COUNTIFS(Checker!$B$6:$B$405,$A45,Checker!$R$6:$R$405,Lbl_Viol)</f>
        <v>80</v>
      </c>
      <c r="D45" s="42">
        <f>COUNTIFS(Checker!$B$6:$B$405,$A45,Checker!$R$6:$R$405,Lbl_Comp)</f>
        <v>68</v>
      </c>
      <c r="E45" s="44">
        <f t="shared" si="3"/>
        <v>0.54054054054054057</v>
      </c>
      <c r="F45" s="42">
        <f>COUNTIFS(Checker!$B$6:$B$405,$A45,Checker!J$6:J$405,Lbl_Viol)</f>
        <v>1</v>
      </c>
      <c r="G45" s="42">
        <f>COUNTIFS(Checker!$B$6:$B$405,$A45,Checker!K$6:K$405,Lbl_Viol)</f>
        <v>11</v>
      </c>
      <c r="H45" s="42">
        <f>COUNTIFS(Checker!$B$6:$B$405,$A45,Checker!L$6:L$405,Lbl_Viol)</f>
        <v>5</v>
      </c>
      <c r="I45" s="42">
        <f>COUNTIFS(Checker!$B$6:$B$405,$A45,Checker!M$6:M$405,Lbl_Viol)</f>
        <v>12</v>
      </c>
      <c r="J45" s="42">
        <f>COUNTIFS(Checker!$B$6:$B$405,$A45,Checker!N$6:N$405,Lbl_Viol)</f>
        <v>18</v>
      </c>
      <c r="K45" s="42">
        <f>COUNTIFS(Checker!$B$6:$B$405,$A45,Checker!O$6:O$405,Lbl_Viol)</f>
        <v>2</v>
      </c>
      <c r="L45" s="42">
        <f>COUNTIFS(Checker!$B$6:$B$405,$A45,Checker!P$6:P$405,Lbl_Viol)</f>
        <v>19</v>
      </c>
      <c r="M45" s="42">
        <f>COUNTIFS(Checker!$B$6:$B$405,$A45,Checker!Q$6:Q$405,Lbl_Viol)</f>
        <v>24</v>
      </c>
    </row>
    <row r="46" spans="1:13" ht="15" customHeight="1" x14ac:dyDescent="0.25">
      <c r="A46" s="36" t="str">
        <f>Parameters!A8</f>
        <v>M3</v>
      </c>
      <c r="B46" s="42">
        <f>COUNTIF(Checker!$B$6:$B$405,$A46)</f>
        <v>83</v>
      </c>
      <c r="C46" s="42">
        <f>COUNTIFS(Checker!$B$6:$B$405,$A46,Checker!$R$6:$R$405,Lbl_Viol)</f>
        <v>50</v>
      </c>
      <c r="D46" s="42">
        <f>COUNTIFS(Checker!$B$6:$B$405,$A46,Checker!$R$6:$R$405,Lbl_Comp)</f>
        <v>33</v>
      </c>
      <c r="E46" s="44">
        <f t="shared" si="3"/>
        <v>0.60240963855421692</v>
      </c>
      <c r="F46" s="42">
        <f>COUNTIFS(Checker!$B$6:$B$405,$A46,Checker!J$6:J$405,Lbl_Viol)</f>
        <v>1</v>
      </c>
      <c r="G46" s="42">
        <f>COUNTIFS(Checker!$B$6:$B$405,$A46,Checker!K$6:K$405,Lbl_Viol)</f>
        <v>3</v>
      </c>
      <c r="H46" s="42">
        <f>COUNTIFS(Checker!$B$6:$B$405,$A46,Checker!L$6:L$405,Lbl_Viol)</f>
        <v>3</v>
      </c>
      <c r="I46" s="42">
        <f>COUNTIFS(Checker!$B$6:$B$405,$A46,Checker!M$6:M$405,Lbl_Viol)</f>
        <v>6</v>
      </c>
      <c r="J46" s="42">
        <f>COUNTIFS(Checker!$B$6:$B$405,$A46,Checker!N$6:N$405,Lbl_Viol)</f>
        <v>12</v>
      </c>
      <c r="K46" s="42">
        <f>COUNTIFS(Checker!$B$6:$B$405,$A46,Checker!O$6:O$405,Lbl_Viol)</f>
        <v>4</v>
      </c>
      <c r="L46" s="42">
        <f>COUNTIFS(Checker!$B$6:$B$405,$A46,Checker!P$6:P$405,Lbl_Viol)</f>
        <v>10</v>
      </c>
      <c r="M46" s="42">
        <f>COUNTIFS(Checker!$B$6:$B$405,$A46,Checker!Q$6:Q$405,Lbl_Viol)</f>
        <v>26</v>
      </c>
    </row>
    <row r="47" spans="1:13" ht="15" customHeight="1" x14ac:dyDescent="0.25">
      <c r="A47" s="36" t="str">
        <f>Parameters!A9</f>
        <v>M4</v>
      </c>
      <c r="B47" s="42">
        <f>COUNTIF(Checker!$B$6:$B$405,$A47)</f>
        <v>27</v>
      </c>
      <c r="C47" s="42">
        <f>COUNTIFS(Checker!$B$6:$B$405,$A47,Checker!$R$6:$R$405,Lbl_Viol)</f>
        <v>13</v>
      </c>
      <c r="D47" s="42">
        <f>COUNTIFS(Checker!$B$6:$B$405,$A47,Checker!$R$6:$R$405,Lbl_Comp)</f>
        <v>14</v>
      </c>
      <c r="E47" s="44">
        <f t="shared" si="3"/>
        <v>0.48148148148148145</v>
      </c>
      <c r="F47" s="42">
        <f>COUNTIFS(Checker!$B$6:$B$405,$A47,Checker!J$6:J$405,Lbl_Viol)</f>
        <v>0</v>
      </c>
      <c r="G47" s="42">
        <f>COUNTIFS(Checker!$B$6:$B$405,$A47,Checker!K$6:K$405,Lbl_Viol)</f>
        <v>2</v>
      </c>
      <c r="H47" s="42">
        <f>COUNTIFS(Checker!$B$6:$B$405,$A47,Checker!L$6:L$405,Lbl_Viol)</f>
        <v>0</v>
      </c>
      <c r="I47" s="42">
        <f>COUNTIFS(Checker!$B$6:$B$405,$A47,Checker!M$6:M$405,Lbl_Viol)</f>
        <v>2</v>
      </c>
      <c r="J47" s="42">
        <f>COUNTIFS(Checker!$B$6:$B$405,$A47,Checker!N$6:N$405,Lbl_Viol)</f>
        <v>2</v>
      </c>
      <c r="K47" s="42">
        <f>COUNTIFS(Checker!$B$6:$B$405,$A47,Checker!O$6:O$405,Lbl_Viol)</f>
        <v>0</v>
      </c>
      <c r="L47" s="42">
        <f>COUNTIFS(Checker!$B$6:$B$405,$A47,Checker!P$6:P$405,Lbl_Viol)</f>
        <v>6</v>
      </c>
      <c r="M47" s="42">
        <f>COUNTIFS(Checker!$B$6:$B$405,$A47,Checker!Q$6:Q$405,Lbl_Viol)</f>
        <v>4</v>
      </c>
    </row>
    <row r="48" spans="1:13" ht="15" customHeight="1" x14ac:dyDescent="0.25">
      <c r="A48" s="36" t="str">
        <f>Parameters!A10</f>
        <v>M5</v>
      </c>
      <c r="B48" s="42">
        <f>COUNTIF(Checker!$B$6:$B$405,$A48)</f>
        <v>20</v>
      </c>
      <c r="C48" s="42">
        <f>COUNTIFS(Checker!$B$6:$B$405,$A48,Checker!$R$6:$R$405,Lbl_Viol)</f>
        <v>11</v>
      </c>
      <c r="D48" s="42">
        <f>COUNTIFS(Checker!$B$6:$B$405,$A48,Checker!$R$6:$R$405,Lbl_Comp)</f>
        <v>9</v>
      </c>
      <c r="E48" s="44">
        <f t="shared" si="3"/>
        <v>0.55000000000000004</v>
      </c>
      <c r="F48" s="42">
        <f>COUNTIFS(Checker!$B$6:$B$405,$A48,Checker!J$6:J$405,Lbl_Viol)</f>
        <v>0</v>
      </c>
      <c r="G48" s="42">
        <f>COUNTIFS(Checker!$B$6:$B$405,$A48,Checker!K$6:K$405,Lbl_Viol)</f>
        <v>1</v>
      </c>
      <c r="H48" s="42">
        <f>COUNTIFS(Checker!$B$6:$B$405,$A48,Checker!L$6:L$405,Lbl_Viol)</f>
        <v>1</v>
      </c>
      <c r="I48" s="42">
        <f>COUNTIFS(Checker!$B$6:$B$405,$A48,Checker!M$6:M$405,Lbl_Viol)</f>
        <v>0</v>
      </c>
      <c r="J48" s="42">
        <f>COUNTIFS(Checker!$B$6:$B$405,$A48,Checker!N$6:N$405,Lbl_Viol)</f>
        <v>3</v>
      </c>
      <c r="K48" s="42">
        <f>COUNTIFS(Checker!$B$6:$B$405,$A48,Checker!O$6:O$405,Lbl_Viol)</f>
        <v>2</v>
      </c>
      <c r="L48" s="42">
        <f>COUNTIFS(Checker!$B$6:$B$405,$A48,Checker!P$6:P$405,Lbl_Viol)</f>
        <v>2</v>
      </c>
      <c r="M48" s="42">
        <f>COUNTIFS(Checker!$B$6:$B$405,$A48,Checker!Q$6:Q$405,Lbl_Viol)</f>
        <v>2</v>
      </c>
    </row>
    <row r="49" spans="1:13" ht="15" customHeight="1" x14ac:dyDescent="0.3">
      <c r="A49" s="45" t="s">
        <v>61</v>
      </c>
      <c r="B49" s="46">
        <f>SUM(B44:B48)</f>
        <v>400</v>
      </c>
      <c r="C49" s="46">
        <f>SUM(C44:C48)</f>
        <v>231</v>
      </c>
      <c r="D49" s="46">
        <f>SUM(D44:D48)</f>
        <v>169</v>
      </c>
      <c r="E49" s="47">
        <f t="shared" si="3"/>
        <v>0.57750000000000001</v>
      </c>
      <c r="F49" s="46">
        <f t="shared" ref="F49:M49" si="4">SUM(F44:F48)</f>
        <v>7</v>
      </c>
      <c r="G49" s="46">
        <f t="shared" si="4"/>
        <v>18</v>
      </c>
      <c r="H49" s="46">
        <f t="shared" si="4"/>
        <v>18</v>
      </c>
      <c r="I49" s="46">
        <f t="shared" si="4"/>
        <v>31</v>
      </c>
      <c r="J49" s="46">
        <f t="shared" si="4"/>
        <v>55</v>
      </c>
      <c r="K49" s="46">
        <f t="shared" si="4"/>
        <v>12</v>
      </c>
      <c r="L49" s="46">
        <f t="shared" si="4"/>
        <v>60</v>
      </c>
      <c r="M49" s="46">
        <f t="shared" si="4"/>
        <v>78</v>
      </c>
    </row>
    <row r="50" spans="1:13" ht="15" customHeight="1" x14ac:dyDescent="0.25">
      <c r="A50" s="36" t="s">
        <v>888</v>
      </c>
      <c r="B50" s="36" t="str">
        <f>IF(B49=$B$6,"OK","CHECK - a value is missing from the list")</f>
        <v>OK</v>
      </c>
    </row>
    <row r="52" spans="1:13" ht="15" customHeight="1" x14ac:dyDescent="0.3">
      <c r="A52" s="31" t="s">
        <v>890</v>
      </c>
    </row>
    <row r="53" spans="1:13" ht="23.25" customHeight="1" x14ac:dyDescent="0.25">
      <c r="A53" s="32" t="s">
        <v>825</v>
      </c>
      <c r="B53" s="32" t="s">
        <v>849</v>
      </c>
    </row>
    <row r="54" spans="1:13" ht="15" customHeight="1" x14ac:dyDescent="0.25">
      <c r="A54" s="36" t="str">
        <f>Checker!A410</f>
        <v>TP-03</v>
      </c>
      <c r="B54" t="str">
        <f>Checker!B410</f>
        <v>Train class (AC 2-tier / AC 1st) is not in the data</v>
      </c>
    </row>
    <row r="55" spans="1:13" ht="15" customHeight="1" x14ac:dyDescent="0.25">
      <c r="A55" s="36" t="str">
        <f>Checker!A411</f>
        <v>TP-07</v>
      </c>
      <c r="B55" t="str">
        <f>Checker!B411</f>
        <v>Cab type (app cab, auto, self-drive) and prior approval are not in the data</v>
      </c>
    </row>
    <row r="56" spans="1:13" ht="15" customHeight="1" x14ac:dyDescent="0.25">
      <c r="A56" s="36" t="str">
        <f>Checker!A412</f>
        <v>TP-11</v>
      </c>
      <c r="B56" t="str">
        <f>Checker!B412</f>
        <v>International flag, business unit head / CFO approvals and departure date are not in the data</v>
      </c>
    </row>
    <row r="57" spans="1:13" ht="15" customHeight="1" x14ac:dyDescent="0.25">
      <c r="A57" s="36" t="str">
        <f>Checker!A413</f>
        <v>TP-12</v>
      </c>
      <c r="B57" t="str">
        <f>Checker!B413</f>
        <v>Personal days added to the trip and the business-only fare are not in the data</v>
      </c>
    </row>
    <row r="58" spans="1:13" ht="15" customHeight="1" x14ac:dyDescent="0.25">
      <c r="A58" s="36" t="str">
        <f>Checker!A414</f>
        <v>TP-13</v>
      </c>
      <c r="B58" t="str">
        <f>Checker!B414</f>
        <v>Approver fields and a trip ID / total trip cost are not in the data</v>
      </c>
    </row>
    <row r="59" spans="1:13" ht="15" customHeight="1" x14ac:dyDescent="0.25">
      <c r="A59" s="36" t="str">
        <f>Checker!A415</f>
        <v>TP-14</v>
      </c>
      <c r="B59" t="str">
        <f>Checker!B415</f>
        <v>Cancellation flag and cancellation reason are not in the data</v>
      </c>
    </row>
    <row r="60" spans="1:13" ht="15" customHeight="1" x14ac:dyDescent="0.25">
      <c r="A60" s="36" t="str">
        <f>Checker!A416</f>
        <v>TP-15</v>
      </c>
      <c r="B60" t="str">
        <f>Checker!B416</f>
        <v>Traveller / relationship (spouse or family member) is not in the data</v>
      </c>
    </row>
    <row r="62" spans="1:13" ht="15" customHeight="1" x14ac:dyDescent="0.3">
      <c r="A62" s="31" t="s">
        <v>891</v>
      </c>
    </row>
    <row r="63" spans="1:13" ht="15" customHeight="1" x14ac:dyDescent="0.25">
      <c r="A63" s="32" t="s">
        <v>860</v>
      </c>
      <c r="B63" s="32" t="s">
        <v>861</v>
      </c>
      <c r="C63" s="32" t="s">
        <v>780</v>
      </c>
    </row>
    <row r="64" spans="1:13" ht="15" customHeight="1" x14ac:dyDescent="0.25">
      <c r="A64" s="36" t="s">
        <v>892</v>
      </c>
      <c r="B64" s="42">
        <f>COUNTIF(Checker!$W$6:$W$405,Lbl_NeedNights)</f>
        <v>49</v>
      </c>
      <c r="C64" s="36" t="s">
        <v>893</v>
      </c>
    </row>
    <row r="65" spans="1:4" ht="15" customHeight="1" x14ac:dyDescent="0.25">
      <c r="A65" s="36" t="s">
        <v>894</v>
      </c>
      <c r="B65" s="42">
        <f>COUNTIF(Checker!$W$6:$W$405,Lbl_NeedDays)</f>
        <v>55</v>
      </c>
      <c r="C65" s="36" t="s">
        <v>895</v>
      </c>
    </row>
    <row r="66" spans="1:4" ht="15" customHeight="1" x14ac:dyDescent="0.25">
      <c r="A66" s="36" t="s">
        <v>896</v>
      </c>
      <c r="B66" s="42">
        <f>COUNTIF(Checker!$W$6:$W$405,Lbl_NeedApproval)</f>
        <v>18</v>
      </c>
      <c r="C66" s="36" t="s">
        <v>897</v>
      </c>
    </row>
    <row r="67" spans="1:4" ht="15" customHeight="1" x14ac:dyDescent="0.3">
      <c r="A67" s="45" t="s">
        <v>898</v>
      </c>
      <c r="B67" s="46">
        <f>SUM(B64:B66)</f>
        <v>122</v>
      </c>
      <c r="C67" s="36" t="s">
        <v>899</v>
      </c>
    </row>
    <row r="68" spans="1:4" ht="15" customHeight="1" x14ac:dyDescent="0.25">
      <c r="A68" s="36" t="s">
        <v>900</v>
      </c>
      <c r="B68" s="44">
        <f>IF(C27=0,0,B67/C27)</f>
        <v>0.43727598566308246</v>
      </c>
      <c r="C68" s="36" t="s">
        <v>901</v>
      </c>
    </row>
    <row r="69" spans="1:4" ht="15" customHeight="1" x14ac:dyDescent="0.25">
      <c r="A69" s="36" t="s">
        <v>902</v>
      </c>
      <c r="B69" s="42" t="str">
        <f>IF(B67=C20+C21+C22+C23,"OK","CHECK")</f>
        <v>OK</v>
      </c>
      <c r="C69" s="36" t="s">
        <v>903</v>
      </c>
    </row>
    <row r="72" spans="1:4" ht="15" customHeight="1" x14ac:dyDescent="0.3">
      <c r="A72" s="31" t="s">
        <v>904</v>
      </c>
    </row>
    <row r="73" spans="1:4" ht="15" customHeight="1" x14ac:dyDescent="0.3">
      <c r="A73" s="32" t="s">
        <v>905</v>
      </c>
      <c r="B73" s="48">
        <v>1</v>
      </c>
      <c r="C73" s="48">
        <v>2</v>
      </c>
      <c r="D73" s="48">
        <v>3</v>
      </c>
    </row>
    <row r="74" spans="1:4" ht="15" customHeight="1" x14ac:dyDescent="0.25">
      <c r="A74" s="36" t="s">
        <v>906</v>
      </c>
      <c r="B74" s="42">
        <f>COUNTIFS(Checker!$L$6:$L$405,Lbl_Viol,Checker!$V$6:$V$405,"&gt;"&amp;B$73)</f>
        <v>18</v>
      </c>
      <c r="C74" s="42">
        <f>COUNTIFS(Checker!$L$6:$L$405,Lbl_Viol,Checker!$V$6:$V$405,"&gt;"&amp;C$73)</f>
        <v>1</v>
      </c>
      <c r="D74" s="42">
        <f>COUNTIFS(Checker!$L$6:$L$405,Lbl_Viol,Checker!$V$6:$V$405,"&gt;"&amp;D$73)</f>
        <v>0</v>
      </c>
    </row>
    <row r="75" spans="1:4" ht="15" customHeight="1" x14ac:dyDescent="0.25">
      <c r="A75" s="36" t="s">
        <v>907</v>
      </c>
      <c r="B75" s="42">
        <f>COUNTIFS(Checker!$M$6:$M$405,Lbl_Viol,Checker!$V$6:$V$405,"&gt;"&amp;B$73)</f>
        <v>31</v>
      </c>
      <c r="C75" s="42">
        <f>COUNTIFS(Checker!$M$6:$M$405,Lbl_Viol,Checker!$V$6:$V$405,"&gt;"&amp;C$73)</f>
        <v>18</v>
      </c>
      <c r="D75" s="42">
        <f>COUNTIFS(Checker!$M$6:$M$405,Lbl_Viol,Checker!$V$6:$V$405,"&gt;"&amp;D$73)</f>
        <v>12</v>
      </c>
    </row>
    <row r="76" spans="1:4" ht="15" customHeight="1" x14ac:dyDescent="0.3">
      <c r="A76" s="45" t="s">
        <v>908</v>
      </c>
      <c r="B76" s="46">
        <f>B74+B75</f>
        <v>49</v>
      </c>
      <c r="C76" s="46">
        <f>C74+C75</f>
        <v>19</v>
      </c>
      <c r="D76" s="46">
        <f>D74+D75</f>
        <v>12</v>
      </c>
    </row>
    <row r="77" spans="1:4" ht="15" customHeight="1" x14ac:dyDescent="0.25">
      <c r="A77" s="36" t="s">
        <v>909</v>
      </c>
      <c r="B77" s="42">
        <f>COUNTIFS(Checker!$N$6:$N$405,Lbl_Viol,Checker!$D$6:$D$405,Lbl_Metro,Checker!$V$6:$V$405,"&gt;"&amp;B$73)</f>
        <v>19</v>
      </c>
      <c r="C77" s="42">
        <f>COUNTIFS(Checker!$N$6:$N$405,Lbl_Viol,Checker!$D$6:$D$405,Lbl_Metro,Checker!$V$6:$V$405,"&gt;"&amp;C$73)</f>
        <v>0</v>
      </c>
      <c r="D77" s="42">
        <f>COUNTIFS(Checker!$N$6:$N$405,Lbl_Viol,Checker!$D$6:$D$405,Lbl_Metro,Checker!$V$6:$V$405,"&gt;"&amp;D$73)</f>
        <v>0</v>
      </c>
    </row>
    <row r="78" spans="1:4" ht="15" customHeight="1" x14ac:dyDescent="0.25">
      <c r="A78" s="36" t="s">
        <v>910</v>
      </c>
      <c r="B78" s="42">
        <f>COUNTIFS(Checker!$N$6:$N$405,Lbl_Viol,Checker!$D$6:$D$405,Lbl_NonMetro,Checker!$V$6:$V$405,"&gt;"&amp;B$73)</f>
        <v>36</v>
      </c>
      <c r="C78" s="42">
        <f>COUNTIFS(Checker!$N$6:$N$405,Lbl_Viol,Checker!$D$6:$D$405,Lbl_NonMetro,Checker!$V$6:$V$405,"&gt;"&amp;C$73)</f>
        <v>12</v>
      </c>
      <c r="D78" s="42">
        <f>COUNTIFS(Checker!$N$6:$N$405,Lbl_Viol,Checker!$D$6:$D$405,Lbl_NonMetro,Checker!$V$6:$V$405,"&gt;"&amp;D$73)</f>
        <v>0</v>
      </c>
    </row>
    <row r="79" spans="1:4" ht="15" customHeight="1" x14ac:dyDescent="0.3">
      <c r="A79" s="45" t="s">
        <v>911</v>
      </c>
      <c r="B79" s="46">
        <f>B77+B78</f>
        <v>55</v>
      </c>
      <c r="C79" s="46">
        <f>C77+C78</f>
        <v>12</v>
      </c>
      <c r="D79" s="46">
        <f>D77+D78</f>
        <v>0</v>
      </c>
    </row>
    <row r="80" spans="1:4" ht="15" customHeight="1" x14ac:dyDescent="0.25">
      <c r="A80" s="36" t="s">
        <v>912</v>
      </c>
      <c r="B80" s="42" t="str">
        <f>IF(AND(B74=C21,B75=C22,B77+B78=C23),"OK","CHECK")</f>
        <v>OK</v>
      </c>
    </row>
    <row r="81" spans="1:1" ht="15" customHeight="1" x14ac:dyDescent="0.25">
      <c r="A81" s="30" t="s">
        <v>913</v>
      </c>
    </row>
  </sheetData>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62"/>
  <sheetViews>
    <sheetView zoomScale="50" zoomScaleNormal="50" workbookViewId="0">
      <pane ySplit="3" topLeftCell="A19" activePane="bottomLeft" state="frozen"/>
      <selection pane="bottomLeft"/>
    </sheetView>
  </sheetViews>
  <sheetFormatPr defaultColWidth="8.6328125" defaultRowHeight="12.5" x14ac:dyDescent="0.25"/>
  <cols>
    <col min="1" max="1" width="44" customWidth="1"/>
    <col min="2" max="2" width="18" customWidth="1"/>
    <col min="3" max="3" width="16" customWidth="1"/>
    <col min="4" max="5" width="22" customWidth="1"/>
    <col min="6" max="6" width="20" customWidth="1"/>
    <col min="7" max="7" width="22" customWidth="1"/>
  </cols>
  <sheetData>
    <row r="1" spans="1:6" ht="15.75" customHeight="1" x14ac:dyDescent="0.35">
      <c r="A1" s="29" t="s">
        <v>914</v>
      </c>
    </row>
    <row r="2" spans="1:6" ht="15" customHeight="1" x14ac:dyDescent="0.25">
      <c r="A2" s="30" t="s">
        <v>915</v>
      </c>
    </row>
    <row r="4" spans="1:6" ht="15" customHeight="1" x14ac:dyDescent="0.3">
      <c r="A4" s="31" t="s">
        <v>916</v>
      </c>
    </row>
    <row r="5" spans="1:6" ht="42" customHeight="1" x14ac:dyDescent="0.25">
      <c r="A5" s="32" t="s">
        <v>825</v>
      </c>
      <c r="B5" s="32" t="s">
        <v>826</v>
      </c>
      <c r="C5" s="32" t="s">
        <v>917</v>
      </c>
      <c r="D5" s="32" t="s">
        <v>918</v>
      </c>
      <c r="E5" s="32" t="s">
        <v>919</v>
      </c>
      <c r="F5" s="32" t="s">
        <v>920</v>
      </c>
    </row>
    <row r="6" spans="1:6" ht="15" customHeight="1" x14ac:dyDescent="0.25">
      <c r="A6" s="35" t="str">
        <f>Checker!J5</f>
        <v>TP-01</v>
      </c>
      <c r="B6" s="35" t="str">
        <f>Checker!J4</f>
        <v>Definite</v>
      </c>
      <c r="C6" s="49">
        <f>COUNTIF(Checker!$J$6:$J$405,Lbl_Viol)</f>
        <v>7</v>
      </c>
      <c r="D6" s="50">
        <f>SUMIFS(Checker!$E$6:$E$405,Checker!$J$6:$J$405,Lbl_Viol)</f>
        <v>91597</v>
      </c>
      <c r="E6" s="51">
        <f t="shared" ref="E6:E13" si="0">IF($D$16=0,0,D6/$D$16)</f>
        <v>4.4648380053999015E-2</v>
      </c>
      <c r="F6" s="50">
        <f t="shared" ref="F6:F13" si="1">IF(C6=0,0,D6/C6)</f>
        <v>13085.285714285714</v>
      </c>
    </row>
    <row r="7" spans="1:6" ht="15" customHeight="1" x14ac:dyDescent="0.25">
      <c r="A7" s="35" t="str">
        <f>Checker!K5</f>
        <v>TP-02</v>
      </c>
      <c r="B7" s="35" t="str">
        <f>Checker!K4</f>
        <v>Assumption-based</v>
      </c>
      <c r="C7" s="49">
        <f>COUNTIF(Checker!$K$6:$K$405,Lbl_Viol)</f>
        <v>18</v>
      </c>
      <c r="D7" s="50">
        <f>SUMIFS(Checker!$E$6:$E$405,Checker!$K$6:$K$405,Lbl_Viol)</f>
        <v>246418</v>
      </c>
      <c r="E7" s="51">
        <f t="shared" si="0"/>
        <v>0.12011490022758746</v>
      </c>
      <c r="F7" s="50">
        <f t="shared" si="1"/>
        <v>13689.888888888889</v>
      </c>
    </row>
    <row r="8" spans="1:6" ht="15" customHeight="1" x14ac:dyDescent="0.25">
      <c r="A8" s="35" t="str">
        <f>Checker!L5</f>
        <v>TP-04</v>
      </c>
      <c r="B8" s="35" t="str">
        <f>Checker!L4</f>
        <v>Assumption-based</v>
      </c>
      <c r="C8" s="49">
        <f>COUNTIF(Checker!$L$6:$L$405,Lbl_Viol)</f>
        <v>18</v>
      </c>
      <c r="D8" s="50">
        <f>SUMIFS(Checker!$E$6:$E$405,Checker!$L$6:$L$405,Lbl_Viol)</f>
        <v>221645</v>
      </c>
      <c r="E8" s="51">
        <f t="shared" si="0"/>
        <v>0.10803945759215489</v>
      </c>
      <c r="F8" s="50">
        <f t="shared" si="1"/>
        <v>12313.611111111111</v>
      </c>
    </row>
    <row r="9" spans="1:6" ht="15" customHeight="1" x14ac:dyDescent="0.25">
      <c r="A9" s="35" t="str">
        <f>Checker!M5</f>
        <v>TP-05</v>
      </c>
      <c r="B9" s="35" t="str">
        <f>Checker!M4</f>
        <v>Assumption-based</v>
      </c>
      <c r="C9" s="49">
        <f>COUNTIF(Checker!$M$6:$M$405,Lbl_Viol)</f>
        <v>31</v>
      </c>
      <c r="D9" s="50">
        <f>SUMIFS(Checker!$E$6:$E$405,Checker!$M$6:$M$405,Lbl_Viol)</f>
        <v>361286</v>
      </c>
      <c r="E9" s="51">
        <f t="shared" si="0"/>
        <v>0.17610658248839031</v>
      </c>
      <c r="F9" s="50">
        <f t="shared" si="1"/>
        <v>11654.387096774193</v>
      </c>
    </row>
    <row r="10" spans="1:6" ht="15" customHeight="1" x14ac:dyDescent="0.25">
      <c r="A10" s="35" t="str">
        <f>Checker!N5</f>
        <v>TP-06</v>
      </c>
      <c r="B10" s="35" t="str">
        <f>Checker!N4</f>
        <v>Assumption-based</v>
      </c>
      <c r="C10" s="49">
        <f>COUNTIF(Checker!$N$6:$N$405,Lbl_Viol)</f>
        <v>55</v>
      </c>
      <c r="D10" s="50">
        <f>SUMIFS(Checker!$E$6:$E$405,Checker!$N$6:$N$405,Lbl_Viol)</f>
        <v>88385</v>
      </c>
      <c r="E10" s="51">
        <f t="shared" si="0"/>
        <v>4.3082710908356199E-2</v>
      </c>
      <c r="F10" s="50">
        <f t="shared" si="1"/>
        <v>1607</v>
      </c>
    </row>
    <row r="11" spans="1:6" ht="15" customHeight="1" x14ac:dyDescent="0.25">
      <c r="A11" s="35" t="str">
        <f>Checker!O5</f>
        <v>TP-08</v>
      </c>
      <c r="B11" s="35" t="str">
        <f>Checker!O4</f>
        <v>Definite</v>
      </c>
      <c r="C11" s="49">
        <f>COUNTIF(Checker!$O$6:$O$405,Lbl_Viol)</f>
        <v>12</v>
      </c>
      <c r="D11" s="50">
        <f>SUMIFS(Checker!$E$6:$E$405,Checker!$O$6:$O$405,Lbl_Viol)</f>
        <v>42600</v>
      </c>
      <c r="E11" s="51">
        <f t="shared" si="0"/>
        <v>2.0765101371227855E-2</v>
      </c>
      <c r="F11" s="50">
        <f t="shared" si="1"/>
        <v>3550</v>
      </c>
    </row>
    <row r="12" spans="1:6" ht="15" customHeight="1" x14ac:dyDescent="0.25">
      <c r="A12" s="35" t="str">
        <f>Checker!P5</f>
        <v>TP-09</v>
      </c>
      <c r="B12" s="35" t="str">
        <f>Checker!P4</f>
        <v>Definite</v>
      </c>
      <c r="C12" s="49">
        <f>COUNTIF(Checker!$P$6:$P$405,Lbl_Viol)</f>
        <v>60</v>
      </c>
      <c r="D12" s="50">
        <f>SUMIFS(Checker!$E$6:$E$405,Checker!$P$6:$P$405,Lbl_Viol)</f>
        <v>339018</v>
      </c>
      <c r="E12" s="51">
        <f t="shared" si="0"/>
        <v>0.16525218630682922</v>
      </c>
      <c r="F12" s="50">
        <f t="shared" si="1"/>
        <v>5650.3</v>
      </c>
    </row>
    <row r="13" spans="1:6" ht="15" customHeight="1" x14ac:dyDescent="0.25">
      <c r="A13" s="35" t="str">
        <f>Checker!Q5</f>
        <v>TP-10</v>
      </c>
      <c r="B13" s="35" t="str">
        <f>Checker!Q4</f>
        <v>Definite</v>
      </c>
      <c r="C13" s="49">
        <f>COUNTIF(Checker!$Q$6:$Q$405,Lbl_Viol)</f>
        <v>78</v>
      </c>
      <c r="D13" s="50">
        <f>SUMIFS(Checker!$E$6:$E$405,Checker!$Q$6:$Q$405,Lbl_Viol)</f>
        <v>421798</v>
      </c>
      <c r="E13" s="51">
        <f t="shared" si="0"/>
        <v>0.20560277530941706</v>
      </c>
      <c r="F13" s="50">
        <f t="shared" si="1"/>
        <v>5407.666666666667</v>
      </c>
    </row>
    <row r="14" spans="1:6" ht="23.25" customHeight="1" x14ac:dyDescent="0.25">
      <c r="A14" s="52" t="s">
        <v>921</v>
      </c>
      <c r="B14" s="35"/>
      <c r="C14" s="53">
        <f>SUM(C6:C13)</f>
        <v>279</v>
      </c>
      <c r="D14" s="54">
        <f>SUM(D6:D13)</f>
        <v>1812747</v>
      </c>
      <c r="E14" s="35"/>
      <c r="F14" s="35"/>
    </row>
    <row r="15" spans="1:6" ht="15" customHeight="1" x14ac:dyDescent="0.25">
      <c r="A15" s="55" t="s">
        <v>922</v>
      </c>
      <c r="B15" s="35"/>
      <c r="C15" s="53">
        <f>COUNTIF(Checker!$R$6:$R$405,Lbl_Viol)</f>
        <v>231</v>
      </c>
      <c r="D15" s="54">
        <f>SUMIFS(Checker!$E$6:$E$405,Checker!$R$6:$R$405,Lbl_Viol)</f>
        <v>1453124</v>
      </c>
      <c r="E15" s="56">
        <f>IF($D$16=0,0,D15/$D$16)</f>
        <v>0.70831613063296028</v>
      </c>
      <c r="F15" s="50">
        <f>IF(C15=0,0,D15/C15)</f>
        <v>6290.5800865800866</v>
      </c>
    </row>
    <row r="16" spans="1:6" ht="15" customHeight="1" x14ac:dyDescent="0.25">
      <c r="A16" s="55" t="s">
        <v>923</v>
      </c>
      <c r="B16" s="35"/>
      <c r="C16" s="53">
        <f>COUNTA(Checker!$A$6:$A$405)</f>
        <v>400</v>
      </c>
      <c r="D16" s="54">
        <f>SUM(Checker!$E$6:$E$405)</f>
        <v>2051519</v>
      </c>
      <c r="E16" s="35"/>
      <c r="F16" s="35"/>
    </row>
    <row r="18" spans="1:6" ht="15" customHeight="1" x14ac:dyDescent="0.3">
      <c r="A18" s="31" t="s">
        <v>924</v>
      </c>
    </row>
    <row r="19" spans="1:6" ht="23.25" customHeight="1" x14ac:dyDescent="0.25">
      <c r="A19" s="32" t="s">
        <v>66</v>
      </c>
      <c r="B19" s="32" t="s">
        <v>684</v>
      </c>
      <c r="C19" s="32" t="s">
        <v>917</v>
      </c>
      <c r="D19" s="32" t="s">
        <v>925</v>
      </c>
      <c r="E19" s="32" t="s">
        <v>918</v>
      </c>
      <c r="F19" s="32" t="s">
        <v>926</v>
      </c>
    </row>
    <row r="20" spans="1:6" ht="15" customHeight="1" x14ac:dyDescent="0.25">
      <c r="A20" s="35" t="str">
        <f>Summary!A31</f>
        <v>Flight</v>
      </c>
      <c r="B20" s="49">
        <f>COUNTIF(Checker!$C$6:$C$405,$A20)</f>
        <v>58</v>
      </c>
      <c r="C20" s="49">
        <f>COUNTIFS(Checker!$C$6:$C$405,$A20,Checker!$R$6:$R$405,Lbl_Viol)</f>
        <v>36</v>
      </c>
      <c r="D20" s="50">
        <f>SUMIFS(Checker!$E$6:$E$405,Checker!$C$6:$C$405,$A20)</f>
        <v>707296</v>
      </c>
      <c r="E20" s="50">
        <f>SUMIFS(Checker!$E$6:$E$405,Checker!$C$6:$C$405,$A20,Checker!$R$6:$R$405,Lbl_Viol)</f>
        <v>477298</v>
      </c>
      <c r="F20" s="51">
        <f t="shared" ref="F20:F28" si="2">IF(D20=0,0,E20/D20)</f>
        <v>0.67482072569334484</v>
      </c>
    </row>
    <row r="21" spans="1:6" ht="15" customHeight="1" x14ac:dyDescent="0.25">
      <c r="A21" s="35" t="str">
        <f>Summary!A32</f>
        <v>Hotel</v>
      </c>
      <c r="B21" s="49">
        <f>COUNTIF(Checker!$C$6:$C$405,$A21)</f>
        <v>73</v>
      </c>
      <c r="C21" s="49">
        <f>COUNTIFS(Checker!$C$6:$C$405,$A21,Checker!$R$6:$R$405,Lbl_Viol)</f>
        <v>61</v>
      </c>
      <c r="D21" s="50">
        <f>SUMIFS(Checker!$E$6:$E$405,Checker!$C$6:$C$405,$A21)</f>
        <v>705220</v>
      </c>
      <c r="E21" s="50">
        <f>SUMIFS(Checker!$E$6:$E$405,Checker!$C$6:$C$405,$A21,Checker!$R$6:$R$405,Lbl_Viol)</f>
        <v>642875</v>
      </c>
      <c r="F21" s="51">
        <f t="shared" si="2"/>
        <v>0.91159496327387202</v>
      </c>
    </row>
    <row r="22" spans="1:6" ht="15" customHeight="1" x14ac:dyDescent="0.25">
      <c r="A22" s="35" t="str">
        <f>Summary!A33</f>
        <v>Meals/DA</v>
      </c>
      <c r="B22" s="49">
        <f>COUNTIF(Checker!$C$6:$C$405,$A22)</f>
        <v>83</v>
      </c>
      <c r="C22" s="49">
        <f>COUNTIFS(Checker!$C$6:$C$405,$A22,Checker!$R$6:$R$405,Lbl_Viol)</f>
        <v>63</v>
      </c>
      <c r="D22" s="50">
        <f>SUMIFS(Checker!$E$6:$E$405,Checker!$C$6:$C$405,$A22)</f>
        <v>111822</v>
      </c>
      <c r="E22" s="50">
        <f>SUMIFS(Checker!$E$6:$E$405,Checker!$C$6:$C$405,$A22,Checker!$R$6:$R$405,Lbl_Viol)</f>
        <v>95212</v>
      </c>
      <c r="F22" s="51">
        <f t="shared" si="2"/>
        <v>0.85146035663822861</v>
      </c>
    </row>
    <row r="23" spans="1:6" ht="15" customHeight="1" x14ac:dyDescent="0.25">
      <c r="A23" s="35" t="str">
        <f>Summary!A34</f>
        <v>Alcohol</v>
      </c>
      <c r="B23" s="49">
        <f>COUNTIF(Checker!$C$6:$C$405,$A23)</f>
        <v>12</v>
      </c>
      <c r="C23" s="49">
        <f>COUNTIFS(Checker!$C$6:$C$405,$A23,Checker!$R$6:$R$405,Lbl_Viol)</f>
        <v>12</v>
      </c>
      <c r="D23" s="50">
        <f>SUMIFS(Checker!$E$6:$E$405,Checker!$C$6:$C$405,$A23)</f>
        <v>42600</v>
      </c>
      <c r="E23" s="50">
        <f>SUMIFS(Checker!$E$6:$E$405,Checker!$C$6:$C$405,$A23,Checker!$R$6:$R$405,Lbl_Viol)</f>
        <v>42600</v>
      </c>
      <c r="F23" s="51">
        <f t="shared" si="2"/>
        <v>1</v>
      </c>
    </row>
    <row r="24" spans="1:6" ht="15" customHeight="1" x14ac:dyDescent="0.25">
      <c r="A24" s="35" t="str">
        <f>Summary!A35</f>
        <v>Local Cab</v>
      </c>
      <c r="B24" s="49">
        <f>COUNTIF(Checker!$C$6:$C$405,$A24)</f>
        <v>81</v>
      </c>
      <c r="C24" s="49">
        <f>COUNTIFS(Checker!$C$6:$C$405,$A24,Checker!$R$6:$R$405,Lbl_Viol)</f>
        <v>29</v>
      </c>
      <c r="D24" s="50">
        <f>SUMIFS(Checker!$E$6:$E$405,Checker!$C$6:$C$405,$A24)</f>
        <v>94156</v>
      </c>
      <c r="E24" s="50">
        <f>SUMIFS(Checker!$E$6:$E$405,Checker!$C$6:$C$405,$A24,Checker!$R$6:$R$405,Lbl_Viol)</f>
        <v>33823</v>
      </c>
      <c r="F24" s="51">
        <f t="shared" si="2"/>
        <v>0.35922299163091043</v>
      </c>
    </row>
    <row r="25" spans="1:6" ht="15" customHeight="1" x14ac:dyDescent="0.25">
      <c r="A25" s="35" t="str">
        <f>Summary!A36</f>
        <v>Train</v>
      </c>
      <c r="B25" s="49">
        <f>COUNTIF(Checker!$C$6:$C$405,$A25)</f>
        <v>33</v>
      </c>
      <c r="C25" s="49">
        <f>COUNTIFS(Checker!$C$6:$C$405,$A25,Checker!$R$6:$R$405,Lbl_Viol)</f>
        <v>11</v>
      </c>
      <c r="D25" s="50">
        <f>SUMIFS(Checker!$E$6:$E$405,Checker!$C$6:$C$405,$A25)</f>
        <v>81619</v>
      </c>
      <c r="E25" s="50">
        <f>SUMIFS(Checker!$E$6:$E$405,Checker!$C$6:$C$405,$A25,Checker!$R$6:$R$405,Lbl_Viol)</f>
        <v>28449</v>
      </c>
      <c r="F25" s="51">
        <f t="shared" si="2"/>
        <v>0.34855854641688822</v>
      </c>
    </row>
    <row r="26" spans="1:6" ht="15" customHeight="1" x14ac:dyDescent="0.25">
      <c r="A26" s="35" t="str">
        <f>Summary!A37</f>
        <v>Stationery</v>
      </c>
      <c r="B26" s="49">
        <f>COUNTIF(Checker!$C$6:$C$405,$A26)</f>
        <v>34</v>
      </c>
      <c r="C26" s="49">
        <f>COUNTIFS(Checker!$C$6:$C$405,$A26,Checker!$R$6:$R$405,Lbl_Viol)</f>
        <v>8</v>
      </c>
      <c r="D26" s="50">
        <f>SUMIFS(Checker!$E$6:$E$405,Checker!$C$6:$C$405,$A26)</f>
        <v>27607</v>
      </c>
      <c r="E26" s="50">
        <f>SUMIFS(Checker!$E$6:$E$405,Checker!$C$6:$C$405,$A26,Checker!$R$6:$R$405,Lbl_Viol)</f>
        <v>7280</v>
      </c>
      <c r="F26" s="51">
        <f t="shared" si="2"/>
        <v>0.26370123519397254</v>
      </c>
    </row>
    <row r="27" spans="1:6" ht="15" customHeight="1" x14ac:dyDescent="0.25">
      <c r="A27" s="35" t="str">
        <f>Summary!A38</f>
        <v>Client Entertainment</v>
      </c>
      <c r="B27" s="49">
        <f>COUNTIF(Checker!$C$6:$C$405,$A27)</f>
        <v>26</v>
      </c>
      <c r="C27" s="49">
        <f>COUNTIFS(Checker!$C$6:$C$405,$A27,Checker!$R$6:$R$405,Lbl_Viol)</f>
        <v>11</v>
      </c>
      <c r="D27" s="50">
        <f>SUMIFS(Checker!$E$6:$E$405,Checker!$C$6:$C$405,$A27)</f>
        <v>281199</v>
      </c>
      <c r="E27" s="50">
        <f>SUMIFS(Checker!$E$6:$E$405,Checker!$C$6:$C$405,$A27,Checker!$R$6:$R$405,Lbl_Viol)</f>
        <v>125587</v>
      </c>
      <c r="F27" s="51">
        <f t="shared" si="2"/>
        <v>0.44661254129637729</v>
      </c>
    </row>
    <row r="28" spans="1:6" ht="15" customHeight="1" x14ac:dyDescent="0.25">
      <c r="A28" s="55" t="s">
        <v>61</v>
      </c>
      <c r="B28" s="53">
        <f>SUM(B20:B27)</f>
        <v>400</v>
      </c>
      <c r="C28" s="53">
        <f>SUM(C20:C27)</f>
        <v>231</v>
      </c>
      <c r="D28" s="54">
        <f>SUM(D20:D27)</f>
        <v>2051519</v>
      </c>
      <c r="E28" s="54">
        <f>SUM(E20:E27)</f>
        <v>1453124</v>
      </c>
      <c r="F28" s="56">
        <f t="shared" si="2"/>
        <v>0.70831613063296028</v>
      </c>
    </row>
    <row r="29" spans="1:6" ht="15" customHeight="1" x14ac:dyDescent="0.25">
      <c r="A29" s="35" t="s">
        <v>927</v>
      </c>
      <c r="B29" s="57" t="str">
        <f>IF(AND(B28=$C$16,C28=$C$15,E28=$D$15),"OK","CHECK")</f>
        <v>OK</v>
      </c>
    </row>
    <row r="31" spans="1:6" ht="15" customHeight="1" x14ac:dyDescent="0.3">
      <c r="A31" s="31" t="s">
        <v>928</v>
      </c>
    </row>
    <row r="32" spans="1:6" ht="23.25" customHeight="1" x14ac:dyDescent="0.25">
      <c r="A32" s="32" t="s">
        <v>65</v>
      </c>
      <c r="B32" s="32" t="s">
        <v>684</v>
      </c>
      <c r="C32" s="32" t="s">
        <v>917</v>
      </c>
      <c r="D32" s="32" t="s">
        <v>925</v>
      </c>
      <c r="E32" s="32" t="s">
        <v>918</v>
      </c>
      <c r="F32" s="32" t="s">
        <v>926</v>
      </c>
    </row>
    <row r="33" spans="1:6" ht="15" customHeight="1" x14ac:dyDescent="0.25">
      <c r="A33" s="35" t="str">
        <f>Summary!A44</f>
        <v>M1</v>
      </c>
      <c r="B33" s="49">
        <f>COUNTIF(Checker!$B$6:$B$405,$A33)</f>
        <v>122</v>
      </c>
      <c r="C33" s="49">
        <f>COUNTIFS(Checker!$B$6:$B$405,$A33,Checker!$R$6:$R$405,Lbl_Viol)</f>
        <v>77</v>
      </c>
      <c r="D33" s="50">
        <f>SUMIFS(Checker!$E$6:$E$405,Checker!$B$6:$B$405,$A33)</f>
        <v>605519</v>
      </c>
      <c r="E33" s="50">
        <f>SUMIFS(Checker!$E$6:$E$405,Checker!$B$6:$B$405,$A33,Checker!$R$6:$R$405,Lbl_Viol)</f>
        <v>465409</v>
      </c>
      <c r="F33" s="51">
        <f t="shared" ref="F33:F38" si="3">IF(D33=0,0,E33/D33)</f>
        <v>0.768611719863456</v>
      </c>
    </row>
    <row r="34" spans="1:6" ht="15" customHeight="1" x14ac:dyDescent="0.25">
      <c r="A34" s="35" t="str">
        <f>Summary!A45</f>
        <v>M2</v>
      </c>
      <c r="B34" s="49">
        <f>COUNTIF(Checker!$B$6:$B$405,$A34)</f>
        <v>148</v>
      </c>
      <c r="C34" s="49">
        <f>COUNTIFS(Checker!$B$6:$B$405,$A34,Checker!$R$6:$R$405,Lbl_Viol)</f>
        <v>80</v>
      </c>
      <c r="D34" s="50">
        <f>SUMIFS(Checker!$E$6:$E$405,Checker!$B$6:$B$405,$A34)</f>
        <v>810441</v>
      </c>
      <c r="E34" s="50">
        <f>SUMIFS(Checker!$E$6:$E$405,Checker!$B$6:$B$405,$A34,Checker!$R$6:$R$405,Lbl_Viol)</f>
        <v>541870</v>
      </c>
      <c r="F34" s="51">
        <f t="shared" si="3"/>
        <v>0.66861128694130723</v>
      </c>
    </row>
    <row r="35" spans="1:6" ht="15" customHeight="1" x14ac:dyDescent="0.25">
      <c r="A35" s="35" t="str">
        <f>Summary!A46</f>
        <v>M3</v>
      </c>
      <c r="B35" s="49">
        <f>COUNTIF(Checker!$B$6:$B$405,$A35)</f>
        <v>83</v>
      </c>
      <c r="C35" s="49">
        <f>COUNTIFS(Checker!$B$6:$B$405,$A35,Checker!$R$6:$R$405,Lbl_Viol)</f>
        <v>50</v>
      </c>
      <c r="D35" s="50">
        <f>SUMIFS(Checker!$E$6:$E$405,Checker!$B$6:$B$405,$A35)</f>
        <v>390260</v>
      </c>
      <c r="E35" s="50">
        <f>SUMIFS(Checker!$E$6:$E$405,Checker!$B$6:$B$405,$A35,Checker!$R$6:$R$405,Lbl_Viol)</f>
        <v>283007</v>
      </c>
      <c r="F35" s="51">
        <f t="shared" si="3"/>
        <v>0.72517552400963459</v>
      </c>
    </row>
    <row r="36" spans="1:6" ht="15" customHeight="1" x14ac:dyDescent="0.25">
      <c r="A36" s="35" t="str">
        <f>Summary!A47</f>
        <v>M4</v>
      </c>
      <c r="B36" s="49">
        <f>COUNTIF(Checker!$B$6:$B$405,$A36)</f>
        <v>27</v>
      </c>
      <c r="C36" s="49">
        <f>COUNTIFS(Checker!$B$6:$B$405,$A36,Checker!$R$6:$R$405,Lbl_Viol)</f>
        <v>13</v>
      </c>
      <c r="D36" s="50">
        <f>SUMIFS(Checker!$E$6:$E$405,Checker!$B$6:$B$405,$A36)</f>
        <v>122206</v>
      </c>
      <c r="E36" s="50">
        <f>SUMIFS(Checker!$E$6:$E$405,Checker!$B$6:$B$405,$A36,Checker!$R$6:$R$405,Lbl_Viol)</f>
        <v>79891</v>
      </c>
      <c r="F36" s="51">
        <f t="shared" si="3"/>
        <v>0.65374040554473589</v>
      </c>
    </row>
    <row r="37" spans="1:6" ht="15" customHeight="1" x14ac:dyDescent="0.25">
      <c r="A37" s="35" t="str">
        <f>Summary!A48</f>
        <v>M5</v>
      </c>
      <c r="B37" s="49">
        <f>COUNTIF(Checker!$B$6:$B$405,$A37)</f>
        <v>20</v>
      </c>
      <c r="C37" s="49">
        <f>COUNTIFS(Checker!$B$6:$B$405,$A37,Checker!$R$6:$R$405,Lbl_Viol)</f>
        <v>11</v>
      </c>
      <c r="D37" s="50">
        <f>SUMIFS(Checker!$E$6:$E$405,Checker!$B$6:$B$405,$A37)</f>
        <v>123093</v>
      </c>
      <c r="E37" s="50">
        <f>SUMIFS(Checker!$E$6:$E$405,Checker!$B$6:$B$405,$A37,Checker!$R$6:$R$405,Lbl_Viol)</f>
        <v>82947</v>
      </c>
      <c r="F37" s="51">
        <f t="shared" si="3"/>
        <v>0.67385635251395282</v>
      </c>
    </row>
    <row r="38" spans="1:6" ht="15" customHeight="1" x14ac:dyDescent="0.25">
      <c r="A38" s="55" t="s">
        <v>61</v>
      </c>
      <c r="B38" s="53">
        <f>SUM(B33:B37)</f>
        <v>400</v>
      </c>
      <c r="C38" s="53">
        <f>SUM(C33:C37)</f>
        <v>231</v>
      </c>
      <c r="D38" s="54">
        <f>SUM(D33:D37)</f>
        <v>2051519</v>
      </c>
      <c r="E38" s="54">
        <f>SUM(E33:E37)</f>
        <v>1453124</v>
      </c>
      <c r="F38" s="56">
        <f t="shared" si="3"/>
        <v>0.70831613063296028</v>
      </c>
    </row>
    <row r="39" spans="1:6" ht="15" customHeight="1" x14ac:dyDescent="0.25">
      <c r="A39" s="35" t="s">
        <v>927</v>
      </c>
      <c r="B39" s="57" t="str">
        <f>IF(AND(B38=$C$16,C38=$C$15,E38=$D$15),"OK","CHECK")</f>
        <v>OK</v>
      </c>
    </row>
    <row r="41" spans="1:6" ht="15" customHeight="1" x14ac:dyDescent="0.3">
      <c r="A41" s="31" t="s">
        <v>929</v>
      </c>
    </row>
    <row r="42" spans="1:6" ht="23.25" customHeight="1" x14ac:dyDescent="0.25">
      <c r="A42" s="32" t="s">
        <v>68</v>
      </c>
      <c r="B42" s="32" t="s">
        <v>684</v>
      </c>
      <c r="C42" s="32" t="s">
        <v>917</v>
      </c>
      <c r="D42" s="32" t="s">
        <v>925</v>
      </c>
      <c r="E42" s="32" t="s">
        <v>918</v>
      </c>
      <c r="F42" s="32" t="s">
        <v>926</v>
      </c>
    </row>
    <row r="43" spans="1:6" ht="15" customHeight="1" x14ac:dyDescent="0.25">
      <c r="A43" s="35" t="str">
        <f>Lbl_Metro</f>
        <v>Metro</v>
      </c>
      <c r="B43" s="49">
        <f>COUNTIF(Checker!$D$6:$D$405,$A43)</f>
        <v>193</v>
      </c>
      <c r="C43" s="49">
        <f>COUNTIFS(Checker!$D$6:$D$405,$A43,Checker!$R$6:$R$405,Lbl_Viol)</f>
        <v>106</v>
      </c>
      <c r="D43" s="50">
        <f>SUMIFS(Checker!$E$6:$E$405,Checker!$D$6:$D$405,$A43)</f>
        <v>966671</v>
      </c>
      <c r="E43" s="50">
        <f>SUMIFS(Checker!$E$6:$E$405,Checker!$D$6:$D$405,$A43,Checker!$R$6:$R$405,Lbl_Viol)</f>
        <v>644453</v>
      </c>
      <c r="F43" s="51">
        <f>IF(D43=0,0,E43/D43)</f>
        <v>0.66667252870935401</v>
      </c>
    </row>
    <row r="44" spans="1:6" ht="15" customHeight="1" x14ac:dyDescent="0.25">
      <c r="A44" s="35" t="str">
        <f>Lbl_NonMetro</f>
        <v>Non-metro</v>
      </c>
      <c r="B44" s="49">
        <f>COUNTIF(Checker!$D$6:$D$405,$A44)</f>
        <v>207</v>
      </c>
      <c r="C44" s="49">
        <f>COUNTIFS(Checker!$D$6:$D$405,$A44,Checker!$R$6:$R$405,Lbl_Viol)</f>
        <v>125</v>
      </c>
      <c r="D44" s="50">
        <f>SUMIFS(Checker!$E$6:$E$405,Checker!$D$6:$D$405,$A44)</f>
        <v>1084848</v>
      </c>
      <c r="E44" s="50">
        <f>SUMIFS(Checker!$E$6:$E$405,Checker!$D$6:$D$405,$A44,Checker!$R$6:$R$405,Lbl_Viol)</f>
        <v>808671</v>
      </c>
      <c r="F44" s="51">
        <f>IF(D44=0,0,E44/D44)</f>
        <v>0.74542332197690364</v>
      </c>
    </row>
    <row r="45" spans="1:6" ht="15" customHeight="1" x14ac:dyDescent="0.25">
      <c r="A45" s="55" t="s">
        <v>61</v>
      </c>
      <c r="B45" s="53">
        <f>SUM(B43:B44)</f>
        <v>400</v>
      </c>
      <c r="C45" s="53">
        <f>SUM(C43:C44)</f>
        <v>231</v>
      </c>
      <c r="D45" s="54">
        <f>SUM(D43:D44)</f>
        <v>2051519</v>
      </c>
      <c r="E45" s="54">
        <f>SUM(E43:E44)</f>
        <v>1453124</v>
      </c>
      <c r="F45" s="56">
        <f>IF(D45=0,0,E45/D45)</f>
        <v>0.70831613063296028</v>
      </c>
    </row>
    <row r="46" spans="1:6" ht="15" customHeight="1" x14ac:dyDescent="0.25">
      <c r="A46" s="35" t="s">
        <v>927</v>
      </c>
      <c r="B46" s="57" t="str">
        <f>IF(AND(B45=$C$16,C45=$C$15,E45=$D$15),"OK","CHECK")</f>
        <v>OK</v>
      </c>
    </row>
    <row r="48" spans="1:6" ht="15" customHeight="1" x14ac:dyDescent="0.3">
      <c r="A48" s="31" t="s">
        <v>930</v>
      </c>
    </row>
    <row r="49" spans="1:7" ht="23.25" customHeight="1" x14ac:dyDescent="0.25">
      <c r="A49" s="32" t="s">
        <v>792</v>
      </c>
      <c r="B49" s="32" t="s">
        <v>826</v>
      </c>
      <c r="C49" s="32" t="s">
        <v>917</v>
      </c>
      <c r="D49" s="32" t="s">
        <v>918</v>
      </c>
      <c r="E49" s="32" t="s">
        <v>931</v>
      </c>
      <c r="F49" s="32" t="s">
        <v>932</v>
      </c>
      <c r="G49" s="32" t="s">
        <v>933</v>
      </c>
    </row>
    <row r="50" spans="1:7" ht="15" customHeight="1" x14ac:dyDescent="0.25">
      <c r="A50" s="35" t="s">
        <v>906</v>
      </c>
      <c r="B50" s="35" t="str">
        <f>Lbl_Assumption</f>
        <v>Assumption-based</v>
      </c>
      <c r="C50" s="49">
        <f t="shared" ref="C50:D52" si="4">C8</f>
        <v>18</v>
      </c>
      <c r="D50" s="50">
        <f t="shared" si="4"/>
        <v>221645</v>
      </c>
      <c r="E50" s="50">
        <f>SUMPRODUCT((Checker!$L$6:$L$405=Lbl_Viol)*(Checker!$E$6:$E$405-SUMIFS(Parameters!$B$6:$B$10,Parameters!$A$6:$A$10,Checker!$B$6:$B$405)))</f>
        <v>79645</v>
      </c>
      <c r="F50" s="51">
        <f>IF(D50=0,0,E50/D50)</f>
        <v>0.35933587493514402</v>
      </c>
      <c r="G50" s="50">
        <f>IF(C50=0,0,E50/C50)</f>
        <v>4424.7222222222226</v>
      </c>
    </row>
    <row r="51" spans="1:7" ht="15" customHeight="1" x14ac:dyDescent="0.25">
      <c r="A51" s="35" t="s">
        <v>907</v>
      </c>
      <c r="B51" s="35" t="str">
        <f>Lbl_Assumption</f>
        <v>Assumption-based</v>
      </c>
      <c r="C51" s="49">
        <f t="shared" si="4"/>
        <v>31</v>
      </c>
      <c r="D51" s="50">
        <f t="shared" si="4"/>
        <v>361286</v>
      </c>
      <c r="E51" s="50">
        <f>SUMPRODUCT((Checker!$M$6:$M$405=Lbl_Viol)*(Checker!$E$6:$E$405-SUMIFS(Parameters!$C$6:$C$10,Parameters!$A$6:$A$10,Checker!$B$6:$B$405)))</f>
        <v>200786</v>
      </c>
      <c r="F51" s="51">
        <f>IF(D51=0,0,E51/D51)</f>
        <v>0.55575361348073271</v>
      </c>
      <c r="G51" s="50">
        <f>IF(C51=0,0,E51/C51)</f>
        <v>6476.9677419354839</v>
      </c>
    </row>
    <row r="52" spans="1:7" ht="15" customHeight="1" x14ac:dyDescent="0.25">
      <c r="A52" s="35" t="s">
        <v>934</v>
      </c>
      <c r="B52" s="35" t="str">
        <f>Lbl_Assumption</f>
        <v>Assumption-based</v>
      </c>
      <c r="C52" s="49">
        <f t="shared" si="4"/>
        <v>55</v>
      </c>
      <c r="D52" s="50">
        <f t="shared" si="4"/>
        <v>88385</v>
      </c>
      <c r="E52" s="50">
        <f>SUMPRODUCT((Checker!$N$6:$N$405=Lbl_Viol)*(Checker!$E$6:$E$405-((Checker!$D$6:$D$405=Lbl_Metro)*Limit_Metro+(Checker!$D$6:$D$405&lt;&gt;Lbl_Metro)*Limit_NonMetro)))</f>
        <v>33185</v>
      </c>
      <c r="F52" s="51">
        <f>IF(D52=0,0,E52/D52)</f>
        <v>0.37545963681620187</v>
      </c>
      <c r="G52" s="50">
        <f>IF(C52=0,0,E52/C52)</f>
        <v>603.36363636363637</v>
      </c>
    </row>
    <row r="53" spans="1:7" ht="15" customHeight="1" x14ac:dyDescent="0.25">
      <c r="A53" s="55" t="s">
        <v>935</v>
      </c>
      <c r="B53" s="55" t="str">
        <f>Lbl_Assumption</f>
        <v>Assumption-based</v>
      </c>
      <c r="C53" s="53">
        <f>SUM(C50:C52)</f>
        <v>104</v>
      </c>
      <c r="D53" s="54">
        <f>SUM(D50:D52)</f>
        <v>671316</v>
      </c>
      <c r="E53" s="54">
        <f>SUM(E50:E52)</f>
        <v>313616</v>
      </c>
      <c r="F53" s="56">
        <f>IF(D53=0,0,E53/D53)</f>
        <v>0.4671659844246227</v>
      </c>
      <c r="G53" s="54">
        <f>IF(C53=0,0,E53/C53)</f>
        <v>3015.5384615384614</v>
      </c>
    </row>
    <row r="54" spans="1:7" ht="15" customHeight="1" x14ac:dyDescent="0.25">
      <c r="A54" s="30" t="s">
        <v>936</v>
      </c>
    </row>
    <row r="57" spans="1:7" ht="15" customHeight="1" x14ac:dyDescent="0.3">
      <c r="A57" s="31" t="s">
        <v>937</v>
      </c>
    </row>
    <row r="58" spans="1:7" ht="15" customHeight="1" x14ac:dyDescent="0.25">
      <c r="A58" s="58" t="str">
        <f>"1. "&amp;C15&amp;" of "&amp;C16&amp;" claims are flagged, with a value of flagged claims of Rs "&amp;TEXT(D15,"#,##0")&amp;" ("&amp;TEXT(E15,"0.0%")&amp;" of the Rs "&amp;TEXT(D16,"#,##0")&amp;" total claim value). Rule-level values in section 1 sum to Rs "&amp;TEXT(D14,"#,##0")&amp;" because claims that break more than one rule add "&amp;(C14-C15)&amp;" further rule flags."</f>
        <v>1. 231 of 400 claims are flagged, with a value of flagged claims of Rs 14,53,124 (70.8% of the Rs 20,51,519 total claim value). Rule-level values in section 1 sum to Rs 18,12,747 because claims that break more than one rule add 48 further rule flags.</v>
      </c>
    </row>
    <row r="59" spans="1:7" ht="15" customHeight="1" x14ac:dyDescent="0.25">
      <c r="A59" s="58" t="str">
        <f>"2. By rule, "&amp;IF(INDEX(A6:A13,MATCH(MAX(C6:C13),C6:C13,0))=INDEX(A6:A13,MATCH(MAX(D6:D13),D6:D13,0)),INDEX(A6:A13,MATCH(MAX(C6:C13),C6:C13,0))&amp;" has both the most flagged claims ("&amp;MAX(C6:C13)&amp;") and the highest value of flagged claims (Rs "&amp;TEXT(MAX(D6:D13),"#,##0")&amp;").",INDEX(A6:A13,MATCH(MAX(C6:C13),C6:C13,0))&amp;" has the most flagged claims ("&amp;MAX(C6:C13)&amp;") and "&amp;INDEX(A6:A13,MATCH(MAX(D6:D13),D6:D13,0))&amp;" has the highest value of flagged claims (Rs "&amp;TEXT(MAX(D6:D13),"#,##0")&amp;").")</f>
        <v>2. By rule, TP-10 has both the most flagged claims (78) and the highest value of flagged claims (Rs 4,21,798).</v>
      </c>
    </row>
    <row r="60" spans="1:7" ht="15" customHeight="1" x14ac:dyDescent="0.25">
      <c r="A60" s="58" t="str">
        <f>"3. The audit of "&amp;Audit!B67&amp;" stratified flagged claims found "&amp;Audit!C67&amp;" True violations, "&amp;Audit!D67&amp;" False alarms and "&amp;Audit!E67&amp;" Cannot verify; "&amp;SUM(Audit!E60:E63)&amp;" of the "&amp;Audit!E67&amp;" Cannot verify results come from TP-02, TP-04, TP-05 and TP-06, whose flags number "&amp;SUM(C7:C10)&amp;" and whose flagged claims total Rs "&amp;TEXT(SUM(D7:D10),"#,##0")&amp;"."</f>
        <v>3. The audit of 30 stratified flagged claims found 16 True violations, 0 False alarms and 14 Cannot verify; 14 of the 14 Cannot verify results come from TP-02, TP-04, TP-05 and TP-06, whose flags number 122 and whose flagged claims total Rs 9,17,734.</v>
      </c>
    </row>
    <row r="61" spans="1:7" ht="15" customHeight="1" x14ac:dyDescent="0.25">
      <c r="A61" s="58" t="str">
        <f>"4. Under the one-night / one-day assumption (Assumption-based), the amount above the limit is Rs "&amp;TEXT(E53,"#,##0")&amp;" across "&amp;C53&amp;" TP-04, TP-05 and TP-06 flags ("&amp;TEXT(F53,"0.0%")&amp;" of their flagged value); the audit could not verify "&amp;SUM(Audit!E61:E63)&amp;" of the "&amp;SUM(Audit!B61:B63)&amp;" audited flags from these rules (CV-NIGHTS "&amp;Audit!F67&amp;", CV-DAYS "&amp;Audit!G67&amp;")."</f>
        <v>4. Under the one-night / one-day assumption (Assumption-based), the amount above the limit is Rs 3,13,616 across 104 TP-04, TP-05 and TP-06 flags (46.7% of their flagged value); the audit could not verify 11 of the 11 audited flags from these rules (CV-NIGHTS 7, CV-DAYS 4).</v>
      </c>
    </row>
    <row r="62" spans="1:7" ht="15" customHeight="1" x14ac:dyDescent="0.25">
      <c r="A62" s="58" t="str">
        <f>"5. By expense_type, "&amp;INDEX($A$20:$A$27,MATCH(MAX($E$20:$E$27),$E$20:$E$27,0))&amp;" has the highest value of flagged claims (Rs "&amp;TEXT(MAX($E$20:$E$27),"#,##0")&amp;"); by grade, "&amp;INDEX($A$33:$A$37,MATCH(MAX($E$33:$E$37),$E$33:$E$37,0))&amp;" (Rs "&amp;TEXT(MAX($E$33:$E$37),"#,##0")&amp;"). By city_class, "&amp;TEXT(F43,"0.0%")&amp;" of "&amp;A43&amp;" claim value and "&amp;TEXT(F44,"0.0%")&amp;" of "&amp;A44&amp;" claim value is flagged. The audit sampled by rule, so it does not test these splits."</f>
        <v>5. By expense_type, Hotel has the highest value of flagged claims (Rs 6,42,875); by grade, M2 (Rs 5,41,870). By city_class, 66.7% of Metro claim value and 74.5% of Non-metro claim value is flagged. The audit sampled by rule, so it does not test these splits.</v>
      </c>
    </row>
  </sheetData>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K34"/>
  <sheetViews>
    <sheetView showGridLines="0" zoomScale="67" zoomScaleNormal="67" workbookViewId="0">
      <selection sqref="A1:G1"/>
    </sheetView>
  </sheetViews>
  <sheetFormatPr defaultColWidth="8.6328125" defaultRowHeight="12.5" x14ac:dyDescent="0.25"/>
  <cols>
    <col min="1" max="1" width="7" customWidth="1"/>
    <col min="2" max="2" width="9" customWidth="1"/>
    <col min="3" max="3" width="22" customWidth="1"/>
    <col min="4" max="4" width="14" customWidth="1"/>
    <col min="5" max="5" width="20" customWidth="1"/>
    <col min="6" max="6" width="11" customWidth="1"/>
    <col min="7" max="7" width="17" customWidth="1"/>
    <col min="8" max="8" width="3" customWidth="1"/>
    <col min="9" max="9" width="10" customWidth="1"/>
    <col min="10" max="10" width="14" customWidth="1"/>
    <col min="11" max="11" width="16" customWidth="1"/>
  </cols>
  <sheetData>
    <row r="1" spans="1:10" ht="27.75" customHeight="1" x14ac:dyDescent="0.25">
      <c r="A1" s="12" t="s">
        <v>938</v>
      </c>
      <c r="B1" s="12"/>
      <c r="C1" s="12"/>
      <c r="D1" s="12"/>
      <c r="E1" s="12"/>
      <c r="F1" s="12"/>
      <c r="G1" s="12"/>
      <c r="I1" s="59" t="s">
        <v>939</v>
      </c>
    </row>
    <row r="2" spans="1:10" ht="15" customHeight="1" x14ac:dyDescent="0.25">
      <c r="A2" s="11" t="str">
        <f>""&amp;Summary!B6&amp;" claims | "&amp;COUNTA('Policy Rules'!A2:A16)&amp;" policy rules, "&amp;COUNTA(Checker!J5:Q5)&amp;" checked | Source: Summary, Analytics and Audit sheets"</f>
        <v>400 claims | 15 policy rules, 8 checked | Source: Summary, Analytics and Audit sheets</v>
      </c>
      <c r="B2" s="11"/>
      <c r="C2" s="11"/>
      <c r="D2" s="11"/>
      <c r="E2" s="11"/>
      <c r="F2" s="11"/>
      <c r="G2" s="11"/>
    </row>
    <row r="4" spans="1:10" ht="43.5" customHeight="1" x14ac:dyDescent="0.25">
      <c r="A4" s="10" t="str">
        <f>"The Checker flags "&amp;Summary!B7&amp;" of "&amp;Summary!B6&amp;" claims ("&amp;TEXT(ROUND(Summary!B9,3),"0.0%")&amp;"), worth Rs "&amp;K30&amp;" in claim value. The audit confirmed "&amp;Audit!C67&amp;" of "&amp;(Audit!C67+Audit!D67)&amp;" decided flags; a further "&amp;Audit!E67&amp;" of the "&amp;Audit!B67&amp;" audited flags could not be verified."</f>
        <v>The Checker flags 231 of 400 claims (57.8%), worth Rs 14,53,124 in claim value. The audit confirmed 16 of 16 decided flags; a further 14 of the 30 audited flags could not be verified.</v>
      </c>
      <c r="B4" s="10"/>
      <c r="C4" s="10"/>
      <c r="D4" s="10"/>
      <c r="E4" s="10"/>
      <c r="F4" s="10"/>
      <c r="G4" s="10"/>
    </row>
    <row r="6" spans="1:10" ht="25.5" customHeight="1" x14ac:dyDescent="0.25">
      <c r="A6" s="9" t="s">
        <v>684</v>
      </c>
      <c r="B6" s="9"/>
      <c r="C6" s="60" t="s">
        <v>917</v>
      </c>
      <c r="D6" s="60" t="s">
        <v>813</v>
      </c>
      <c r="E6" s="60" t="s">
        <v>940</v>
      </c>
      <c r="F6" s="9" t="s">
        <v>941</v>
      </c>
      <c r="G6" s="9"/>
    </row>
    <row r="7" spans="1:10" ht="25.5" customHeight="1" x14ac:dyDescent="0.25">
      <c r="A7" s="8">
        <f>Summary!B6</f>
        <v>400</v>
      </c>
      <c r="B7" s="8"/>
      <c r="C7" s="61">
        <f>Summary!B7</f>
        <v>231</v>
      </c>
      <c r="D7" s="61">
        <f>Summary!B8</f>
        <v>169</v>
      </c>
      <c r="E7" s="62">
        <f>Summary!B9</f>
        <v>0.57750000000000001</v>
      </c>
      <c r="F7" s="8" t="str">
        <f>K30</f>
        <v>14,53,124</v>
      </c>
      <c r="G7" s="8"/>
    </row>
    <row r="9" spans="1:10" ht="26.25" customHeight="1" x14ac:dyDescent="0.25">
      <c r="A9" s="7" t="s">
        <v>942</v>
      </c>
      <c r="B9" s="7"/>
      <c r="C9" s="7"/>
      <c r="D9" s="7"/>
      <c r="E9" s="7"/>
      <c r="F9" s="7"/>
      <c r="G9" s="7"/>
    </row>
    <row r="10" spans="1:10" ht="25.5" customHeight="1" x14ac:dyDescent="0.25">
      <c r="A10" s="63" t="s">
        <v>943</v>
      </c>
      <c r="B10" s="63" t="s">
        <v>792</v>
      </c>
      <c r="C10" s="63" t="s">
        <v>944</v>
      </c>
      <c r="D10" s="63" t="s">
        <v>917</v>
      </c>
      <c r="E10" s="63" t="s">
        <v>941</v>
      </c>
      <c r="F10" s="63" t="s">
        <v>945</v>
      </c>
      <c r="G10" s="63" t="s">
        <v>826</v>
      </c>
    </row>
    <row r="11" spans="1:10" ht="15" customHeight="1" x14ac:dyDescent="0.25">
      <c r="A11" s="64">
        <f>ROWS($A$11:A11)</f>
        <v>1</v>
      </c>
      <c r="B11" s="64" t="str">
        <f>INDEX(Analytics!$A$6:$A$13,$I$12)</f>
        <v>TP-10</v>
      </c>
      <c r="C11" s="65" t="str">
        <f>INDEX('Policy Rules'!$B$2:$B$16,MATCH(B11,'Policy Rules'!$A$2:$A$16,0))</f>
        <v>Claim deadline</v>
      </c>
      <c r="D11" s="66">
        <f>INDEX(Analytics!$C$6:$C$13,$I$12)</f>
        <v>78</v>
      </c>
      <c r="E11" s="67">
        <f>INDEX(Analytics!$D$6:$D$13,$I$12)</f>
        <v>421798</v>
      </c>
      <c r="F11" s="64">
        <f>RANK(E11,Analytics!$D$6:$D$13)</f>
        <v>1</v>
      </c>
      <c r="G11" s="65" t="str">
        <f>INDEX(Analytics!$B$6:$B$13,$I$12)</f>
        <v>Definite</v>
      </c>
      <c r="I11" s="59" t="s">
        <v>946</v>
      </c>
      <c r="J11" s="59" t="s">
        <v>947</v>
      </c>
    </row>
    <row r="12" spans="1:10" ht="15" customHeight="1" x14ac:dyDescent="0.25">
      <c r="A12" s="64">
        <f>ROWS($A$11:A12)</f>
        <v>2</v>
      </c>
      <c r="B12" s="64" t="str">
        <f>INDEX(Analytics!$A$6:$A$13,$I$13)</f>
        <v>TP-09</v>
      </c>
      <c r="C12" s="65" t="str">
        <f>INDEX('Policy Rules'!$B$2:$B$16,MATCH(B12,'Policy Rules'!$A$2:$A$16,0))</f>
        <v>Receipts</v>
      </c>
      <c r="D12" s="66">
        <f>INDEX(Analytics!$C$6:$C$13,$I$13)</f>
        <v>60</v>
      </c>
      <c r="E12" s="67">
        <f>INDEX(Analytics!$D$6:$D$13,$I$13)</f>
        <v>339018</v>
      </c>
      <c r="F12" s="64">
        <f>RANK(E12,Analytics!$D$6:$D$13)</f>
        <v>3</v>
      </c>
      <c r="G12" s="65" t="str">
        <f>INDEX(Analytics!$B$6:$B$13,$I$13)</f>
        <v>Definite</v>
      </c>
      <c r="I12" s="30">
        <f>MATCH(LARGE($J$12:$J$19,ROWS($A$12:A12)),$J$12:$J$19,0)</f>
        <v>8</v>
      </c>
      <c r="J12" s="30">
        <f>Analytics!C6-ROWS(Analytics!$C$6:C6)/1000</f>
        <v>6.9989999999999997</v>
      </c>
    </row>
    <row r="13" spans="1:10" ht="15" customHeight="1" x14ac:dyDescent="0.25">
      <c r="A13" s="64">
        <f>ROWS($A$11:A13)</f>
        <v>3</v>
      </c>
      <c r="B13" s="64" t="str">
        <f>INDEX(Analytics!$A$6:$A$13,$I$14)</f>
        <v>TP-06</v>
      </c>
      <c r="C13" s="65" t="str">
        <f>INDEX('Policy Rules'!$B$2:$B$16,MATCH(B13,'Policy Rules'!$A$2:$A$16,0))</f>
        <v>Daily allowance</v>
      </c>
      <c r="D13" s="66">
        <f>INDEX(Analytics!$C$6:$C$13,$I$14)</f>
        <v>55</v>
      </c>
      <c r="E13" s="67">
        <f>INDEX(Analytics!$D$6:$D$13,$I$14)</f>
        <v>88385</v>
      </c>
      <c r="F13" s="64">
        <f>RANK(E13,Analytics!$D$6:$D$13)</f>
        <v>7</v>
      </c>
      <c r="G13" s="65" t="str">
        <f>INDEX(Analytics!$B$6:$B$13,$I$14)</f>
        <v>Assumption-based</v>
      </c>
      <c r="I13" s="30">
        <f>MATCH(LARGE($J$12:$J$19,ROWS($A$12:A13)),$J$12:$J$19,0)</f>
        <v>7</v>
      </c>
      <c r="J13" s="30">
        <f>Analytics!C7-ROWS(Analytics!$C$6:C7)/1000</f>
        <v>17.998000000000001</v>
      </c>
    </row>
    <row r="14" spans="1:10" ht="15" customHeight="1" x14ac:dyDescent="0.25">
      <c r="A14" s="64">
        <f>ROWS($A$11:A14)</f>
        <v>4</v>
      </c>
      <c r="B14" s="64" t="str">
        <f>INDEX(Analytics!$A$6:$A$13,$I$15)</f>
        <v>TP-05</v>
      </c>
      <c r="C14" s="65" t="str">
        <f>INDEX('Policy Rules'!$B$2:$B$16,MATCH(B14,'Policy Rules'!$A$2:$A$16,0))</f>
        <v>Hotel limits - non-metro</v>
      </c>
      <c r="D14" s="66">
        <f>INDEX(Analytics!$C$6:$C$13,$I$15)</f>
        <v>31</v>
      </c>
      <c r="E14" s="67">
        <f>INDEX(Analytics!$D$6:$D$13,$I$15)</f>
        <v>361286</v>
      </c>
      <c r="F14" s="64">
        <f>RANK(E14,Analytics!$D$6:$D$13)</f>
        <v>2</v>
      </c>
      <c r="G14" s="65" t="str">
        <f>INDEX(Analytics!$B$6:$B$13,$I$15)</f>
        <v>Assumption-based</v>
      </c>
      <c r="I14" s="30">
        <f>MATCH(LARGE($J$12:$J$19,ROWS($A$12:A14)),$J$12:$J$19,0)</f>
        <v>5</v>
      </c>
      <c r="J14" s="30">
        <f>Analytics!C8-ROWS(Analytics!$C$6:C8)/1000</f>
        <v>17.997</v>
      </c>
    </row>
    <row r="15" spans="1:10" ht="15" customHeight="1" x14ac:dyDescent="0.25">
      <c r="A15" s="64">
        <f>ROWS($A$11:A15)</f>
        <v>5</v>
      </c>
      <c r="B15" s="64" t="str">
        <f>INDEX(Analytics!$A$6:$A$13,$I$16)</f>
        <v>TP-02</v>
      </c>
      <c r="C15" s="65" t="str">
        <f>INDEX('Policy Rules'!$B$2:$B$16,MATCH(B15,'Policy Rules'!$A$2:$A$16,0))</f>
        <v>Advance booking</v>
      </c>
      <c r="D15" s="66">
        <f>INDEX(Analytics!$C$6:$C$13,$I$16)</f>
        <v>18</v>
      </c>
      <c r="E15" s="67">
        <f>INDEX(Analytics!$D$6:$D$13,$I$16)</f>
        <v>246418</v>
      </c>
      <c r="F15" s="64">
        <f>RANK(E15,Analytics!$D$6:$D$13)</f>
        <v>4</v>
      </c>
      <c r="G15" s="65" t="str">
        <f>INDEX(Analytics!$B$6:$B$13,$I$16)</f>
        <v>Assumption-based</v>
      </c>
      <c r="I15" s="30">
        <f>MATCH(LARGE($J$12:$J$19,ROWS($A$12:A15)),$J$12:$J$19,0)</f>
        <v>4</v>
      </c>
      <c r="J15" s="30">
        <f>Analytics!C9-ROWS(Analytics!$C$6:C9)/1000</f>
        <v>30.995999999999999</v>
      </c>
    </row>
    <row r="16" spans="1:10" ht="15" customHeight="1" x14ac:dyDescent="0.25">
      <c r="A16" s="64">
        <f>ROWS($A$11:A16)</f>
        <v>6</v>
      </c>
      <c r="B16" s="64" t="str">
        <f>INDEX(Analytics!$A$6:$A$13,$I$17)</f>
        <v>TP-04</v>
      </c>
      <c r="C16" s="65" t="str">
        <f>INDEX('Policy Rules'!$B$2:$B$16,MATCH(B16,'Policy Rules'!$A$2:$A$16,0))</f>
        <v>Hotel limits - metro</v>
      </c>
      <c r="D16" s="66">
        <f>INDEX(Analytics!$C$6:$C$13,$I$17)</f>
        <v>18</v>
      </c>
      <c r="E16" s="67">
        <f>INDEX(Analytics!$D$6:$D$13,$I$17)</f>
        <v>221645</v>
      </c>
      <c r="F16" s="64">
        <f>RANK(E16,Analytics!$D$6:$D$13)</f>
        <v>5</v>
      </c>
      <c r="G16" s="65" t="str">
        <f>INDEX(Analytics!$B$6:$B$13,$I$17)</f>
        <v>Assumption-based</v>
      </c>
      <c r="I16" s="30">
        <f>MATCH(LARGE($J$12:$J$19,ROWS($A$12:A16)),$J$12:$J$19,0)</f>
        <v>2</v>
      </c>
      <c r="J16" s="30">
        <f>Analytics!C10-ROWS(Analytics!$C$6:C10)/1000</f>
        <v>54.994999999999997</v>
      </c>
    </row>
    <row r="17" spans="1:11" ht="15" customHeight="1" x14ac:dyDescent="0.25">
      <c r="A17" s="64">
        <f>ROWS($A$11:A17)</f>
        <v>7</v>
      </c>
      <c r="B17" s="64" t="str">
        <f>INDEX(Analytics!$A$6:$A$13,$I$18)</f>
        <v>TP-08</v>
      </c>
      <c r="C17" s="65" t="str">
        <f>INDEX('Policy Rules'!$B$2:$B$16,MATCH(B17,'Policy Rules'!$A$2:$A$16,0))</f>
        <v>Alcohol</v>
      </c>
      <c r="D17" s="66">
        <f>INDEX(Analytics!$C$6:$C$13,$I$18)</f>
        <v>12</v>
      </c>
      <c r="E17" s="67">
        <f>INDEX(Analytics!$D$6:$D$13,$I$18)</f>
        <v>42600</v>
      </c>
      <c r="F17" s="64">
        <f>RANK(E17,Analytics!$D$6:$D$13)</f>
        <v>8</v>
      </c>
      <c r="G17" s="65" t="str">
        <f>INDEX(Analytics!$B$6:$B$13,$I$18)</f>
        <v>Definite</v>
      </c>
      <c r="I17" s="30">
        <f>MATCH(LARGE($J$12:$J$19,ROWS($A$12:A17)),$J$12:$J$19,0)</f>
        <v>3</v>
      </c>
      <c r="J17" s="30">
        <f>Analytics!C11-ROWS(Analytics!$C$6:C11)/1000</f>
        <v>11.994</v>
      </c>
    </row>
    <row r="18" spans="1:11" ht="15" customHeight="1" x14ac:dyDescent="0.25">
      <c r="A18" s="64">
        <f>ROWS($A$11:A18)</f>
        <v>8</v>
      </c>
      <c r="B18" s="64" t="str">
        <f>INDEX(Analytics!$A$6:$A$13,$I$19)</f>
        <v>TP-01</v>
      </c>
      <c r="C18" s="65" t="str">
        <f>INDEX('Policy Rules'!$B$2:$B$16,MATCH(B18,'Policy Rules'!$A$2:$A$16,0))</f>
        <v>Air travel</v>
      </c>
      <c r="D18" s="66">
        <f>INDEX(Analytics!$C$6:$C$13,$I$19)</f>
        <v>7</v>
      </c>
      <c r="E18" s="67">
        <f>INDEX(Analytics!$D$6:$D$13,$I$19)</f>
        <v>91597</v>
      </c>
      <c r="F18" s="64">
        <f>RANK(E18,Analytics!$D$6:$D$13)</f>
        <v>6</v>
      </c>
      <c r="G18" s="65" t="str">
        <f>INDEX(Analytics!$B$6:$B$13,$I$19)</f>
        <v>Definite</v>
      </c>
      <c r="I18" s="30">
        <f>MATCH(LARGE($J$12:$J$19,ROWS($A$12:A18)),$J$12:$J$19,0)</f>
        <v>6</v>
      </c>
      <c r="J18" s="30">
        <f>Analytics!C12-ROWS(Analytics!$C$6:C12)/1000</f>
        <v>59.993000000000002</v>
      </c>
    </row>
    <row r="19" spans="1:11" ht="13.5" customHeight="1" x14ac:dyDescent="0.25">
      <c r="A19" s="6" t="str">
        <f>"A claim breaking several rules appears under each rule in this table; counted once, "&amp;Summary!B7&amp;" flagged claims are worth Rs "&amp;K30&amp;"."</f>
        <v>A claim breaking several rules appears under each rule in this table; counted once, 231 flagged claims are worth Rs 14,53,124.</v>
      </c>
      <c r="B19" s="6"/>
      <c r="C19" s="6"/>
      <c r="D19" s="6"/>
      <c r="E19" s="6"/>
      <c r="F19" s="6"/>
      <c r="G19" s="6"/>
      <c r="I19" s="30">
        <f>MATCH(LARGE($J$12:$J$19,ROWS($A$12:A19)),$J$12:$J$19,0)</f>
        <v>1</v>
      </c>
      <c r="J19" s="30">
        <f>Analytics!C13-ROWS(Analytics!$C$6:C13)/1000</f>
        <v>77.992000000000004</v>
      </c>
    </row>
    <row r="21" spans="1:11" ht="15" customHeight="1" x14ac:dyDescent="0.25">
      <c r="A21" s="7" t="str">
        <f>"Audit result: "&amp;Audit!B67&amp;" flagged claims audited, stratified by rule"</f>
        <v>Audit result: 30 flagged claims audited, stratified by rule</v>
      </c>
      <c r="B21" s="7"/>
      <c r="C21" s="7"/>
      <c r="D21" s="7"/>
      <c r="E21" s="7"/>
      <c r="F21" s="7"/>
      <c r="G21" s="7"/>
    </row>
    <row r="22" spans="1:11" ht="25.5" customHeight="1" x14ac:dyDescent="0.25">
      <c r="A22" s="5" t="s">
        <v>948</v>
      </c>
      <c r="B22" s="5"/>
      <c r="C22" s="63" t="s">
        <v>949</v>
      </c>
      <c r="D22" s="63" t="s">
        <v>950</v>
      </c>
      <c r="E22" s="5" t="s">
        <v>951</v>
      </c>
      <c r="F22" s="5"/>
      <c r="G22" s="63" t="s">
        <v>952</v>
      </c>
      <c r="I22" s="30" t="s">
        <v>953</v>
      </c>
      <c r="J22" s="68">
        <f>Analytics!D11</f>
        <v>42600</v>
      </c>
      <c r="K22" s="30" t="str">
        <f>IF(ROUND(J22,0)&gt;=100000,INT(ROUND(J22,0)/100000)&amp;","&amp;TEXT(MOD(INT(ROUND(J22,0)/1000),100),"00")&amp;","&amp;TEXT(MOD(ROUND(J22,0),1000),"000"),TEXT(ROUND(J22,0),"#,##0"))</f>
        <v>42,600</v>
      </c>
    </row>
    <row r="23" spans="1:11" ht="21.75" customHeight="1" x14ac:dyDescent="0.25">
      <c r="A23" s="4">
        <f>Audit!C67</f>
        <v>16</v>
      </c>
      <c r="B23" s="4"/>
      <c r="C23" s="69">
        <f>Audit!D67</f>
        <v>0</v>
      </c>
      <c r="D23" s="69">
        <f>Audit!E67</f>
        <v>14</v>
      </c>
      <c r="E23" s="4" t="str">
        <f>Audit!F67&amp;" / "&amp;Audit!G67&amp;" / "&amp;Audit!H67</f>
        <v>7 / 4 / 3</v>
      </c>
      <c r="F23" s="4"/>
      <c r="G23" s="70">
        <f>Audit!B69</f>
        <v>0</v>
      </c>
      <c r="I23" s="30" t="s">
        <v>954</v>
      </c>
      <c r="J23" s="68">
        <f>Analytics!D12</f>
        <v>339018</v>
      </c>
      <c r="K23" s="30" t="str">
        <f>IF(ROUND(J23,0)&gt;=100000,INT(ROUND(J23,0)/100000)&amp;","&amp;TEXT(MOD(INT(ROUND(J23,0)/1000),100),"00")&amp;","&amp;TEXT(MOD(ROUND(J23,0),1000),"000"),TEXT(ROUND(J23,0),"#,##0"))</f>
        <v>3,39,018</v>
      </c>
    </row>
    <row r="24" spans="1:11" ht="25.5" customHeight="1" x14ac:dyDescent="0.25">
      <c r="A24" s="3" t="str">
        <f>"Possible false-alarm range: "&amp;TEXT(Audit!B69,"0.0%")&amp;" to "&amp;TEXT(ROUND(Audit!B70,3),"0.0%")&amp;" (Cannot-verify share "&amp;TEXT(ROUND(Audit!B71,3),"0.0%")&amp;"). The audit could not confirm or refute Assumption-based flags that need nights, days or approval."</f>
        <v>Possible false-alarm range: 0.0% to 46.7% (Cannot-verify share 46.7%). The audit could not confirm or refute Assumption-based flags that need nights, days or approval.</v>
      </c>
      <c r="B24" s="3"/>
      <c r="C24" s="3"/>
      <c r="D24" s="3"/>
      <c r="E24" s="3"/>
      <c r="F24" s="3"/>
      <c r="G24" s="3"/>
      <c r="I24" s="30" t="s">
        <v>955</v>
      </c>
      <c r="J24" s="68">
        <f>Analytics!D6</f>
        <v>91597</v>
      </c>
      <c r="K24" s="30" t="str">
        <f>IF(ROUND(J24,0)&gt;=100000,INT(ROUND(J24,0)/100000)&amp;","&amp;TEXT(MOD(INT(ROUND(J24,0)/1000),100),"00")&amp;","&amp;TEXT(MOD(ROUND(J24,0),1000),"000"),TEXT(ROUND(J24,0),"#,##0"))</f>
        <v>91,597</v>
      </c>
    </row>
    <row r="25" spans="1:11" ht="15" customHeight="1" x14ac:dyDescent="0.25">
      <c r="I25" s="30" t="s">
        <v>956</v>
      </c>
      <c r="J25" s="30">
        <f>SUMPRODUCT(--(((Checker!$J$6:$J$405=Lbl_Viol)+(Checker!$O$6:$O$405=Lbl_Viol)+(Checker!$P$6:$P$405=Lbl_Viol))&gt;0))</f>
        <v>78</v>
      </c>
    </row>
    <row r="26" spans="1:11" ht="18" customHeight="1" x14ac:dyDescent="0.25">
      <c r="A26" s="2" t="s">
        <v>957</v>
      </c>
      <c r="B26" s="2"/>
      <c r="C26" s="2"/>
      <c r="D26" s="2"/>
      <c r="E26" s="2"/>
      <c r="F26" s="2"/>
      <c r="G26" s="2"/>
      <c r="I26" s="30" t="s">
        <v>958</v>
      </c>
      <c r="J26" s="30">
        <f>SUMPRODUCT((((Checker!$J$6:$J$405=Lbl_Viol)+(Checker!$O$6:$O$405=Lbl_Viol)+(Checker!$P$6:$P$405=Lbl_Viol))&gt;0)*Checker!$E$6:$E$405)</f>
        <v>468885</v>
      </c>
      <c r="K26" s="30" t="str">
        <f>IF(ROUND(J26,0)&gt;=100000,INT(ROUND(J26,0)/100000)&amp;","&amp;TEXT(MOD(INT(ROUND(J26,0)/1000),100),"00")&amp;","&amp;TEXT(MOD(ROUND(J26,0),1000),"000"),TEXT(ROUND(J26,0),"#,##0"))</f>
        <v>4,68,885</v>
      </c>
    </row>
    <row r="27" spans="1:11" ht="169.5" customHeight="1" x14ac:dyDescent="0.25">
      <c r="A27" s="1" t="str">
        <f>"Enforce now the three Definite-basis rules the audit confirmed ("&amp;Audit!C67&amp;" of "&amp;(Audit!C67+Audit!D67)&amp;" decided flags): block alcohol claims (TP-08: "&amp;Analytics!C11&amp;" claims, Rs "&amp;K22&amp;"), require a receipt above Rs "&amp;Receipt_Threshold&amp;" (TP-09: "&amp;Analytics!C12&amp;" claims, Rs "&amp;K23&amp;") and flag Business class for grades M1 to M3 (TP-01: "&amp;Analytics!C6&amp;" claims, Rs "&amp;K24&amp;"); counted once, these are "&amp;J25&amp;" claims worth Rs "&amp;K26&amp;". For late submission (TP-10: "&amp;Analytics!C13&amp;" claims, the most frequent flag), apply the policy's own "&amp;Expired_Days&amp;"-day rejection to the "&amp;J28&amp;" claims over "&amp;Expired_Days&amp;" days (Rs "&amp;K27&amp;") and add a reminder before the "&amp;Late_Days&amp;"-day limit; this assumes trip_end_date is the return date. Before enforcing TP-02, 04, 05 and 06, add nights, days and late-booking approval fields to the claim form: "&amp;Summary!B67&amp;" of "&amp;Summary!C27&amp;" rule flags (claims worth Rs "&amp;K29&amp;") cannot be confirmed from today's data, and the audit could not verify any of the "&amp;SUM(Audit!E60:E63)&amp;" audited flags from these rules. Track success by re-running this Checker on new claims and watching the flagged share ("&amp;TEXT(ROUND(Summary!B9,3),"0.0%")&amp;" today). All figures are values of flagged claims, not savings."</f>
        <v>Enforce now the three Definite-basis rules the audit confirmed (16 of 16 decided flags): block alcohol claims (TP-08: 12 claims, Rs 42,600), require a receipt above Rs 500 (TP-09: 60 claims, Rs 3,39,018) and flag Business class for grades M1 to M3 (TP-01: 7 claims, Rs 91,597); counted once, these are 78 claims worth Rs 4,68,885. For late submission (TP-10: 78 claims, the most frequent flag), apply the policy's own 60-day rejection to the 15 claims over 60 days (Rs 1,01,153) and add a reminder before the 15-day limit; this assumes trip_end_date is the return date. Before enforcing TP-02, 04, 05 and 06, add nights, days and late-booking approval fields to the claim form: 122 of 279 rule flags (claims worth Rs 9,17,734) cannot be confirmed from today's data, and the audit could not verify any of the 14 audited flags from these rules. Track success by re-running this Checker on new claims and watching the flagged share (57.8% today). All figures are values of flagged claims, not savings.</v>
      </c>
      <c r="B27" s="1"/>
      <c r="C27" s="1"/>
      <c r="D27" s="1"/>
      <c r="E27" s="1"/>
      <c r="F27" s="1"/>
      <c r="G27" s="1"/>
      <c r="I27" s="30" t="s">
        <v>959</v>
      </c>
      <c r="J27" s="30">
        <f>SUMIFS(Checker!$E$6:$E$405,Checker!$T$6:$T$405,Lbl_Expired)</f>
        <v>101153</v>
      </c>
      <c r="K27" s="30" t="str">
        <f>IF(ROUND(J27,0)&gt;=100000,INT(ROUND(J27,0)/100000)&amp;","&amp;TEXT(MOD(INT(ROUND(J27,0)/1000),100),"00")&amp;","&amp;TEXT(MOD(ROUND(J27,0),1000),"000"),TEXT(ROUND(J27,0),"#,##0"))</f>
        <v>1,01,153</v>
      </c>
    </row>
    <row r="28" spans="1:11" ht="15" customHeight="1" x14ac:dyDescent="0.25">
      <c r="I28" s="30" t="s">
        <v>960</v>
      </c>
      <c r="J28" s="30">
        <f>Summary!B15</f>
        <v>15</v>
      </c>
    </row>
    <row r="29" spans="1:11" ht="18" customHeight="1" x14ac:dyDescent="0.25">
      <c r="A29" s="2" t="s">
        <v>961</v>
      </c>
      <c r="B29" s="2"/>
      <c r="C29" s="2"/>
      <c r="D29" s="2"/>
      <c r="E29" s="2"/>
      <c r="F29" s="2"/>
      <c r="G29" s="2"/>
      <c r="I29" s="30" t="s">
        <v>962</v>
      </c>
      <c r="J29" s="30">
        <f>SUM(Analytics!D7:D10)</f>
        <v>917734</v>
      </c>
      <c r="K29" s="30" t="str">
        <f>IF(ROUND(J29,0)&gt;=100000,INT(ROUND(J29,0)/100000)&amp;","&amp;TEXT(MOD(INT(ROUND(J29,0)/1000),100),"00")&amp;","&amp;TEXT(MOD(ROUND(J29,0),1000),"000"),TEXT(ROUND(J29,0),"#,##0"))</f>
        <v>9,17,734</v>
      </c>
    </row>
    <row r="30" spans="1:11" ht="27.75" customHeight="1" x14ac:dyDescent="0.25">
      <c r="A30" s="79" t="str">
        <f>"- "&amp;COUNTA(Summary!A54:A60)&amp;" rules are not checked ("&amp;_xlfn.TEXTJOIN(", ",TRUE(),Summary!A54:A60)&amp;"): the data lacks the fields they need. ""Compliant"" means no violation among the "&amp;COUNTA(Checker!J5:Q5)&amp;" checked rules."</f>
        <v>- 7 rules are not checked (TP-03, TP-07, TP-11, TP-12, TP-13, TP-14, TP-15): the data lacks the fields they need. "Compliant" means no violation among the 8 checked rules.</v>
      </c>
      <c r="B30" s="79"/>
      <c r="C30" s="79"/>
      <c r="D30" s="79"/>
      <c r="E30" s="79"/>
      <c r="F30" s="79"/>
      <c r="G30" s="79"/>
      <c r="I30" s="30" t="s">
        <v>963</v>
      </c>
      <c r="J30" s="68">
        <f>Analytics!D15</f>
        <v>1453124</v>
      </c>
      <c r="K30" s="30" t="str">
        <f>IF(ROUND(J30,0)&gt;=100000,INT(ROUND(J30,0)/100000)&amp;","&amp;TEXT(MOD(INT(ROUND(J30,0)/1000),100),"00")&amp;","&amp;TEXT(MOD(ROUND(J30,0),1000),"000"),TEXT(ROUND(J30,0),"#,##0"))</f>
        <v>14,53,124</v>
      </c>
    </row>
    <row r="31" spans="1:11" ht="27.75" customHeight="1" x14ac:dyDescent="0.25">
      <c r="A31" s="79" t="str">
        <f>"- One-night / one-day assumption: each hotel (TP-04, TP-05) or Meals/DA (TP-06) claim is treated as one night or one day. It affects "&amp;Analytics!C53&amp;" flags and the Rs "&amp;K31&amp;" above the limit; nights and days are not in the data."</f>
        <v>- One-night / one-day assumption: each hotel (TP-04, TP-05) or Meals/DA (TP-06) claim is treated as one night or one day. It affects 104 flags and the Rs 3,13,616 above the limit; nights and days are not in the data.</v>
      </c>
      <c r="B31" s="79"/>
      <c r="C31" s="79"/>
      <c r="D31" s="79"/>
      <c r="E31" s="79"/>
      <c r="F31" s="79"/>
      <c r="G31" s="79"/>
      <c r="I31" s="30" t="s">
        <v>964</v>
      </c>
      <c r="J31" s="68">
        <f>Analytics!E53</f>
        <v>313616</v>
      </c>
      <c r="K31" s="30" t="str">
        <f>IF(ROUND(J31,0)&gt;=100000,INT(ROUND(J31,0)/100000)&amp;","&amp;TEXT(MOD(INT(ROUND(J31,0)/1000),100),"00")&amp;","&amp;TEXT(MOD(ROUND(J31,0),1000),"000"),TEXT(ROUND(J31,0),"#,##0"))</f>
        <v>3,13,616</v>
      </c>
    </row>
    <row r="32" spans="1:11" ht="27.75" customHeight="1" x14ac:dyDescent="0.25">
      <c r="A32" s="79" t="str">
        <f>"- Return-date assumption: trip_end_date is treated as the return date for TP-10; the "&amp;Audit!C66&amp;" audited TP-10 True violations depend on it."</f>
        <v>- Return-date assumption: trip_end_date is treated as the return date for TP-10; the 5 audited TP-10 True violations depend on it.</v>
      </c>
      <c r="B32" s="79"/>
      <c r="C32" s="79"/>
      <c r="D32" s="79"/>
      <c r="E32" s="79"/>
      <c r="F32" s="79"/>
      <c r="G32" s="79"/>
    </row>
    <row r="33" spans="1:7" ht="27.75" customHeight="1" x14ac:dyDescent="0.25">
      <c r="A33" s="79" t="str">
        <f>"- The audit measures false alarms only, not missed violations. It covers "&amp;Audit!B67&amp;" flagged claims chosen by rule ("&amp;MIN(Audit!B59:B66)&amp;" to "&amp;MAX(Audit!B59:B66)&amp;" per rule), so its rates are not proportional estimates for all "&amp;Summary!B7&amp;" flagged claims."</f>
        <v>- The audit measures false alarms only, not missed violations. It covers 30 flagged claims chosen by rule (3 to 5 per rule), so its rates are not proportional estimates for all 231 flagged claims.</v>
      </c>
      <c r="B33" s="79"/>
      <c r="C33" s="79"/>
      <c r="D33" s="79"/>
      <c r="E33" s="79"/>
      <c r="F33" s="79"/>
      <c r="G33" s="79"/>
    </row>
    <row r="34" spans="1:7" ht="15.75" customHeight="1" x14ac:dyDescent="0.25">
      <c r="A34" s="80" t="str">
        <f>"- All values are values of flagged claims, not savings. A claim that breaks several rules is counted under each rule in the table above."</f>
        <v>- All values are values of flagged claims, not savings. A claim that breaks several rules is counted under each rule in the table above.</v>
      </c>
      <c r="B34" s="80"/>
      <c r="C34" s="80"/>
      <c r="D34" s="80"/>
      <c r="E34" s="80"/>
      <c r="F34" s="80"/>
      <c r="G34" s="80"/>
    </row>
  </sheetData>
  <mergeCells count="23">
    <mergeCell ref="A32:G32"/>
    <mergeCell ref="A33:G33"/>
    <mergeCell ref="A34:G34"/>
    <mergeCell ref="A26:G26"/>
    <mergeCell ref="A27:G27"/>
    <mergeCell ref="A29:G29"/>
    <mergeCell ref="A30:G30"/>
    <mergeCell ref="A31:G31"/>
    <mergeCell ref="A22:B22"/>
    <mergeCell ref="E22:F22"/>
    <mergeCell ref="A23:B23"/>
    <mergeCell ref="E23:F23"/>
    <mergeCell ref="A24:G24"/>
    <mergeCell ref="A7:B7"/>
    <mergeCell ref="F7:G7"/>
    <mergeCell ref="A9:G9"/>
    <mergeCell ref="A19:G19"/>
    <mergeCell ref="A21:G21"/>
    <mergeCell ref="A1:G1"/>
    <mergeCell ref="A2:G2"/>
    <mergeCell ref="A4:G4"/>
    <mergeCell ref="A6:B6"/>
    <mergeCell ref="F6:G6"/>
  </mergeCells>
  <printOptions horizontalCentered="1"/>
  <pageMargins left="0.5" right="0.5" top="0.5" bottom="0.5" header="0.511811023622047" footer="0.5"/>
  <pageSetup paperSize="9" orientation="portrait" horizontalDpi="300" verticalDpi="300"/>
  <headerFooter>
    <oddFooter>&amp;C&amp;8 T06 Expense claim policy checker - CFO Summary</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23"/>
  <sheetViews>
    <sheetView zoomScale="83" zoomScaleNormal="83" workbookViewId="0">
      <pane ySplit="4" topLeftCell="A5" activePane="bottomLeft" state="frozen"/>
      <selection pane="bottomLeft"/>
    </sheetView>
  </sheetViews>
  <sheetFormatPr defaultColWidth="8.6328125" defaultRowHeight="12.5" x14ac:dyDescent="0.25"/>
  <cols>
    <col min="1" max="1" width="32" customWidth="1"/>
    <col min="2" max="2" width="18" customWidth="1"/>
    <col min="3" max="3" width="15" customWidth="1"/>
    <col min="4" max="4" width="12" customWidth="1"/>
    <col min="5" max="5" width="110" customWidth="1"/>
  </cols>
  <sheetData>
    <row r="1" spans="1:5" ht="15.75" customHeight="1" x14ac:dyDescent="0.35">
      <c r="A1" s="29" t="s">
        <v>965</v>
      </c>
    </row>
    <row r="2" spans="1:5" ht="15" customHeight="1" x14ac:dyDescent="0.25">
      <c r="A2" s="30" t="s">
        <v>966</v>
      </c>
    </row>
    <row r="4" spans="1:5" ht="30" customHeight="1" x14ac:dyDescent="0.25">
      <c r="A4" s="32" t="s">
        <v>967</v>
      </c>
      <c r="B4" s="32" t="s">
        <v>968</v>
      </c>
      <c r="C4" s="32" t="s">
        <v>969</v>
      </c>
      <c r="D4" s="32" t="s">
        <v>970</v>
      </c>
      <c r="E4" s="32" t="s">
        <v>971</v>
      </c>
    </row>
    <row r="5" spans="1:5" ht="15" customHeight="1" x14ac:dyDescent="0.25">
      <c r="A5" s="35" t="str">
        <f>Parameters!$A$45</f>
        <v>TP-01</v>
      </c>
      <c r="B5" s="57">
        <f>SUMPRODUCT((Claims!$E$2:$E$401=Lbl_Flight)*(Claims!$N$2:$N$401=Lbl_Business)*(COUNTIFS(Parameters!$A$6:$A$10,Claims!$D$2:$D$401,Parameters!$D$6:$D$10,Lbl_BizNo)&gt;0))</f>
        <v>7</v>
      </c>
      <c r="C5" s="57">
        <f>COUNTIF(Checker!$J$6:$J$405,Lbl_Viol)</f>
        <v>7</v>
      </c>
      <c r="D5" s="57">
        <f t="shared" ref="D5:D20" si="0">B5-C5</f>
        <v>0</v>
      </c>
      <c r="E5" s="35" t="str">
        <f>IF(D5=0,"Match - COUNTIFS on Parameters grade table for Business-not-permitted grades, Flight rows with Business class","DIFFERENCE - COUNTIFS on Parameters grade table for Business-not-permitted grades, Flight rows with Business class; investigate")</f>
        <v>Match - COUNTIFS on Parameters grade table for Business-not-permitted grades, Flight rows with Business class</v>
      </c>
    </row>
    <row r="6" spans="1:5" ht="15" customHeight="1" x14ac:dyDescent="0.25">
      <c r="A6" s="35" t="str">
        <f>Parameters!$A$46</f>
        <v>TP-02</v>
      </c>
      <c r="B6" s="57">
        <f>COUNTIFS(Claims!$E$2:$E$401,Lbl_Flight,Claims!$M$2:$M$401,"&lt;"&amp;Min_Days_Booked)</f>
        <v>18</v>
      </c>
      <c r="C6" s="57">
        <f>COUNTIF(Checker!$K$6:$K$405,Lbl_Viol)</f>
        <v>18</v>
      </c>
      <c r="D6" s="57">
        <f t="shared" si="0"/>
        <v>0</v>
      </c>
      <c r="E6" s="35" t="str">
        <f>IF(D6=0,"Match - COUNTIFS Flight rows with days_booked below the minimum","DIFFERENCE - COUNTIFS Flight rows with days_booked below the minimum; investigate")</f>
        <v>Match - COUNTIFS Flight rows with days_booked below the minimum</v>
      </c>
    </row>
    <row r="7" spans="1:5" ht="15" customHeight="1" x14ac:dyDescent="0.25">
      <c r="A7" s="35" t="str">
        <f>Parameters!$A$47</f>
        <v>TP-04</v>
      </c>
      <c r="B7" s="57">
        <f>SUMPRODUCT((Claims!$E$2:$E$401=Lbl_Hotel)*(Claims!$G$2:$G$401=Lbl_Metro)*(Claims!$H$2:$H$401&gt;SUMIFS(Parameters!$B$6:$B$10,Parameters!$A$6:$A$10,Claims!$D$2:$D$401)))</f>
        <v>18</v>
      </c>
      <c r="C7" s="57">
        <f>COUNTIF(Checker!$L$6:$L$405,Lbl_Viol)</f>
        <v>18</v>
      </c>
      <c r="D7" s="57">
        <f t="shared" si="0"/>
        <v>0</v>
      </c>
      <c r="E7" s="35" t="str">
        <f>IF(D7=0,"Match - SUMPRODUCT Metro Hotel rows with amount above the grade cap (SUMIFS on Parameters)","DIFFERENCE - SUMPRODUCT Metro Hotel rows with amount above the grade cap (SUMIFS on Parameters); investigate")</f>
        <v>Match - SUMPRODUCT Metro Hotel rows with amount above the grade cap (SUMIFS on Parameters)</v>
      </c>
    </row>
    <row r="8" spans="1:5" ht="15" customHeight="1" x14ac:dyDescent="0.25">
      <c r="A8" s="35" t="str">
        <f>Parameters!$A$48</f>
        <v>TP-05</v>
      </c>
      <c r="B8" s="57">
        <f>SUMPRODUCT((Claims!$E$2:$E$401=Lbl_Hotel)*(Claims!$G$2:$G$401=Lbl_NonMetro)*(Claims!$H$2:$H$401&gt;SUMIFS(Parameters!$C$6:$C$10,Parameters!$A$6:$A$10,Claims!$D$2:$D$401)))</f>
        <v>31</v>
      </c>
      <c r="C8" s="57">
        <f>COUNTIF(Checker!$M$6:$M$405,Lbl_Viol)</f>
        <v>31</v>
      </c>
      <c r="D8" s="57">
        <f t="shared" si="0"/>
        <v>0</v>
      </c>
      <c r="E8" s="35" t="str">
        <f>IF(D8=0,"Match - SUMPRODUCT Non-metro Hotel rows with amount above the grade cap (SUMIFS on Parameters)","DIFFERENCE - SUMPRODUCT Non-metro Hotel rows with amount above the grade cap (SUMIFS on Parameters); investigate")</f>
        <v>Match - SUMPRODUCT Non-metro Hotel rows with amount above the grade cap (SUMIFS on Parameters)</v>
      </c>
    </row>
    <row r="9" spans="1:5" ht="15" customHeight="1" x14ac:dyDescent="0.25">
      <c r="A9" s="35" t="str">
        <f>Parameters!$A$49</f>
        <v>TP-06</v>
      </c>
      <c r="B9" s="57">
        <f>COUNTIFS(Claims!$E$2:$E$401,Lbl_Meals,Claims!$G$2:$G$401,Lbl_Metro,Claims!$H$2:$H$401,"&gt;"&amp;Limit_Metro)+COUNTIFS(Claims!$E$2:$E$401,Lbl_Meals,Claims!$G$2:$G$401,Lbl_NonMetro,Claims!$H$2:$H$401,"&gt;"&amp;Limit_NonMetro)</f>
        <v>55</v>
      </c>
      <c r="C9" s="57">
        <f>COUNTIF(Checker!$N$6:$N$405,Lbl_Viol)</f>
        <v>55</v>
      </c>
      <c r="D9" s="57">
        <f t="shared" si="0"/>
        <v>0</v>
      </c>
      <c r="E9" s="35" t="str">
        <f>IF(D9=0,"Match - COUNTIFS Meals/DA rows above the Metro and Non-metro daily limits","DIFFERENCE - COUNTIFS Meals/DA rows above the Metro and Non-metro daily limits; investigate")</f>
        <v>Match - COUNTIFS Meals/DA rows above the Metro and Non-metro daily limits</v>
      </c>
    </row>
    <row r="10" spans="1:5" ht="15" customHeight="1" x14ac:dyDescent="0.25">
      <c r="A10" s="35" t="str">
        <f>Parameters!$A$50</f>
        <v>TP-08</v>
      </c>
      <c r="B10" s="57">
        <f>COUNTIF(Claims!$E$2:$E$401,Lbl_Alcohol)</f>
        <v>12</v>
      </c>
      <c r="C10" s="57">
        <f>COUNTIF(Checker!$O$6:$O$405,Lbl_Viol)</f>
        <v>12</v>
      </c>
      <c r="D10" s="57">
        <f t="shared" si="0"/>
        <v>0</v>
      </c>
      <c r="E10" s="35" t="str">
        <f>IF(D10=0,"Match - COUNTIF Alcohol rows","DIFFERENCE - COUNTIF Alcohol rows; investigate")</f>
        <v>Match - COUNTIF Alcohol rows</v>
      </c>
    </row>
    <row r="11" spans="1:5" ht="15" customHeight="1" x14ac:dyDescent="0.25">
      <c r="A11" s="35" t="str">
        <f>Parameters!$A$51</f>
        <v>TP-09</v>
      </c>
      <c r="B11" s="57">
        <f>COUNTIFS(Claims!$K$2:$K$401,Lbl_NoReceipt,Claims!$H$2:$H$401,"&gt;"&amp;Receipt_Threshold)</f>
        <v>60</v>
      </c>
      <c r="C11" s="57">
        <f>COUNTIF(Checker!$P$6:$P$405,Lbl_Viol)</f>
        <v>60</v>
      </c>
      <c r="D11" s="57">
        <f t="shared" si="0"/>
        <v>0</v>
      </c>
      <c r="E11" s="35" t="str">
        <f>IF(D11=0,"Match - COUNTIFS no receipt and amount above the threshold","DIFFERENCE - COUNTIFS no receipt and amount above the threshold; investigate")</f>
        <v>Match - COUNTIFS no receipt and amount above the threshold</v>
      </c>
    </row>
    <row r="12" spans="1:5" ht="15" customHeight="1" x14ac:dyDescent="0.25">
      <c r="A12" s="35" t="str">
        <f>Parameters!$A$52</f>
        <v>TP-10</v>
      </c>
      <c r="B12" s="57">
        <f>SUMPRODUCT(--((Claims!$J$2:$J$401-Claims!$I$2:$I$401)&gt;Late_Days))</f>
        <v>78</v>
      </c>
      <c r="C12" s="57">
        <f>COUNTIF(Checker!$Q$6:$Q$405,Lbl_Viol)</f>
        <v>78</v>
      </c>
      <c r="D12" s="57">
        <f t="shared" si="0"/>
        <v>0</v>
      </c>
      <c r="E12" s="35" t="str">
        <f>IF(D12=0,"Match - SUMPRODUCT of (claim_submitted_date - trip_end_date) above the Late threshold","DIFFERENCE - SUMPRODUCT of (claim_submitted_date - trip_end_date) above the Late threshold; investigate")</f>
        <v>Match - SUMPRODUCT of (claim_submitted_date - trip_end_date) above the Late threshold</v>
      </c>
    </row>
    <row r="13" spans="1:5" ht="15" customHeight="1" x14ac:dyDescent="0.25">
      <c r="A13" s="35" t="s">
        <v>972</v>
      </c>
      <c r="B13" s="57">
        <f>SUMPRODUCT(((Claims!$J$2:$J$401-Claims!$I$2:$I$401)&gt;Late_Days)*((Claims!$J$2:$J$401-Claims!$I$2:$I$401)&lt;=Expired_Days))</f>
        <v>63</v>
      </c>
      <c r="C13" s="57">
        <f>COUNTIF(Checker!$T$6:$T$405,Lbl_Late)</f>
        <v>63</v>
      </c>
      <c r="D13" s="57">
        <f t="shared" si="0"/>
        <v>0</v>
      </c>
      <c r="E13" s="35" t="str">
        <f>IF(D13=0,"Match - SUMPRODUCT gap above Late threshold and up to the Expired threshold","DIFFERENCE - SUMPRODUCT gap above Late threshold and up to the Expired threshold; investigate")</f>
        <v>Match - SUMPRODUCT gap above Late threshold and up to the Expired threshold</v>
      </c>
    </row>
    <row r="14" spans="1:5" ht="15" customHeight="1" x14ac:dyDescent="0.25">
      <c r="A14" s="35" t="s">
        <v>973</v>
      </c>
      <c r="B14" s="57">
        <f>SUMPRODUCT(--((Claims!$J$2:$J$401-Claims!$I$2:$I$401)&gt;Expired_Days))</f>
        <v>15</v>
      </c>
      <c r="C14" s="57">
        <f>COUNTIF(Checker!$T$6:$T$405,Lbl_Expired)</f>
        <v>15</v>
      </c>
      <c r="D14" s="57">
        <f t="shared" si="0"/>
        <v>0</v>
      </c>
      <c r="E14" s="35" t="str">
        <f>IF(D14=0,"Match - SUMPRODUCT gap above the Expired threshold","DIFFERENCE - SUMPRODUCT gap above the Expired threshold; investigate")</f>
        <v>Match - SUMPRODUCT gap above the Expired threshold</v>
      </c>
    </row>
    <row r="15" spans="1:5" ht="15" customHeight="1" x14ac:dyDescent="0.25">
      <c r="A15" s="55" t="s">
        <v>885</v>
      </c>
      <c r="B15" s="57">
        <f>SUM(B5:B12)</f>
        <v>279</v>
      </c>
      <c r="C15" s="57">
        <f>SUM(C5:C12)</f>
        <v>279</v>
      </c>
      <c r="D15" s="57">
        <f t="shared" si="0"/>
        <v>0</v>
      </c>
      <c r="E15" s="35" t="str">
        <f>IF(D15=0,"Match - Sum of the eight rule lines above","DIFFERENCE - Sum of the eight rule lines above; investigate")</f>
        <v>Match - Sum of the eight rule lines above</v>
      </c>
    </row>
    <row r="16" spans="1:5" ht="15" customHeight="1" x14ac:dyDescent="0.25">
      <c r="A16" s="55" t="s">
        <v>862</v>
      </c>
      <c r="B16" s="57">
        <f>COUNTA(Claims!$A$2:$A$401)</f>
        <v>400</v>
      </c>
      <c r="C16" s="57">
        <f>COUNTA(Checker!$A$6:$A$405)</f>
        <v>400</v>
      </c>
      <c r="D16" s="57">
        <f t="shared" si="0"/>
        <v>0</v>
      </c>
      <c r="E16" s="35" t="str">
        <f>IF(D16=0,"Match - COUNTA of claim_id on Claims vs Checker rows","DIFFERENCE - COUNTA of claim_id on Claims vs Checker rows; investigate")</f>
        <v>Match - COUNTA of claim_id on Claims vs Checker rows</v>
      </c>
    </row>
    <row r="17" spans="1:5" ht="15" customHeight="1" x14ac:dyDescent="0.25">
      <c r="A17" s="55" t="s">
        <v>974</v>
      </c>
      <c r="B17" s="57">
        <f>SUMPRODUCT(--(((Claims!$E$2:$E$401=Lbl_Flight)*(Claims!$N$2:$N$401=Lbl_Business)*(COUNTIFS(Parameters!$A$6:$A$10,Claims!$D$2:$D$401,Parameters!$D$6:$D$10,Lbl_BizNo)&gt;0)+(Claims!$E$2:$E$401=Lbl_Flight)*(Claims!$M$2:$M$401&lt;Min_Days_Booked)+(Claims!$E$2:$E$401=Lbl_Hotel)*(Claims!$G$2:$G$401=Lbl_Metro)*(Claims!$H$2:$H$401&gt;SUMIFS(Parameters!$B$6:$B$10,Parameters!$A$6:$A$10,Claims!$D$2:$D$401))+(Claims!$E$2:$E$401=Lbl_Hotel)*(Claims!$G$2:$G$401=Lbl_NonMetro)*(Claims!$H$2:$H$401&gt;SUMIFS(Parameters!$C$6:$C$10,Parameters!$A$6:$A$10,Claims!$D$2:$D$401))+(Claims!$E$2:$E$401=Lbl_Meals)*(Claims!$H$2:$H$401&gt;((Claims!$G$2:$G$401=Lbl_Metro)*Limit_Metro+(Claims!$G$2:$G$401&lt;&gt;Lbl_Metro)*Limit_NonMetro))+(Claims!$E$2:$E$401=Lbl_Alcohol)+(Claims!$K$2:$K$401=Lbl_NoReceipt)*(Claims!$H$2:$H$401&gt;Receipt_Threshold)+((Claims!$J$2:$J$401-Claims!$I$2:$I$401)&gt;Late_Days))&gt;0))</f>
        <v>231</v>
      </c>
      <c r="C17" s="57">
        <f>COUNTIF(Checker!$R$6:$R$405,Lbl_Viol)</f>
        <v>231</v>
      </c>
      <c r="D17" s="57">
        <f t="shared" si="0"/>
        <v>0</v>
      </c>
      <c r="E17" s="35" t="str">
        <f>IF(D17=0,"Match - SUMPRODUCT: claims with at least one of the eight rules broken, per claim","DIFFERENCE - SUMPRODUCT: claims with at least one of the eight rules broken, per claim; investigate")</f>
        <v>Match - SUMPRODUCT: claims with at least one of the eight rules broken, per claim</v>
      </c>
    </row>
    <row r="18" spans="1:5" ht="15" customHeight="1" x14ac:dyDescent="0.25">
      <c r="A18" s="55" t="s">
        <v>975</v>
      </c>
      <c r="B18" s="57">
        <f>SUMPRODUCT(--(((Parameters!$B$45=Lbl_Definite)*(Claims!$E$2:$E$401=Lbl_Flight)*(Claims!$N$2:$N$401=Lbl_Business)*(COUNTIFS(Parameters!$A$6:$A$10,Claims!$D$2:$D$401,Parameters!$D$6:$D$10,Lbl_BizNo)&gt;0)+(Parameters!$B$46=Lbl_Definite)*(Claims!$E$2:$E$401=Lbl_Flight)*(Claims!$M$2:$M$401&lt;Min_Days_Booked)+(Parameters!$B$47=Lbl_Definite)*(Claims!$E$2:$E$401=Lbl_Hotel)*(Claims!$G$2:$G$401=Lbl_Metro)*(Claims!$H$2:$H$401&gt;SUMIFS(Parameters!$B$6:$B$10,Parameters!$A$6:$A$10,Claims!$D$2:$D$401))+(Parameters!$B$48=Lbl_Definite)*(Claims!$E$2:$E$401=Lbl_Hotel)*(Claims!$G$2:$G$401=Lbl_NonMetro)*(Claims!$H$2:$H$401&gt;SUMIFS(Parameters!$C$6:$C$10,Parameters!$A$6:$A$10,Claims!$D$2:$D$401))+(Parameters!$B$49=Lbl_Definite)*(Claims!$E$2:$E$401=Lbl_Meals)*(Claims!$H$2:$H$401&gt;((Claims!$G$2:$G$401=Lbl_Metro)*Limit_Metro+(Claims!$G$2:$G$401&lt;&gt;Lbl_Metro)*Limit_NonMetro))+(Parameters!$B$50=Lbl_Definite)*(Claims!$E$2:$E$401=Lbl_Alcohol)+(Parameters!$B$51=Lbl_Definite)*(Claims!$K$2:$K$401=Lbl_NoReceipt)*(Claims!$H$2:$H$401&gt;Receipt_Threshold)+(Parameters!$B$52=Lbl_Definite)*((Claims!$J$2:$J$401-Claims!$I$2:$I$401)&gt;Late_Days))&gt;0))</f>
        <v>139</v>
      </c>
      <c r="C18" s="57">
        <f>COUNTIF(Checker!$U$6:$U$405,Lbl_Definite)</f>
        <v>139</v>
      </c>
      <c r="D18" s="57">
        <f t="shared" si="0"/>
        <v>0</v>
      </c>
      <c r="E18" s="35" t="str">
        <f>IF(D18=0,"Match - SUMPRODUCT: claims breaking at least one rule whose basis in Parameters is Definite","DIFFERENCE - SUMPRODUCT: claims breaking at least one rule whose basis in Parameters is Definite; investigate")</f>
        <v>Match - SUMPRODUCT: claims breaking at least one rule whose basis in Parameters is Definite</v>
      </c>
    </row>
    <row r="19" spans="1:5" ht="15" customHeight="1" x14ac:dyDescent="0.25">
      <c r="A19" s="55" t="s">
        <v>976</v>
      </c>
      <c r="B19" s="57">
        <f>B17-B18</f>
        <v>92</v>
      </c>
      <c r="C19" s="57">
        <f>COUNTIF(Checker!$U$6:$U$405,Lbl_Assumption)</f>
        <v>92</v>
      </c>
      <c r="D19" s="57">
        <f t="shared" si="0"/>
        <v>0</v>
      </c>
      <c r="E19" s="35" t="str">
        <f>IF(D19=0,"Match - Independent flagged total minus Definite-basis flagged","DIFFERENCE - Independent flagged total minus Definite-basis flagged; investigate")</f>
        <v>Match - Independent flagged total minus Definite-basis flagged</v>
      </c>
    </row>
    <row r="20" spans="1:5" ht="15" customHeight="1" x14ac:dyDescent="0.25">
      <c r="A20" s="55" t="s">
        <v>866</v>
      </c>
      <c r="B20" s="57">
        <f>B16-B17</f>
        <v>169</v>
      </c>
      <c r="C20" s="57">
        <f>COUNTIF(Checker!$R$6:$R$405,Lbl_Comp)</f>
        <v>169</v>
      </c>
      <c r="D20" s="57">
        <f t="shared" si="0"/>
        <v>0</v>
      </c>
      <c r="E20" s="35" t="str">
        <f>IF(D20=0,"Match - Independent total claims minus independent flagged","DIFFERENCE - Independent total claims minus independent flagged; investigate")</f>
        <v>Match - Independent total claims minus independent flagged</v>
      </c>
    </row>
    <row r="22" spans="1:5" ht="15" customHeight="1" x14ac:dyDescent="0.3">
      <c r="A22" s="31" t="s">
        <v>977</v>
      </c>
    </row>
    <row r="23" spans="1:5" ht="15" customHeight="1" x14ac:dyDescent="0.3">
      <c r="A23" s="20" t="str">
        <f>IF(SUMPRODUCT(--(D5:D20&lt;&gt;0))=0,"All "&amp;ROWS(D5:D20)&amp;" lines reconcile (difference 0).",SUMPRODUCT(--(D5:D20&lt;&gt;0))&amp;" line(s) differ - see Explanation.")</f>
        <v>All 16 lines reconcile (difference 0).</v>
      </c>
    </row>
  </sheetData>
  <conditionalFormatting sqref="D5:D20">
    <cfRule type="cellIs" dxfId="3" priority="2" operator="notEqual">
      <formula>0</formula>
    </cfRule>
  </conditionalFormatting>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U79"/>
  <sheetViews>
    <sheetView zoomScale="46" zoomScaleNormal="46" workbookViewId="0">
      <pane xSplit="2" ySplit="4" topLeftCell="H5" activePane="bottomRight" state="frozen"/>
      <selection pane="topRight" activeCell="H1" sqref="H1"/>
      <selection pane="bottomLeft" activeCell="A5" sqref="A5"/>
      <selection pane="bottomRight" activeCell="S32" sqref="S32"/>
    </sheetView>
  </sheetViews>
  <sheetFormatPr defaultColWidth="8.6328125" defaultRowHeight="12.5" x14ac:dyDescent="0.25"/>
  <cols>
    <col min="1" max="1" width="9" customWidth="1"/>
    <col min="2" max="3" width="11" customWidth="1"/>
    <col min="4" max="4" width="16" customWidth="1"/>
    <col min="5" max="5" width="7" customWidth="1"/>
    <col min="6" max="6" width="19" customWidth="1"/>
    <col min="7" max="9" width="11" customWidth="1"/>
    <col min="10" max="10" width="12" customWidth="1"/>
    <col min="11" max="11" width="14" customWidth="1"/>
    <col min="12" max="12" width="11" customWidth="1"/>
    <col min="13" max="13" width="14" customWidth="1"/>
    <col min="14" max="14" width="13" customWidth="1"/>
    <col min="15" max="15" width="11" customWidth="1"/>
    <col min="16" max="16" width="9" customWidth="1"/>
    <col min="17" max="17" width="55" customWidth="1"/>
    <col min="18" max="18" width="16" customWidth="1"/>
    <col min="19" max="19" width="14" customWidth="1"/>
    <col min="20" max="20" width="90" customWidth="1"/>
    <col min="21" max="21" width="50" customWidth="1"/>
  </cols>
  <sheetData>
    <row r="1" spans="1:21" ht="15.75" customHeight="1" x14ac:dyDescent="0.35">
      <c r="A1" s="29" t="s">
        <v>978</v>
      </c>
    </row>
    <row r="2" spans="1:21" ht="15" customHeight="1" x14ac:dyDescent="0.25">
      <c r="A2" s="30" t="s">
        <v>979</v>
      </c>
    </row>
    <row r="4" spans="1:21" ht="42" customHeight="1" x14ac:dyDescent="0.25">
      <c r="A4" s="32" t="s">
        <v>980</v>
      </c>
      <c r="B4" s="32" t="s">
        <v>981</v>
      </c>
      <c r="C4" s="32" t="s">
        <v>63</v>
      </c>
      <c r="D4" s="32" t="s">
        <v>64</v>
      </c>
      <c r="E4" s="32" t="s">
        <v>65</v>
      </c>
      <c r="F4" s="32" t="s">
        <v>66</v>
      </c>
      <c r="G4" s="32" t="s">
        <v>67</v>
      </c>
      <c r="H4" s="32" t="s">
        <v>68</v>
      </c>
      <c r="I4" s="32" t="s">
        <v>69</v>
      </c>
      <c r="J4" s="32" t="s">
        <v>70</v>
      </c>
      <c r="K4" s="32" t="s">
        <v>71</v>
      </c>
      <c r="L4" s="32" t="s">
        <v>72</v>
      </c>
      <c r="M4" s="32" t="s">
        <v>73</v>
      </c>
      <c r="N4" s="32" t="s">
        <v>74</v>
      </c>
      <c r="O4" s="32" t="s">
        <v>75</v>
      </c>
      <c r="P4" s="32" t="s">
        <v>982</v>
      </c>
      <c r="Q4" s="32" t="s">
        <v>983</v>
      </c>
      <c r="R4" s="32" t="s">
        <v>984</v>
      </c>
      <c r="S4" s="32" t="s">
        <v>985</v>
      </c>
      <c r="T4" s="32" t="s">
        <v>986</v>
      </c>
      <c r="U4" s="32" t="s">
        <v>987</v>
      </c>
    </row>
    <row r="5" spans="1:21" ht="23.25" customHeight="1" x14ac:dyDescent="0.25">
      <c r="A5" s="35">
        <v>1</v>
      </c>
      <c r="B5" s="33" t="s">
        <v>287</v>
      </c>
      <c r="C5" s="35" t="str">
        <f>INDEX(Claims!$B$2:$B$401,MATCH($B5,Claims!$A$2:$A$401,0))</f>
        <v>EMP051</v>
      </c>
      <c r="D5" s="35" t="str">
        <f>INDEX(Claims!$C$2:$C$401,MATCH($B5,Claims!$A$2:$A$401,0))</f>
        <v>Harsh Chatterjee</v>
      </c>
      <c r="E5" s="35" t="str">
        <f>INDEX(Claims!$D$2:$D$401,MATCH($B5,Claims!$A$2:$A$401,0))</f>
        <v>M2</v>
      </c>
      <c r="F5" s="35" t="str">
        <f>INDEX(Claims!$E$2:$E$401,MATCH($B5,Claims!$A$2:$A$401,0))</f>
        <v>Flight</v>
      </c>
      <c r="G5" s="35" t="str">
        <f>INDEX(Claims!$F$2:$F$401,MATCH($B5,Claims!$A$2:$A$401,0))</f>
        <v>Delhi</v>
      </c>
      <c r="H5" s="35" t="str">
        <f>INDEX(Claims!$G$2:$G$401,MATCH($B5,Claims!$A$2:$A$401,0))</f>
        <v>Metro</v>
      </c>
      <c r="I5" s="50">
        <f>INDEX(Claims!$H$2:$H$401,MATCH($B5,Claims!$A$2:$A$401,0))</f>
        <v>12710</v>
      </c>
      <c r="J5" s="71">
        <f>INDEX(Claims!$I$2:$I$401,MATCH($B5,Claims!$A$2:$A$401,0))</f>
        <v>45840</v>
      </c>
      <c r="K5" s="71">
        <f>INDEX(Claims!$J$2:$J$401,MATCH($B5,Claims!$A$2:$A$401,0))</f>
        <v>45845</v>
      </c>
      <c r="L5" s="35" t="str">
        <f>INDEX(Claims!$K$2:$K$401,MATCH($B5,Claims!$A$2:$A$401,0))</f>
        <v>Yes</v>
      </c>
      <c r="M5" s="35" t="str">
        <f>INDEX(Claims!$L$2:$L$401,MATCH($B5,Claims!$A$2:$A$401,0))</f>
        <v>Team meeting</v>
      </c>
      <c r="N5" s="35">
        <f>IF(INDEX(Claims!$M$2:$M$401,MATCH($B5,Claims!$A$2:$A$401,0))="","",INDEX(Claims!$M$2:$M$401,MATCH($B5,Claims!$A$2:$A$401,0)))</f>
        <v>4</v>
      </c>
      <c r="O5" s="35" t="str">
        <f>IF(INDEX(Claims!$N$2:$N$401,MATCH($B5,Claims!$A$2:$A$401,0))="","",INDEX(Claims!$N$2:$N$401,MATCH($B5,Claims!$A$2:$A$401,0)))</f>
        <v>Business</v>
      </c>
      <c r="P5" s="33" t="s">
        <v>634</v>
      </c>
      <c r="Q5" s="72" t="str">
        <f>INDEX('Policy Rules'!$C$2:$C$16,MATCH($P5,'Policy Rules'!$A$2:$A$16,0))</f>
        <v>Economy class for all grades on flights under 4 hours. Grade M4 and above may fly business class on flights over 4 hours.</v>
      </c>
      <c r="R5" s="73" t="s">
        <v>948</v>
      </c>
      <c r="S5" s="73" t="s">
        <v>815</v>
      </c>
      <c r="T5" s="73" t="s">
        <v>988</v>
      </c>
      <c r="U5" s="72" t="str">
        <f>INDEX(Checker!$R$6:$R$405,MATCH($B5,Checker!$A$6:$A$405,0))&amp;": "&amp;INDEX(Checker!$S$6:$S$405,MATCH($B5,Checker!$A$6:$A$405,0))&amp;IF(INDEX(Checker!$T$6:$T$405,MATCH($B5,Checker!$A$6:$A$405,0))="",""," ("&amp;INDEX(Checker!$T$6:$T$405,MATCH($B5,Checker!$A$6:$A$405,0))&amp;")")&amp;" | Basis: "&amp;INDEX(Checker!$U$6:$U$405,MATCH($B5,Checker!$A$6:$A$405,0))</f>
        <v>Violation: TP-01, TP-02 | Basis: Definite</v>
      </c>
    </row>
    <row r="6" spans="1:21" ht="23.25" customHeight="1" x14ac:dyDescent="0.25">
      <c r="A6" s="35">
        <v>2</v>
      </c>
      <c r="B6" s="33" t="s">
        <v>365</v>
      </c>
      <c r="C6" s="35" t="str">
        <f>INDEX(Claims!$B$2:$B$401,MATCH($B6,Claims!$A$2:$A$401,0))</f>
        <v>EMP041</v>
      </c>
      <c r="D6" s="35" t="str">
        <f>INDEX(Claims!$C$2:$C$401,MATCH($B6,Claims!$A$2:$A$401,0))</f>
        <v>Zoya Khan</v>
      </c>
      <c r="E6" s="35" t="str">
        <f>INDEX(Claims!$D$2:$D$401,MATCH($B6,Claims!$A$2:$A$401,0))</f>
        <v>M3</v>
      </c>
      <c r="F6" s="35" t="str">
        <f>INDEX(Claims!$E$2:$E$401,MATCH($B6,Claims!$A$2:$A$401,0))</f>
        <v>Flight</v>
      </c>
      <c r="G6" s="35" t="str">
        <f>INDEX(Claims!$F$2:$F$401,MATCH($B6,Claims!$A$2:$A$401,0))</f>
        <v>Indore</v>
      </c>
      <c r="H6" s="35" t="str">
        <f>INDEX(Claims!$G$2:$G$401,MATCH($B6,Claims!$A$2:$A$401,0))</f>
        <v>Non-metro</v>
      </c>
      <c r="I6" s="50">
        <f>INDEX(Claims!$H$2:$H$401,MATCH($B6,Claims!$A$2:$A$401,0))</f>
        <v>18402</v>
      </c>
      <c r="J6" s="71">
        <f>INDEX(Claims!$I$2:$I$401,MATCH($B6,Claims!$A$2:$A$401,0))</f>
        <v>45841</v>
      </c>
      <c r="K6" s="71">
        <f>INDEX(Claims!$J$2:$J$401,MATCH($B6,Claims!$A$2:$A$401,0))</f>
        <v>45861</v>
      </c>
      <c r="L6" s="35" t="str">
        <f>INDEX(Claims!$K$2:$K$401,MATCH($B6,Claims!$A$2:$A$401,0))</f>
        <v>Yes</v>
      </c>
      <c r="M6" s="35" t="str">
        <f>INDEX(Claims!$L$2:$L$401,MATCH($B6,Claims!$A$2:$A$401,0))</f>
        <v>Airport cab</v>
      </c>
      <c r="N6" s="35">
        <f>IF(INDEX(Claims!$M$2:$M$401,MATCH($B6,Claims!$A$2:$A$401,0))="","",INDEX(Claims!$M$2:$M$401,MATCH($B6,Claims!$A$2:$A$401,0)))</f>
        <v>11</v>
      </c>
      <c r="O6" s="35" t="str">
        <f>IF(INDEX(Claims!$N$2:$N$401,MATCH($B6,Claims!$A$2:$A$401,0))="","",INDEX(Claims!$N$2:$N$401,MATCH($B6,Claims!$A$2:$A$401,0)))</f>
        <v>Business</v>
      </c>
      <c r="P6" s="33" t="s">
        <v>634</v>
      </c>
      <c r="Q6" s="72" t="str">
        <f>INDEX('Policy Rules'!$C$2:$C$16,MATCH($P6,'Policy Rules'!$A$2:$A$16,0))</f>
        <v>Economy class for all grades on flights under 4 hours. Grade M4 and above may fly business class on flights over 4 hours.</v>
      </c>
      <c r="R6" s="73" t="s">
        <v>948</v>
      </c>
      <c r="S6" s="73" t="s">
        <v>815</v>
      </c>
      <c r="T6" s="73" t="s">
        <v>989</v>
      </c>
      <c r="U6" s="72" t="str">
        <f>INDEX(Checker!$R$6:$R$405,MATCH($B6,Checker!$A$6:$A$405,0))&amp;": "&amp;INDEX(Checker!$S$6:$S$405,MATCH($B6,Checker!$A$6:$A$405,0))&amp;IF(INDEX(Checker!$T$6:$T$405,MATCH($B6,Checker!$A$6:$A$405,0))="",""," ("&amp;INDEX(Checker!$T$6:$T$405,MATCH($B6,Checker!$A$6:$A$405,0))&amp;")")&amp;" | Basis: "&amp;INDEX(Checker!$U$6:$U$405,MATCH($B6,Checker!$A$6:$A$405,0))</f>
        <v>Violation: TP-01, TP-10 (Late) | Basis: Definite</v>
      </c>
    </row>
    <row r="7" spans="1:21" ht="23.25" customHeight="1" x14ac:dyDescent="0.25">
      <c r="A7" s="35">
        <v>3</v>
      </c>
      <c r="B7" s="33" t="s">
        <v>503</v>
      </c>
      <c r="C7" s="35" t="str">
        <f>INDEX(Claims!$B$2:$B$401,MATCH($B7,Claims!$A$2:$A$401,0))</f>
        <v>EMP022</v>
      </c>
      <c r="D7" s="35" t="str">
        <f>INDEX(Claims!$C$2:$C$401,MATCH($B7,Claims!$A$2:$A$401,0))</f>
        <v>Fatima Mukherjee</v>
      </c>
      <c r="E7" s="35" t="str">
        <f>INDEX(Claims!$D$2:$D$401,MATCH($B7,Claims!$A$2:$A$401,0))</f>
        <v>M1</v>
      </c>
      <c r="F7" s="35" t="str">
        <f>INDEX(Claims!$E$2:$E$401,MATCH($B7,Claims!$A$2:$A$401,0))</f>
        <v>Flight</v>
      </c>
      <c r="G7" s="35" t="str">
        <f>INDEX(Claims!$F$2:$F$401,MATCH($B7,Claims!$A$2:$A$401,0))</f>
        <v>Delhi</v>
      </c>
      <c r="H7" s="35" t="str">
        <f>INDEX(Claims!$G$2:$G$401,MATCH($B7,Claims!$A$2:$A$401,0))</f>
        <v>Metro</v>
      </c>
      <c r="I7" s="50">
        <f>INDEX(Claims!$H$2:$H$401,MATCH($B7,Claims!$A$2:$A$401,0))</f>
        <v>5465</v>
      </c>
      <c r="J7" s="71">
        <f>INDEX(Claims!$I$2:$I$401,MATCH($B7,Claims!$A$2:$A$401,0))</f>
        <v>45908</v>
      </c>
      <c r="K7" s="71">
        <f>INDEX(Claims!$J$2:$J$401,MATCH($B7,Claims!$A$2:$A$401,0))</f>
        <v>45917</v>
      </c>
      <c r="L7" s="35" t="str">
        <f>INDEX(Claims!$K$2:$K$401,MATCH($B7,Claims!$A$2:$A$401,0))</f>
        <v>Yes</v>
      </c>
      <c r="M7" s="35" t="str">
        <f>INDEX(Claims!$L$2:$L$401,MATCH($B7,Claims!$A$2:$A$401,0))</f>
        <v>Site visit</v>
      </c>
      <c r="N7" s="35">
        <f>IF(INDEX(Claims!$M$2:$M$401,MATCH($B7,Claims!$A$2:$A$401,0))="","",INDEX(Claims!$M$2:$M$401,MATCH($B7,Claims!$A$2:$A$401,0)))</f>
        <v>11</v>
      </c>
      <c r="O7" s="35" t="str">
        <f>IF(INDEX(Claims!$N$2:$N$401,MATCH($B7,Claims!$A$2:$A$401,0))="","",INDEX(Claims!$N$2:$N$401,MATCH($B7,Claims!$A$2:$A$401,0)))</f>
        <v>Business</v>
      </c>
      <c r="P7" s="33" t="s">
        <v>634</v>
      </c>
      <c r="Q7" s="72" t="str">
        <f>INDEX('Policy Rules'!$C$2:$C$16,MATCH($P7,'Policy Rules'!$A$2:$A$16,0))</f>
        <v>Economy class for all grades on flights under 4 hours. Grade M4 and above may fly business class on flights over 4 hours.</v>
      </c>
      <c r="R7" s="73" t="s">
        <v>948</v>
      </c>
      <c r="S7" s="73" t="s">
        <v>815</v>
      </c>
      <c r="T7" s="73" t="s">
        <v>990</v>
      </c>
      <c r="U7" s="72" t="str">
        <f>INDEX(Checker!$R$6:$R$405,MATCH($B7,Checker!$A$6:$A$405,0))&amp;": "&amp;INDEX(Checker!$S$6:$S$405,MATCH($B7,Checker!$A$6:$A$405,0))&amp;IF(INDEX(Checker!$T$6:$T$405,MATCH($B7,Checker!$A$6:$A$405,0))="",""," ("&amp;INDEX(Checker!$T$6:$T$405,MATCH($B7,Checker!$A$6:$A$405,0))&amp;")")&amp;" | Basis: "&amp;INDEX(Checker!$U$6:$U$405,MATCH($B7,Checker!$A$6:$A$405,0))</f>
        <v>Violation: TP-01 | Basis: Definite</v>
      </c>
    </row>
    <row r="8" spans="1:21" ht="23.25" customHeight="1" x14ac:dyDescent="0.25">
      <c r="A8" s="35">
        <v>4</v>
      </c>
      <c r="B8" s="33" t="s">
        <v>255</v>
      </c>
      <c r="C8" s="35" t="str">
        <f>INDEX(Claims!$B$2:$B$401,MATCH($B8,Claims!$A$2:$A$401,0))</f>
        <v>EMP045</v>
      </c>
      <c r="D8" s="35" t="str">
        <f>INDEX(Claims!$C$2:$C$401,MATCH($B8,Claims!$A$2:$A$401,0))</f>
        <v>Nisha Sharma</v>
      </c>
      <c r="E8" s="35" t="str">
        <f>INDEX(Claims!$D$2:$D$401,MATCH($B8,Claims!$A$2:$A$401,0))</f>
        <v>M4</v>
      </c>
      <c r="F8" s="35" t="str">
        <f>INDEX(Claims!$E$2:$E$401,MATCH($B8,Claims!$A$2:$A$401,0))</f>
        <v>Flight</v>
      </c>
      <c r="G8" s="35" t="str">
        <f>INDEX(Claims!$F$2:$F$401,MATCH($B8,Claims!$A$2:$A$401,0))</f>
        <v>Bengaluru</v>
      </c>
      <c r="H8" s="35" t="str">
        <f>INDEX(Claims!$G$2:$G$401,MATCH($B8,Claims!$A$2:$A$401,0))</f>
        <v>Metro</v>
      </c>
      <c r="I8" s="50">
        <f>INDEX(Claims!$H$2:$H$401,MATCH($B8,Claims!$A$2:$A$401,0))</f>
        <v>10011</v>
      </c>
      <c r="J8" s="71">
        <f>INDEX(Claims!$I$2:$I$401,MATCH($B8,Claims!$A$2:$A$401,0))</f>
        <v>45767</v>
      </c>
      <c r="K8" s="71">
        <f>INDEX(Claims!$J$2:$J$401,MATCH($B8,Claims!$A$2:$A$401,0))</f>
        <v>45769</v>
      </c>
      <c r="L8" s="35" t="str">
        <f>INDEX(Claims!$K$2:$K$401,MATCH($B8,Claims!$A$2:$A$401,0))</f>
        <v>No</v>
      </c>
      <c r="M8" s="35" t="str">
        <f>INDEX(Claims!$L$2:$L$401,MATCH($B8,Claims!$A$2:$A$401,0))</f>
        <v>Flight booked</v>
      </c>
      <c r="N8" s="35">
        <f>IF(INDEX(Claims!$M$2:$M$401,MATCH($B8,Claims!$A$2:$A$401,0))="","",INDEX(Claims!$M$2:$M$401,MATCH($B8,Claims!$A$2:$A$401,0)))</f>
        <v>2</v>
      </c>
      <c r="O8" s="35" t="str">
        <f>IF(INDEX(Claims!$N$2:$N$401,MATCH($B8,Claims!$A$2:$A$401,0))="","",INDEX(Claims!$N$2:$N$401,MATCH($B8,Claims!$A$2:$A$401,0)))</f>
        <v>Economy</v>
      </c>
      <c r="P8" s="33" t="s">
        <v>637</v>
      </c>
      <c r="Q8" s="72" t="str">
        <f>INDEX('Policy Rules'!$C$2:$C$16,MATCH($P8,'Policy Rules'!$A$2:$A$16,0))</f>
        <v>Flights must be booked at least 7 days before travel; later bookings need a written reason approved by the department head.</v>
      </c>
      <c r="R8" s="73" t="s">
        <v>950</v>
      </c>
      <c r="S8" s="73" t="s">
        <v>991</v>
      </c>
      <c r="T8" s="73" t="s">
        <v>992</v>
      </c>
      <c r="U8" s="72" t="str">
        <f>INDEX(Checker!$R$6:$R$405,MATCH($B8,Checker!$A$6:$A$405,0))&amp;": "&amp;INDEX(Checker!$S$6:$S$405,MATCH($B8,Checker!$A$6:$A$405,0))&amp;IF(INDEX(Checker!$T$6:$T$405,MATCH($B8,Checker!$A$6:$A$405,0))="",""," ("&amp;INDEX(Checker!$T$6:$T$405,MATCH($B8,Checker!$A$6:$A$405,0))&amp;")")&amp;" | Basis: "&amp;INDEX(Checker!$U$6:$U$405,MATCH($B8,Checker!$A$6:$A$405,0))</f>
        <v>Violation: TP-02, TP-09 | Basis: Definite</v>
      </c>
    </row>
    <row r="9" spans="1:21" ht="23.25" customHeight="1" x14ac:dyDescent="0.25">
      <c r="A9" s="35">
        <v>5</v>
      </c>
      <c r="B9" s="33" t="s">
        <v>314</v>
      </c>
      <c r="C9" s="35" t="str">
        <f>INDEX(Claims!$B$2:$B$401,MATCH($B9,Claims!$A$2:$A$401,0))</f>
        <v>EMP033</v>
      </c>
      <c r="D9" s="35" t="str">
        <f>INDEX(Claims!$C$2:$C$401,MATCH($B9,Claims!$A$2:$A$401,0))</f>
        <v>Deepika Desai</v>
      </c>
      <c r="E9" s="35" t="str">
        <f>INDEX(Claims!$D$2:$D$401,MATCH($B9,Claims!$A$2:$A$401,0))</f>
        <v>M2</v>
      </c>
      <c r="F9" s="35" t="str">
        <f>INDEX(Claims!$E$2:$E$401,MATCH($B9,Claims!$A$2:$A$401,0))</f>
        <v>Flight</v>
      </c>
      <c r="G9" s="35" t="str">
        <f>INDEX(Claims!$F$2:$F$401,MATCH($B9,Claims!$A$2:$A$401,0))</f>
        <v>Delhi</v>
      </c>
      <c r="H9" s="35" t="str">
        <f>INDEX(Claims!$G$2:$G$401,MATCH($B9,Claims!$A$2:$A$401,0))</f>
        <v>Metro</v>
      </c>
      <c r="I9" s="50">
        <f>INDEX(Claims!$H$2:$H$401,MATCH($B9,Claims!$A$2:$A$401,0))</f>
        <v>3662</v>
      </c>
      <c r="J9" s="71">
        <f>INDEX(Claims!$I$2:$I$401,MATCH($B9,Claims!$A$2:$A$401,0))</f>
        <v>45824</v>
      </c>
      <c r="K9" s="71">
        <f>INDEX(Claims!$J$2:$J$401,MATCH($B9,Claims!$A$2:$A$401,0))</f>
        <v>45844</v>
      </c>
      <c r="L9" s="35" t="str">
        <f>INDEX(Claims!$K$2:$K$401,MATCH($B9,Claims!$A$2:$A$401,0))</f>
        <v>Yes</v>
      </c>
      <c r="M9" s="35" t="str">
        <f>INDEX(Claims!$L$2:$L$401,MATCH($B9,Claims!$A$2:$A$401,0))</f>
        <v>Client dinner</v>
      </c>
      <c r="N9" s="35">
        <f>IF(INDEX(Claims!$M$2:$M$401,MATCH($B9,Claims!$A$2:$A$401,0))="","",INDEX(Claims!$M$2:$M$401,MATCH($B9,Claims!$A$2:$A$401,0)))</f>
        <v>4</v>
      </c>
      <c r="O9" s="35" t="str">
        <f>IF(INDEX(Claims!$N$2:$N$401,MATCH($B9,Claims!$A$2:$A$401,0))="","",INDEX(Claims!$N$2:$N$401,MATCH($B9,Claims!$A$2:$A$401,0)))</f>
        <v>Economy</v>
      </c>
      <c r="P9" s="33" t="s">
        <v>637</v>
      </c>
      <c r="Q9" s="72" t="str">
        <f>INDEX('Policy Rules'!$C$2:$C$16,MATCH($P9,'Policy Rules'!$A$2:$A$16,0))</f>
        <v>Flights must be booked at least 7 days before travel; later bookings need a written reason approved by the department head.</v>
      </c>
      <c r="R9" s="73" t="s">
        <v>950</v>
      </c>
      <c r="S9" s="73" t="s">
        <v>991</v>
      </c>
      <c r="T9" s="73" t="s">
        <v>993</v>
      </c>
      <c r="U9" s="72" t="str">
        <f>INDEX(Checker!$R$6:$R$405,MATCH($B9,Checker!$A$6:$A$405,0))&amp;": "&amp;INDEX(Checker!$S$6:$S$405,MATCH($B9,Checker!$A$6:$A$405,0))&amp;IF(INDEX(Checker!$T$6:$T$405,MATCH($B9,Checker!$A$6:$A$405,0))="",""," ("&amp;INDEX(Checker!$T$6:$T$405,MATCH($B9,Checker!$A$6:$A$405,0))&amp;")")&amp;" | Basis: "&amp;INDEX(Checker!$U$6:$U$405,MATCH($B9,Checker!$A$6:$A$405,0))</f>
        <v>Violation: TP-02, TP-10 (Late) | Basis: Definite</v>
      </c>
    </row>
    <row r="10" spans="1:21" ht="23.25" customHeight="1" x14ac:dyDescent="0.25">
      <c r="A10" s="35">
        <v>6</v>
      </c>
      <c r="B10" s="33" t="s">
        <v>599</v>
      </c>
      <c r="C10" s="35" t="str">
        <f>INDEX(Claims!$B$2:$B$401,MATCH($B10,Claims!$A$2:$A$401,0))</f>
        <v>EMP028</v>
      </c>
      <c r="D10" s="35" t="str">
        <f>INDEX(Claims!$C$2:$C$401,MATCH($B10,Claims!$A$2:$A$401,0))</f>
        <v>Rajesh Sharma</v>
      </c>
      <c r="E10" s="35" t="str">
        <f>INDEX(Claims!$D$2:$D$401,MATCH($B10,Claims!$A$2:$A$401,0))</f>
        <v>M2</v>
      </c>
      <c r="F10" s="35" t="str">
        <f>INDEX(Claims!$E$2:$E$401,MATCH($B10,Claims!$A$2:$A$401,0))</f>
        <v>Flight</v>
      </c>
      <c r="G10" s="35" t="str">
        <f>INDEX(Claims!$F$2:$F$401,MATCH($B10,Claims!$A$2:$A$401,0))</f>
        <v>Kochi</v>
      </c>
      <c r="H10" s="35" t="str">
        <f>INDEX(Claims!$G$2:$G$401,MATCH($B10,Claims!$A$2:$A$401,0))</f>
        <v>Non-metro</v>
      </c>
      <c r="I10" s="50">
        <f>INDEX(Claims!$H$2:$H$401,MATCH($B10,Claims!$A$2:$A$401,0))</f>
        <v>21709</v>
      </c>
      <c r="J10" s="71">
        <f>INDEX(Claims!$I$2:$I$401,MATCH($B10,Claims!$A$2:$A$401,0))</f>
        <v>45986</v>
      </c>
      <c r="K10" s="71">
        <f>INDEX(Claims!$J$2:$J$401,MATCH($B10,Claims!$A$2:$A$401,0))</f>
        <v>45988</v>
      </c>
      <c r="L10" s="35" t="str">
        <f>INDEX(Claims!$K$2:$K$401,MATCH($B10,Claims!$A$2:$A$401,0))</f>
        <v>Yes</v>
      </c>
      <c r="M10" s="35" t="str">
        <f>INDEX(Claims!$L$2:$L$401,MATCH($B10,Claims!$A$2:$A$401,0))</f>
        <v>Site visit</v>
      </c>
      <c r="N10" s="35">
        <f>IF(INDEX(Claims!$M$2:$M$401,MATCH($B10,Claims!$A$2:$A$401,0))="","",INDEX(Claims!$M$2:$M$401,MATCH($B10,Claims!$A$2:$A$401,0)))</f>
        <v>6</v>
      </c>
      <c r="O10" s="35" t="str">
        <f>IF(INDEX(Claims!$N$2:$N$401,MATCH($B10,Claims!$A$2:$A$401,0))="","",INDEX(Claims!$N$2:$N$401,MATCH($B10,Claims!$A$2:$A$401,0)))</f>
        <v>Economy</v>
      </c>
      <c r="P10" s="33" t="s">
        <v>637</v>
      </c>
      <c r="Q10" s="72" t="str">
        <f>INDEX('Policy Rules'!$C$2:$C$16,MATCH($P10,'Policy Rules'!$A$2:$A$16,0))</f>
        <v>Flights must be booked at least 7 days before travel; later bookings need a written reason approved by the department head.</v>
      </c>
      <c r="R10" s="73" t="s">
        <v>950</v>
      </c>
      <c r="S10" s="73" t="s">
        <v>991</v>
      </c>
      <c r="T10" s="73" t="s">
        <v>994</v>
      </c>
      <c r="U10" s="72" t="str">
        <f>INDEX(Checker!$R$6:$R$405,MATCH($B10,Checker!$A$6:$A$405,0))&amp;": "&amp;INDEX(Checker!$S$6:$S$405,MATCH($B10,Checker!$A$6:$A$405,0))&amp;IF(INDEX(Checker!$T$6:$T$405,MATCH($B10,Checker!$A$6:$A$405,0))="",""," ("&amp;INDEX(Checker!$T$6:$T$405,MATCH($B10,Checker!$A$6:$A$405,0))&amp;")")&amp;" | Basis: "&amp;INDEX(Checker!$U$6:$U$405,MATCH($B10,Checker!$A$6:$A$405,0))</f>
        <v>Violation: TP-02 | Basis: Assumption-based</v>
      </c>
    </row>
    <row r="11" spans="1:21" ht="23.25" customHeight="1" x14ac:dyDescent="0.25">
      <c r="A11" s="35">
        <v>7</v>
      </c>
      <c r="B11" s="33" t="s">
        <v>156</v>
      </c>
      <c r="C11" s="35" t="str">
        <f>INDEX(Claims!$B$2:$B$401,MATCH($B11,Claims!$A$2:$A$401,0))</f>
        <v>EMP005</v>
      </c>
      <c r="D11" s="35" t="str">
        <f>INDEX(Claims!$C$2:$C$401,MATCH($B11,Claims!$A$2:$A$401,0))</f>
        <v>Yash Patil</v>
      </c>
      <c r="E11" s="35" t="str">
        <f>INDEX(Claims!$D$2:$D$401,MATCH($B11,Claims!$A$2:$A$401,0))</f>
        <v>M1</v>
      </c>
      <c r="F11" s="35" t="str">
        <f>INDEX(Claims!$E$2:$E$401,MATCH($B11,Claims!$A$2:$A$401,0))</f>
        <v>Hotel</v>
      </c>
      <c r="G11" s="35" t="str">
        <f>INDEX(Claims!$F$2:$F$401,MATCH($B11,Claims!$A$2:$A$401,0))</f>
        <v>Bengaluru</v>
      </c>
      <c r="H11" s="35" t="str">
        <f>INDEX(Claims!$G$2:$G$401,MATCH($B11,Claims!$A$2:$A$401,0))</f>
        <v>Metro</v>
      </c>
      <c r="I11" s="50">
        <f>INDEX(Claims!$H$2:$H$401,MATCH($B11,Claims!$A$2:$A$401,0))</f>
        <v>11637</v>
      </c>
      <c r="J11" s="71">
        <f>INDEX(Claims!$I$2:$I$401,MATCH($B11,Claims!$A$2:$A$401,0))</f>
        <v>45924</v>
      </c>
      <c r="K11" s="71">
        <f>INDEX(Claims!$J$2:$J$401,MATCH($B11,Claims!$A$2:$A$401,0))</f>
        <v>45959</v>
      </c>
      <c r="L11" s="35" t="str">
        <f>INDEX(Claims!$K$2:$K$401,MATCH($B11,Claims!$A$2:$A$401,0))</f>
        <v>Yes</v>
      </c>
      <c r="M11" s="35" t="str">
        <f>INDEX(Claims!$L$2:$L$401,MATCH($B11,Claims!$A$2:$A$401,0))</f>
        <v>Airport cab</v>
      </c>
      <c r="N11" s="35" t="str">
        <f>IF(INDEX(Claims!$M$2:$M$401,MATCH($B11,Claims!$A$2:$A$401,0))="","",INDEX(Claims!$M$2:$M$401,MATCH($B11,Claims!$A$2:$A$401,0)))</f>
        <v/>
      </c>
      <c r="O11" s="35" t="str">
        <f>IF(INDEX(Claims!$N$2:$N$401,MATCH($B11,Claims!$A$2:$A$401,0))="","",INDEX(Claims!$N$2:$N$401,MATCH($B11,Claims!$A$2:$A$401,0)))</f>
        <v/>
      </c>
      <c r="P11" s="33" t="s">
        <v>643</v>
      </c>
      <c r="Q11" s="72" t="str">
        <f>INDEX('Policy Rules'!$C$2:$C$16,MATCH($P11,'Policy Rules'!$A$2:$A$16,0))</f>
        <v>Maximum Rs 7,000 per night for M1-M2, Rs 10,000 for M3 and Rs 14,000 for M4 and above in metro cities.</v>
      </c>
      <c r="R11" s="73" t="s">
        <v>950</v>
      </c>
      <c r="S11" s="73" t="s">
        <v>995</v>
      </c>
      <c r="T11" s="73" t="s">
        <v>996</v>
      </c>
      <c r="U11" s="72" t="str">
        <f>INDEX(Checker!$R$6:$R$405,MATCH($B11,Checker!$A$6:$A$405,0))&amp;": "&amp;INDEX(Checker!$S$6:$S$405,MATCH($B11,Checker!$A$6:$A$405,0))&amp;IF(INDEX(Checker!$T$6:$T$405,MATCH($B11,Checker!$A$6:$A$405,0))="",""," ("&amp;INDEX(Checker!$T$6:$T$405,MATCH($B11,Checker!$A$6:$A$405,0))&amp;")")&amp;" | Basis: "&amp;INDEX(Checker!$U$6:$U$405,MATCH($B11,Checker!$A$6:$A$405,0))</f>
        <v>Violation: TP-04, TP-10 (Late) | Basis: Definite</v>
      </c>
    </row>
    <row r="12" spans="1:21" ht="23.25" customHeight="1" x14ac:dyDescent="0.25">
      <c r="A12" s="35">
        <v>8</v>
      </c>
      <c r="B12" s="33" t="s">
        <v>215</v>
      </c>
      <c r="C12" s="35" t="str">
        <f>INDEX(Claims!$B$2:$B$401,MATCH($B12,Claims!$A$2:$A$401,0))</f>
        <v>EMP013</v>
      </c>
      <c r="D12" s="35" t="str">
        <f>INDEX(Claims!$C$2:$C$401,MATCH($B12,Claims!$A$2:$A$401,0))</f>
        <v>Suresh Mishra</v>
      </c>
      <c r="E12" s="35" t="str">
        <f>INDEX(Claims!$D$2:$D$401,MATCH($B12,Claims!$A$2:$A$401,0))</f>
        <v>M2</v>
      </c>
      <c r="F12" s="35" t="str">
        <f>INDEX(Claims!$E$2:$E$401,MATCH($B12,Claims!$A$2:$A$401,0))</f>
        <v>Hotel</v>
      </c>
      <c r="G12" s="35" t="str">
        <f>INDEX(Claims!$F$2:$F$401,MATCH($B12,Claims!$A$2:$A$401,0))</f>
        <v>Bengaluru</v>
      </c>
      <c r="H12" s="35" t="str">
        <f>INDEX(Claims!$G$2:$G$401,MATCH($B12,Claims!$A$2:$A$401,0))</f>
        <v>Metro</v>
      </c>
      <c r="I12" s="50">
        <f>INDEX(Claims!$H$2:$H$401,MATCH($B12,Claims!$A$2:$A$401,0))</f>
        <v>13851</v>
      </c>
      <c r="J12" s="71">
        <f>INDEX(Claims!$I$2:$I$401,MATCH($B12,Claims!$A$2:$A$401,0))</f>
        <v>45909</v>
      </c>
      <c r="K12" s="71">
        <f>INDEX(Claims!$J$2:$J$401,MATCH($B12,Claims!$A$2:$A$401,0))</f>
        <v>45918</v>
      </c>
      <c r="L12" s="35" t="str">
        <f>INDEX(Claims!$K$2:$K$401,MATCH($B12,Claims!$A$2:$A$401,0))</f>
        <v>Yes</v>
      </c>
      <c r="M12" s="35" t="str">
        <f>INDEX(Claims!$L$2:$L$401,MATCH($B12,Claims!$A$2:$A$401,0))</f>
        <v>Flight booked</v>
      </c>
      <c r="N12" s="35" t="str">
        <f>IF(INDEX(Claims!$M$2:$M$401,MATCH($B12,Claims!$A$2:$A$401,0))="","",INDEX(Claims!$M$2:$M$401,MATCH($B12,Claims!$A$2:$A$401,0)))</f>
        <v/>
      </c>
      <c r="O12" s="35" t="str">
        <f>IF(INDEX(Claims!$N$2:$N$401,MATCH($B12,Claims!$A$2:$A$401,0))="","",INDEX(Claims!$N$2:$N$401,MATCH($B12,Claims!$A$2:$A$401,0)))</f>
        <v/>
      </c>
      <c r="P12" s="33" t="s">
        <v>643</v>
      </c>
      <c r="Q12" s="72" t="str">
        <f>INDEX('Policy Rules'!$C$2:$C$16,MATCH($P12,'Policy Rules'!$A$2:$A$16,0))</f>
        <v>Maximum Rs 7,000 per night for M1-M2, Rs 10,000 for M3 and Rs 14,000 for M4 and above in metro cities.</v>
      </c>
      <c r="R12" s="73" t="s">
        <v>950</v>
      </c>
      <c r="S12" s="73" t="s">
        <v>995</v>
      </c>
      <c r="T12" s="73" t="s">
        <v>997</v>
      </c>
      <c r="U12" s="72" t="str">
        <f>INDEX(Checker!$R$6:$R$405,MATCH($B12,Checker!$A$6:$A$405,0))&amp;": "&amp;INDEX(Checker!$S$6:$S$405,MATCH($B12,Checker!$A$6:$A$405,0))&amp;IF(INDEX(Checker!$T$6:$T$405,MATCH($B12,Checker!$A$6:$A$405,0))="",""," ("&amp;INDEX(Checker!$T$6:$T$405,MATCH($B12,Checker!$A$6:$A$405,0))&amp;")")&amp;" | Basis: "&amp;INDEX(Checker!$U$6:$U$405,MATCH($B12,Checker!$A$6:$A$405,0))</f>
        <v>Violation: TP-04 | Basis: Assumption-based</v>
      </c>
    </row>
    <row r="13" spans="1:21" ht="23.25" customHeight="1" x14ac:dyDescent="0.25">
      <c r="A13" s="35">
        <v>9</v>
      </c>
      <c r="B13" s="33" t="s">
        <v>235</v>
      </c>
      <c r="C13" s="35" t="str">
        <f>INDEX(Claims!$B$2:$B$401,MATCH($B13,Claims!$A$2:$A$401,0))</f>
        <v>EMP023</v>
      </c>
      <c r="D13" s="35" t="str">
        <f>INDEX(Claims!$C$2:$C$401,MATCH($B13,Claims!$A$2:$A$401,0))</f>
        <v>Manish Jadhav</v>
      </c>
      <c r="E13" s="35" t="str">
        <f>INDEX(Claims!$D$2:$D$401,MATCH($B13,Claims!$A$2:$A$401,0))</f>
        <v>M5</v>
      </c>
      <c r="F13" s="35" t="str">
        <f>INDEX(Claims!$E$2:$E$401,MATCH($B13,Claims!$A$2:$A$401,0))</f>
        <v>Hotel</v>
      </c>
      <c r="G13" s="35" t="str">
        <f>INDEX(Claims!$F$2:$F$401,MATCH($B13,Claims!$A$2:$A$401,0))</f>
        <v>Bengaluru</v>
      </c>
      <c r="H13" s="35" t="str">
        <f>INDEX(Claims!$G$2:$G$401,MATCH($B13,Claims!$A$2:$A$401,0))</f>
        <v>Metro</v>
      </c>
      <c r="I13" s="50">
        <f>INDEX(Claims!$H$2:$H$401,MATCH($B13,Claims!$A$2:$A$401,0))</f>
        <v>14858</v>
      </c>
      <c r="J13" s="71">
        <f>INDEX(Claims!$I$2:$I$401,MATCH($B13,Claims!$A$2:$A$401,0))</f>
        <v>45864</v>
      </c>
      <c r="K13" s="71">
        <f>INDEX(Claims!$J$2:$J$401,MATCH($B13,Claims!$A$2:$A$401,0))</f>
        <v>45869</v>
      </c>
      <c r="L13" s="35" t="str">
        <f>INDEX(Claims!$K$2:$K$401,MATCH($B13,Claims!$A$2:$A$401,0))</f>
        <v>Yes</v>
      </c>
      <c r="M13" s="35" t="str">
        <f>INDEX(Claims!$L$2:$L$401,MATCH($B13,Claims!$A$2:$A$401,0))</f>
        <v>Flight booked</v>
      </c>
      <c r="N13" s="35" t="str">
        <f>IF(INDEX(Claims!$M$2:$M$401,MATCH($B13,Claims!$A$2:$A$401,0))="","",INDEX(Claims!$M$2:$M$401,MATCH($B13,Claims!$A$2:$A$401,0)))</f>
        <v/>
      </c>
      <c r="O13" s="35" t="str">
        <f>IF(INDEX(Claims!$N$2:$N$401,MATCH($B13,Claims!$A$2:$A$401,0))="","",INDEX(Claims!$N$2:$N$401,MATCH($B13,Claims!$A$2:$A$401,0)))</f>
        <v/>
      </c>
      <c r="P13" s="33" t="s">
        <v>643</v>
      </c>
      <c r="Q13" s="72" t="str">
        <f>INDEX('Policy Rules'!$C$2:$C$16,MATCH($P13,'Policy Rules'!$A$2:$A$16,0))</f>
        <v>Maximum Rs 7,000 per night for M1-M2, Rs 10,000 for M3 and Rs 14,000 for M4 and above in metro cities.</v>
      </c>
      <c r="R13" s="73" t="s">
        <v>950</v>
      </c>
      <c r="S13" s="73" t="s">
        <v>995</v>
      </c>
      <c r="T13" s="73" t="s">
        <v>998</v>
      </c>
      <c r="U13" s="72" t="str">
        <f>INDEX(Checker!$R$6:$R$405,MATCH($B13,Checker!$A$6:$A$405,0))&amp;": "&amp;INDEX(Checker!$S$6:$S$405,MATCH($B13,Checker!$A$6:$A$405,0))&amp;IF(INDEX(Checker!$T$6:$T$405,MATCH($B13,Checker!$A$6:$A$405,0))="",""," ("&amp;INDEX(Checker!$T$6:$T$405,MATCH($B13,Checker!$A$6:$A$405,0))&amp;")")&amp;" | Basis: "&amp;INDEX(Checker!$U$6:$U$405,MATCH($B13,Checker!$A$6:$A$405,0))</f>
        <v>Violation: TP-04 | Basis: Assumption-based</v>
      </c>
    </row>
    <row r="14" spans="1:21" ht="23.25" customHeight="1" x14ac:dyDescent="0.25">
      <c r="A14" s="35">
        <v>10</v>
      </c>
      <c r="B14" s="33" t="s">
        <v>300</v>
      </c>
      <c r="C14" s="35" t="str">
        <f>INDEX(Claims!$B$2:$B$401,MATCH($B14,Claims!$A$2:$A$401,0))</f>
        <v>EMP001</v>
      </c>
      <c r="D14" s="35" t="str">
        <f>INDEX(Claims!$C$2:$C$401,MATCH($B14,Claims!$A$2:$A$401,0))</f>
        <v>Meera Nair</v>
      </c>
      <c r="E14" s="35" t="str">
        <f>INDEX(Claims!$D$2:$D$401,MATCH($B14,Claims!$A$2:$A$401,0))</f>
        <v>M2</v>
      </c>
      <c r="F14" s="35" t="str">
        <f>INDEX(Claims!$E$2:$E$401,MATCH($B14,Claims!$A$2:$A$401,0))</f>
        <v>Hotel</v>
      </c>
      <c r="G14" s="35" t="str">
        <f>INDEX(Claims!$F$2:$F$401,MATCH($B14,Claims!$A$2:$A$401,0))</f>
        <v>Jaipur</v>
      </c>
      <c r="H14" s="35" t="str">
        <f>INDEX(Claims!$G$2:$G$401,MATCH($B14,Claims!$A$2:$A$401,0))</f>
        <v>Non-metro</v>
      </c>
      <c r="I14" s="50">
        <f>INDEX(Claims!$H$2:$H$401,MATCH($B14,Claims!$A$2:$A$401,0))</f>
        <v>12175</v>
      </c>
      <c r="J14" s="71">
        <f>INDEX(Claims!$I$2:$I$401,MATCH($B14,Claims!$A$2:$A$401,0))</f>
        <v>45775</v>
      </c>
      <c r="K14" s="71">
        <f>INDEX(Claims!$J$2:$J$401,MATCH($B14,Claims!$A$2:$A$401,0))</f>
        <v>45784</v>
      </c>
      <c r="L14" s="35" t="str">
        <f>INDEX(Claims!$K$2:$K$401,MATCH($B14,Claims!$A$2:$A$401,0))</f>
        <v>Yes</v>
      </c>
      <c r="M14" s="35" t="str">
        <f>INDEX(Claims!$L$2:$L$401,MATCH($B14,Claims!$A$2:$A$401,0))</f>
        <v>Airport cab</v>
      </c>
      <c r="N14" s="35" t="str">
        <f>IF(INDEX(Claims!$M$2:$M$401,MATCH($B14,Claims!$A$2:$A$401,0))="","",INDEX(Claims!$M$2:$M$401,MATCH($B14,Claims!$A$2:$A$401,0)))</f>
        <v/>
      </c>
      <c r="O14" s="35" t="str">
        <f>IF(INDEX(Claims!$N$2:$N$401,MATCH($B14,Claims!$A$2:$A$401,0))="","",INDEX(Claims!$N$2:$N$401,MATCH($B14,Claims!$A$2:$A$401,0)))</f>
        <v/>
      </c>
      <c r="P14" s="33" t="s">
        <v>646</v>
      </c>
      <c r="Q14" s="72" t="str">
        <f>INDEX('Policy Rules'!$C$2:$C$16,MATCH($P14,'Policy Rules'!$A$2:$A$16,0))</f>
        <v>Maximum Rs 4,500 per night for M1-M2, Rs 6,500 for M3 and Rs 9,000 for M4 and above in other cities.</v>
      </c>
      <c r="R14" s="73" t="s">
        <v>950</v>
      </c>
      <c r="S14" s="73" t="s">
        <v>995</v>
      </c>
      <c r="T14" s="73" t="s">
        <v>999</v>
      </c>
      <c r="U14" s="72" t="str">
        <f>INDEX(Checker!$R$6:$R$405,MATCH($B14,Checker!$A$6:$A$405,0))&amp;": "&amp;INDEX(Checker!$S$6:$S$405,MATCH($B14,Checker!$A$6:$A$405,0))&amp;IF(INDEX(Checker!$T$6:$T$405,MATCH($B14,Checker!$A$6:$A$405,0))="",""," ("&amp;INDEX(Checker!$T$6:$T$405,MATCH($B14,Checker!$A$6:$A$405,0))&amp;")")&amp;" | Basis: "&amp;INDEX(Checker!$U$6:$U$405,MATCH($B14,Checker!$A$6:$A$405,0))</f>
        <v>Violation: TP-05 | Basis: Assumption-based</v>
      </c>
    </row>
    <row r="15" spans="1:21" ht="23.25" customHeight="1" x14ac:dyDescent="0.25">
      <c r="A15" s="35">
        <v>11</v>
      </c>
      <c r="B15" s="33" t="s">
        <v>417</v>
      </c>
      <c r="C15" s="35" t="str">
        <f>INDEX(Claims!$B$2:$B$401,MATCH($B15,Claims!$A$2:$A$401,0))</f>
        <v>EMP015</v>
      </c>
      <c r="D15" s="35" t="str">
        <f>INDEX(Claims!$C$2:$C$401,MATCH($B15,Claims!$A$2:$A$401,0))</f>
        <v>Deepika Sharma</v>
      </c>
      <c r="E15" s="35" t="str">
        <f>INDEX(Claims!$D$2:$D$401,MATCH($B15,Claims!$A$2:$A$401,0))</f>
        <v>M1</v>
      </c>
      <c r="F15" s="35" t="str">
        <f>INDEX(Claims!$E$2:$E$401,MATCH($B15,Claims!$A$2:$A$401,0))</f>
        <v>Hotel</v>
      </c>
      <c r="G15" s="35" t="str">
        <f>INDEX(Claims!$F$2:$F$401,MATCH($B15,Claims!$A$2:$A$401,0))</f>
        <v>Nashik</v>
      </c>
      <c r="H15" s="35" t="str">
        <f>INDEX(Claims!$G$2:$G$401,MATCH($B15,Claims!$A$2:$A$401,0))</f>
        <v>Non-metro</v>
      </c>
      <c r="I15" s="50">
        <f>INDEX(Claims!$H$2:$H$401,MATCH($B15,Claims!$A$2:$A$401,0))</f>
        <v>15881</v>
      </c>
      <c r="J15" s="71">
        <f>INDEX(Claims!$I$2:$I$401,MATCH($B15,Claims!$A$2:$A$401,0))</f>
        <v>45922</v>
      </c>
      <c r="K15" s="71">
        <f>INDEX(Claims!$J$2:$J$401,MATCH($B15,Claims!$A$2:$A$401,0))</f>
        <v>45992</v>
      </c>
      <c r="L15" s="35" t="str">
        <f>INDEX(Claims!$K$2:$K$401,MATCH($B15,Claims!$A$2:$A$401,0))</f>
        <v>Yes</v>
      </c>
      <c r="M15" s="35" t="str">
        <f>INDEX(Claims!$L$2:$L$401,MATCH($B15,Claims!$A$2:$A$401,0))</f>
        <v>Vendor meeting</v>
      </c>
      <c r="N15" s="35" t="str">
        <f>IF(INDEX(Claims!$M$2:$M$401,MATCH($B15,Claims!$A$2:$A$401,0))="","",INDEX(Claims!$M$2:$M$401,MATCH($B15,Claims!$A$2:$A$401,0)))</f>
        <v/>
      </c>
      <c r="O15" s="35" t="str">
        <f>IF(INDEX(Claims!$N$2:$N$401,MATCH($B15,Claims!$A$2:$A$401,0))="","",INDEX(Claims!$N$2:$N$401,MATCH($B15,Claims!$A$2:$A$401,0)))</f>
        <v/>
      </c>
      <c r="P15" s="33" t="s">
        <v>646</v>
      </c>
      <c r="Q15" s="72" t="str">
        <f>INDEX('Policy Rules'!$C$2:$C$16,MATCH($P15,'Policy Rules'!$A$2:$A$16,0))</f>
        <v>Maximum Rs 4,500 per night for M1-M2, Rs 6,500 for M3 and Rs 9,000 for M4 and above in other cities.</v>
      </c>
      <c r="R15" s="73" t="s">
        <v>950</v>
      </c>
      <c r="S15" s="73" t="s">
        <v>995</v>
      </c>
      <c r="T15" s="73" t="s">
        <v>1000</v>
      </c>
      <c r="U15" s="72" t="str">
        <f>INDEX(Checker!$R$6:$R$405,MATCH($B15,Checker!$A$6:$A$405,0))&amp;": "&amp;INDEX(Checker!$S$6:$S$405,MATCH($B15,Checker!$A$6:$A$405,0))&amp;IF(INDEX(Checker!$T$6:$T$405,MATCH($B15,Checker!$A$6:$A$405,0))="",""," ("&amp;INDEX(Checker!$T$6:$T$405,MATCH($B15,Checker!$A$6:$A$405,0))&amp;")")&amp;" | Basis: "&amp;INDEX(Checker!$U$6:$U$405,MATCH($B15,Checker!$A$6:$A$405,0))</f>
        <v>Violation: TP-05, TP-10 (Expired) | Basis: Definite</v>
      </c>
    </row>
    <row r="16" spans="1:21" ht="23.25" customHeight="1" x14ac:dyDescent="0.25">
      <c r="A16" s="35">
        <v>12</v>
      </c>
      <c r="B16" s="33" t="s">
        <v>443</v>
      </c>
      <c r="C16" s="35" t="str">
        <f>INDEX(Claims!$B$2:$B$401,MATCH($B16,Claims!$A$2:$A$401,0))</f>
        <v>EMP024</v>
      </c>
      <c r="D16" s="35" t="str">
        <f>INDEX(Claims!$C$2:$C$401,MATCH($B16,Claims!$A$2:$A$401,0))</f>
        <v>Gurpreet Khan</v>
      </c>
      <c r="E16" s="35" t="str">
        <f>INDEX(Claims!$D$2:$D$401,MATCH($B16,Claims!$A$2:$A$401,0))</f>
        <v>M3</v>
      </c>
      <c r="F16" s="35" t="str">
        <f>INDEX(Claims!$E$2:$E$401,MATCH($B16,Claims!$A$2:$A$401,0))</f>
        <v>Hotel</v>
      </c>
      <c r="G16" s="35" t="str">
        <f>INDEX(Claims!$F$2:$F$401,MATCH($B16,Claims!$A$2:$A$401,0))</f>
        <v>Jaipur</v>
      </c>
      <c r="H16" s="35" t="str">
        <f>INDEX(Claims!$G$2:$G$401,MATCH($B16,Claims!$A$2:$A$401,0))</f>
        <v>Non-metro</v>
      </c>
      <c r="I16" s="50">
        <f>INDEX(Claims!$H$2:$H$401,MATCH($B16,Claims!$A$2:$A$401,0))</f>
        <v>7899</v>
      </c>
      <c r="J16" s="71">
        <f>INDEX(Claims!$I$2:$I$401,MATCH($B16,Claims!$A$2:$A$401,0))</f>
        <v>45966</v>
      </c>
      <c r="K16" s="71">
        <f>INDEX(Claims!$J$2:$J$401,MATCH($B16,Claims!$A$2:$A$401,0))</f>
        <v>45971</v>
      </c>
      <c r="L16" s="35" t="str">
        <f>INDEX(Claims!$K$2:$K$401,MATCH($B16,Claims!$A$2:$A$401,0))</f>
        <v>Yes</v>
      </c>
      <c r="M16" s="35" t="str">
        <f>INDEX(Claims!$L$2:$L$401,MATCH($B16,Claims!$A$2:$A$401,0))</f>
        <v>Vendor meeting</v>
      </c>
      <c r="N16" s="35" t="str">
        <f>IF(INDEX(Claims!$M$2:$M$401,MATCH($B16,Claims!$A$2:$A$401,0))="","",INDEX(Claims!$M$2:$M$401,MATCH($B16,Claims!$A$2:$A$401,0)))</f>
        <v/>
      </c>
      <c r="O16" s="35" t="str">
        <f>IF(INDEX(Claims!$N$2:$N$401,MATCH($B16,Claims!$A$2:$A$401,0))="","",INDEX(Claims!$N$2:$N$401,MATCH($B16,Claims!$A$2:$A$401,0)))</f>
        <v/>
      </c>
      <c r="P16" s="33" t="s">
        <v>646</v>
      </c>
      <c r="Q16" s="72" t="str">
        <f>INDEX('Policy Rules'!$C$2:$C$16,MATCH($P16,'Policy Rules'!$A$2:$A$16,0))</f>
        <v>Maximum Rs 4,500 per night for M1-M2, Rs 6,500 for M3 and Rs 9,000 for M4 and above in other cities.</v>
      </c>
      <c r="R16" s="73" t="s">
        <v>950</v>
      </c>
      <c r="S16" s="73" t="s">
        <v>995</v>
      </c>
      <c r="T16" s="73" t="s">
        <v>1001</v>
      </c>
      <c r="U16" s="72" t="str">
        <f>INDEX(Checker!$R$6:$R$405,MATCH($B16,Checker!$A$6:$A$405,0))&amp;": "&amp;INDEX(Checker!$S$6:$S$405,MATCH($B16,Checker!$A$6:$A$405,0))&amp;IF(INDEX(Checker!$T$6:$T$405,MATCH($B16,Checker!$A$6:$A$405,0))="",""," ("&amp;INDEX(Checker!$T$6:$T$405,MATCH($B16,Checker!$A$6:$A$405,0))&amp;")")&amp;" | Basis: "&amp;INDEX(Checker!$U$6:$U$405,MATCH($B16,Checker!$A$6:$A$405,0))</f>
        <v>Violation: TP-05 | Basis: Assumption-based</v>
      </c>
    </row>
    <row r="17" spans="1:21" ht="23.25" customHeight="1" x14ac:dyDescent="0.25">
      <c r="A17" s="35">
        <v>13</v>
      </c>
      <c r="B17" s="33" t="s">
        <v>614</v>
      </c>
      <c r="C17" s="35" t="str">
        <f>INDEX(Claims!$B$2:$B$401,MATCH($B17,Claims!$A$2:$A$401,0))</f>
        <v>EMP056</v>
      </c>
      <c r="D17" s="35" t="str">
        <f>INDEX(Claims!$C$2:$C$401,MATCH($B17,Claims!$A$2:$A$401,0))</f>
        <v>Aditya Shah</v>
      </c>
      <c r="E17" s="35" t="str">
        <f>INDEX(Claims!$D$2:$D$401,MATCH($B17,Claims!$A$2:$A$401,0))</f>
        <v>M2</v>
      </c>
      <c r="F17" s="35" t="str">
        <f>INDEX(Claims!$E$2:$E$401,MATCH($B17,Claims!$A$2:$A$401,0))</f>
        <v>Hotel</v>
      </c>
      <c r="G17" s="35" t="str">
        <f>INDEX(Claims!$F$2:$F$401,MATCH($B17,Claims!$A$2:$A$401,0))</f>
        <v>Jaipur</v>
      </c>
      <c r="H17" s="35" t="str">
        <f>INDEX(Claims!$G$2:$G$401,MATCH($B17,Claims!$A$2:$A$401,0))</f>
        <v>Non-metro</v>
      </c>
      <c r="I17" s="50">
        <f>INDEX(Claims!$H$2:$H$401,MATCH($B17,Claims!$A$2:$A$401,0))</f>
        <v>13675</v>
      </c>
      <c r="J17" s="71">
        <f>INDEX(Claims!$I$2:$I$401,MATCH($B17,Claims!$A$2:$A$401,0))</f>
        <v>45939</v>
      </c>
      <c r="K17" s="71">
        <f>INDEX(Claims!$J$2:$J$401,MATCH($B17,Claims!$A$2:$A$401,0))</f>
        <v>45974</v>
      </c>
      <c r="L17" s="35" t="str">
        <f>INDEX(Claims!$K$2:$K$401,MATCH($B17,Claims!$A$2:$A$401,0))</f>
        <v>Yes</v>
      </c>
      <c r="M17" s="35" t="str">
        <f>INDEX(Claims!$L$2:$L$401,MATCH($B17,Claims!$A$2:$A$401,0))</f>
        <v>Vendor meeting</v>
      </c>
      <c r="N17" s="35" t="str">
        <f>IF(INDEX(Claims!$M$2:$M$401,MATCH($B17,Claims!$A$2:$A$401,0))="","",INDEX(Claims!$M$2:$M$401,MATCH($B17,Claims!$A$2:$A$401,0)))</f>
        <v/>
      </c>
      <c r="O17" s="35" t="str">
        <f>IF(INDEX(Claims!$N$2:$N$401,MATCH($B17,Claims!$A$2:$A$401,0))="","",INDEX(Claims!$N$2:$N$401,MATCH($B17,Claims!$A$2:$A$401,0)))</f>
        <v/>
      </c>
      <c r="P17" s="33" t="s">
        <v>646</v>
      </c>
      <c r="Q17" s="72" t="str">
        <f>INDEX('Policy Rules'!$C$2:$C$16,MATCH($P17,'Policy Rules'!$A$2:$A$16,0))</f>
        <v>Maximum Rs 4,500 per night for M1-M2, Rs 6,500 for M3 and Rs 9,000 for M4 and above in other cities.</v>
      </c>
      <c r="R17" s="73" t="s">
        <v>950</v>
      </c>
      <c r="S17" s="73" t="s">
        <v>995</v>
      </c>
      <c r="T17" s="73" t="s">
        <v>1002</v>
      </c>
      <c r="U17" s="72" t="str">
        <f>INDEX(Checker!$R$6:$R$405,MATCH($B17,Checker!$A$6:$A$405,0))&amp;": "&amp;INDEX(Checker!$S$6:$S$405,MATCH($B17,Checker!$A$6:$A$405,0))&amp;IF(INDEX(Checker!$T$6:$T$405,MATCH($B17,Checker!$A$6:$A$405,0))="",""," ("&amp;INDEX(Checker!$T$6:$T$405,MATCH($B17,Checker!$A$6:$A$405,0))&amp;")")&amp;" | Basis: "&amp;INDEX(Checker!$U$6:$U$405,MATCH($B17,Checker!$A$6:$A$405,0))</f>
        <v>Violation: TP-05, TP-10 (Late) | Basis: Definite</v>
      </c>
    </row>
    <row r="18" spans="1:21" ht="23.25" customHeight="1" x14ac:dyDescent="0.25">
      <c r="A18" s="35">
        <v>14</v>
      </c>
      <c r="B18" s="33" t="s">
        <v>311</v>
      </c>
      <c r="C18" s="35" t="str">
        <f>INDEX(Claims!$B$2:$B$401,MATCH($B18,Claims!$A$2:$A$401,0))</f>
        <v>EMP024</v>
      </c>
      <c r="D18" s="35" t="str">
        <f>INDEX(Claims!$C$2:$C$401,MATCH($B18,Claims!$A$2:$A$401,0))</f>
        <v>Gurpreet Khan</v>
      </c>
      <c r="E18" s="35" t="str">
        <f>INDEX(Claims!$D$2:$D$401,MATCH($B18,Claims!$A$2:$A$401,0))</f>
        <v>M3</v>
      </c>
      <c r="F18" s="35" t="str">
        <f>INDEX(Claims!$E$2:$E$401,MATCH($B18,Claims!$A$2:$A$401,0))</f>
        <v>Meals/DA</v>
      </c>
      <c r="G18" s="35" t="str">
        <f>INDEX(Claims!$F$2:$F$401,MATCH($B18,Claims!$A$2:$A$401,0))</f>
        <v>Jaipur</v>
      </c>
      <c r="H18" s="35" t="str">
        <f>INDEX(Claims!$G$2:$G$401,MATCH($B18,Claims!$A$2:$A$401,0))</f>
        <v>Non-metro</v>
      </c>
      <c r="I18" s="50">
        <f>INDEX(Claims!$H$2:$H$401,MATCH($B18,Claims!$A$2:$A$401,0))</f>
        <v>1637</v>
      </c>
      <c r="J18" s="71">
        <f>INDEX(Claims!$I$2:$I$401,MATCH($B18,Claims!$A$2:$A$401,0))</f>
        <v>45968</v>
      </c>
      <c r="K18" s="71">
        <f>INDEX(Claims!$J$2:$J$401,MATCH($B18,Claims!$A$2:$A$401,0))</f>
        <v>45973</v>
      </c>
      <c r="L18" s="35" t="str">
        <f>INDEX(Claims!$K$2:$K$401,MATCH($B18,Claims!$A$2:$A$401,0))</f>
        <v>Yes</v>
      </c>
      <c r="M18" s="35" t="str">
        <f>INDEX(Claims!$L$2:$L$401,MATCH($B18,Claims!$A$2:$A$401,0))</f>
        <v>Client dinner</v>
      </c>
      <c r="N18" s="35" t="str">
        <f>IF(INDEX(Claims!$M$2:$M$401,MATCH($B18,Claims!$A$2:$A$401,0))="","",INDEX(Claims!$M$2:$M$401,MATCH($B18,Claims!$A$2:$A$401,0)))</f>
        <v/>
      </c>
      <c r="O18" s="35" t="str">
        <f>IF(INDEX(Claims!$N$2:$N$401,MATCH($B18,Claims!$A$2:$A$401,0))="","",INDEX(Claims!$N$2:$N$401,MATCH($B18,Claims!$A$2:$A$401,0)))</f>
        <v/>
      </c>
      <c r="P18" s="33" t="s">
        <v>649</v>
      </c>
      <c r="Q18" s="72" t="str">
        <f>INDEX('Policy Rules'!$C$2:$C$16,MATCH($P18,'Policy Rules'!$A$2:$A$16,0))</f>
        <v>Rs 1,200 per day in metro cities and Rs 900 per day elsewhere, covering meals and incidentals.</v>
      </c>
      <c r="R18" s="73" t="s">
        <v>950</v>
      </c>
      <c r="S18" s="73" t="s">
        <v>1003</v>
      </c>
      <c r="T18" s="73" t="s">
        <v>1004</v>
      </c>
      <c r="U18" s="72" t="str">
        <f>INDEX(Checker!$R$6:$R$405,MATCH($B18,Checker!$A$6:$A$405,0))&amp;": "&amp;INDEX(Checker!$S$6:$S$405,MATCH($B18,Checker!$A$6:$A$405,0))&amp;IF(INDEX(Checker!$T$6:$T$405,MATCH($B18,Checker!$A$6:$A$405,0))="",""," ("&amp;INDEX(Checker!$T$6:$T$405,MATCH($B18,Checker!$A$6:$A$405,0))&amp;")")&amp;" | Basis: "&amp;INDEX(Checker!$U$6:$U$405,MATCH($B18,Checker!$A$6:$A$405,0))</f>
        <v>Violation: TP-06 | Basis: Assumption-based</v>
      </c>
    </row>
    <row r="19" spans="1:21" ht="23.25" customHeight="1" x14ac:dyDescent="0.25">
      <c r="A19" s="35">
        <v>15</v>
      </c>
      <c r="B19" s="33" t="s">
        <v>319</v>
      </c>
      <c r="C19" s="35" t="str">
        <f>INDEX(Claims!$B$2:$B$401,MATCH($B19,Claims!$A$2:$A$401,0))</f>
        <v>EMP030</v>
      </c>
      <c r="D19" s="35" t="str">
        <f>INDEX(Claims!$C$2:$C$401,MATCH($B19,Claims!$A$2:$A$401,0))</f>
        <v>Neha Mehta</v>
      </c>
      <c r="E19" s="35" t="str">
        <f>INDEX(Claims!$D$2:$D$401,MATCH($B19,Claims!$A$2:$A$401,0))</f>
        <v>M1</v>
      </c>
      <c r="F19" s="35" t="str">
        <f>INDEX(Claims!$E$2:$E$401,MATCH($B19,Claims!$A$2:$A$401,0))</f>
        <v>Meals/DA</v>
      </c>
      <c r="G19" s="35" t="str">
        <f>INDEX(Claims!$F$2:$F$401,MATCH($B19,Claims!$A$2:$A$401,0))</f>
        <v>Indore</v>
      </c>
      <c r="H19" s="35" t="str">
        <f>INDEX(Claims!$G$2:$G$401,MATCH($B19,Claims!$A$2:$A$401,0))</f>
        <v>Non-metro</v>
      </c>
      <c r="I19" s="50">
        <f>INDEX(Claims!$H$2:$H$401,MATCH($B19,Claims!$A$2:$A$401,0))</f>
        <v>1393</v>
      </c>
      <c r="J19" s="71">
        <f>INDEX(Claims!$I$2:$I$401,MATCH($B19,Claims!$A$2:$A$401,0))</f>
        <v>46045</v>
      </c>
      <c r="K19" s="71">
        <f>INDEX(Claims!$J$2:$J$401,MATCH($B19,Claims!$A$2:$A$401,0))</f>
        <v>46050</v>
      </c>
      <c r="L19" s="35" t="str">
        <f>INDEX(Claims!$K$2:$K$401,MATCH($B19,Claims!$A$2:$A$401,0))</f>
        <v>Yes</v>
      </c>
      <c r="M19" s="35" t="str">
        <f>INDEX(Claims!$L$2:$L$401,MATCH($B19,Claims!$A$2:$A$401,0))</f>
        <v>Conference</v>
      </c>
      <c r="N19" s="35" t="str">
        <f>IF(INDEX(Claims!$M$2:$M$401,MATCH($B19,Claims!$A$2:$A$401,0))="","",INDEX(Claims!$M$2:$M$401,MATCH($B19,Claims!$A$2:$A$401,0)))</f>
        <v/>
      </c>
      <c r="O19" s="35" t="str">
        <f>IF(INDEX(Claims!$N$2:$N$401,MATCH($B19,Claims!$A$2:$A$401,0))="","",INDEX(Claims!$N$2:$N$401,MATCH($B19,Claims!$A$2:$A$401,0)))</f>
        <v/>
      </c>
      <c r="P19" s="33" t="s">
        <v>649</v>
      </c>
      <c r="Q19" s="72" t="str">
        <f>INDEX('Policy Rules'!$C$2:$C$16,MATCH($P19,'Policy Rules'!$A$2:$A$16,0))</f>
        <v>Rs 1,200 per day in metro cities and Rs 900 per day elsewhere, covering meals and incidentals.</v>
      </c>
      <c r="R19" s="73" t="s">
        <v>950</v>
      </c>
      <c r="S19" s="73" t="s">
        <v>1003</v>
      </c>
      <c r="T19" s="73" t="s">
        <v>1005</v>
      </c>
      <c r="U19" s="72" t="str">
        <f>INDEX(Checker!$R$6:$R$405,MATCH($B19,Checker!$A$6:$A$405,0))&amp;": "&amp;INDEX(Checker!$S$6:$S$405,MATCH($B19,Checker!$A$6:$A$405,0))&amp;IF(INDEX(Checker!$T$6:$T$405,MATCH($B19,Checker!$A$6:$A$405,0))="",""," ("&amp;INDEX(Checker!$T$6:$T$405,MATCH($B19,Checker!$A$6:$A$405,0))&amp;")")&amp;" | Basis: "&amp;INDEX(Checker!$U$6:$U$405,MATCH($B19,Checker!$A$6:$A$405,0))</f>
        <v>Violation: TP-06 | Basis: Assumption-based</v>
      </c>
    </row>
    <row r="20" spans="1:21" ht="23.25" customHeight="1" x14ac:dyDescent="0.25">
      <c r="A20" s="35">
        <v>16</v>
      </c>
      <c r="B20" s="33" t="s">
        <v>400</v>
      </c>
      <c r="C20" s="35" t="str">
        <f>INDEX(Claims!$B$2:$B$401,MATCH($B20,Claims!$A$2:$A$401,0))</f>
        <v>EMP027</v>
      </c>
      <c r="D20" s="35" t="str">
        <f>INDEX(Claims!$C$2:$C$401,MATCH($B20,Claims!$A$2:$A$401,0))</f>
        <v>Arjun Rao</v>
      </c>
      <c r="E20" s="35" t="str">
        <f>INDEX(Claims!$D$2:$D$401,MATCH($B20,Claims!$A$2:$A$401,0))</f>
        <v>M2</v>
      </c>
      <c r="F20" s="35" t="str">
        <f>INDEX(Claims!$E$2:$E$401,MATCH($B20,Claims!$A$2:$A$401,0))</f>
        <v>Meals/DA</v>
      </c>
      <c r="G20" s="35" t="str">
        <f>INDEX(Claims!$F$2:$F$401,MATCH($B20,Claims!$A$2:$A$401,0))</f>
        <v>Nashik</v>
      </c>
      <c r="H20" s="35" t="str">
        <f>INDEX(Claims!$G$2:$G$401,MATCH($B20,Claims!$A$2:$A$401,0))</f>
        <v>Non-metro</v>
      </c>
      <c r="I20" s="50">
        <f>INDEX(Claims!$H$2:$H$401,MATCH($B20,Claims!$A$2:$A$401,0))</f>
        <v>1000</v>
      </c>
      <c r="J20" s="71">
        <f>INDEX(Claims!$I$2:$I$401,MATCH($B20,Claims!$A$2:$A$401,0))</f>
        <v>46043</v>
      </c>
      <c r="K20" s="71">
        <f>INDEX(Claims!$J$2:$J$401,MATCH($B20,Claims!$A$2:$A$401,0))</f>
        <v>46048</v>
      </c>
      <c r="L20" s="35" t="str">
        <f>INDEX(Claims!$K$2:$K$401,MATCH($B20,Claims!$A$2:$A$401,0))</f>
        <v>Yes</v>
      </c>
      <c r="M20" s="35" t="str">
        <f>INDEX(Claims!$L$2:$L$401,MATCH($B20,Claims!$A$2:$A$401,0))</f>
        <v>Vendor meeting</v>
      </c>
      <c r="N20" s="35" t="str">
        <f>IF(INDEX(Claims!$M$2:$M$401,MATCH($B20,Claims!$A$2:$A$401,0))="","",INDEX(Claims!$M$2:$M$401,MATCH($B20,Claims!$A$2:$A$401,0)))</f>
        <v/>
      </c>
      <c r="O20" s="35" t="str">
        <f>IF(INDEX(Claims!$N$2:$N$401,MATCH($B20,Claims!$A$2:$A$401,0))="","",INDEX(Claims!$N$2:$N$401,MATCH($B20,Claims!$A$2:$A$401,0)))</f>
        <v/>
      </c>
      <c r="P20" s="33" t="s">
        <v>649</v>
      </c>
      <c r="Q20" s="72" t="str">
        <f>INDEX('Policy Rules'!$C$2:$C$16,MATCH($P20,'Policy Rules'!$A$2:$A$16,0))</f>
        <v>Rs 1,200 per day in metro cities and Rs 900 per day elsewhere, covering meals and incidentals.</v>
      </c>
      <c r="R20" s="73" t="s">
        <v>950</v>
      </c>
      <c r="S20" s="73" t="s">
        <v>1003</v>
      </c>
      <c r="T20" s="73" t="s">
        <v>1006</v>
      </c>
      <c r="U20" s="72" t="str">
        <f>INDEX(Checker!$R$6:$R$405,MATCH($B20,Checker!$A$6:$A$405,0))&amp;": "&amp;INDEX(Checker!$S$6:$S$405,MATCH($B20,Checker!$A$6:$A$405,0))&amp;IF(INDEX(Checker!$T$6:$T$405,MATCH($B20,Checker!$A$6:$A$405,0))="",""," ("&amp;INDEX(Checker!$T$6:$T$405,MATCH($B20,Checker!$A$6:$A$405,0))&amp;")")&amp;" | Basis: "&amp;INDEX(Checker!$U$6:$U$405,MATCH($B20,Checker!$A$6:$A$405,0))</f>
        <v>Violation: TP-06 | Basis: Assumption-based</v>
      </c>
    </row>
    <row r="21" spans="1:21" ht="23.25" customHeight="1" x14ac:dyDescent="0.25">
      <c r="A21" s="35">
        <v>17</v>
      </c>
      <c r="B21" s="33" t="s">
        <v>522</v>
      </c>
      <c r="C21" s="35" t="str">
        <f>INDEX(Claims!$B$2:$B$401,MATCH($B21,Claims!$A$2:$A$401,0))</f>
        <v>EMP055</v>
      </c>
      <c r="D21" s="35" t="str">
        <f>INDEX(Claims!$C$2:$C$401,MATCH($B21,Claims!$A$2:$A$401,0))</f>
        <v>Aditya Kulkarni</v>
      </c>
      <c r="E21" s="35" t="str">
        <f>INDEX(Claims!$D$2:$D$401,MATCH($B21,Claims!$A$2:$A$401,0))</f>
        <v>M1</v>
      </c>
      <c r="F21" s="35" t="str">
        <f>INDEX(Claims!$E$2:$E$401,MATCH($B21,Claims!$A$2:$A$401,0))</f>
        <v>Meals/DA</v>
      </c>
      <c r="G21" s="35" t="str">
        <f>INDEX(Claims!$F$2:$F$401,MATCH($B21,Claims!$A$2:$A$401,0))</f>
        <v>Indore</v>
      </c>
      <c r="H21" s="35" t="str">
        <f>INDEX(Claims!$G$2:$G$401,MATCH($B21,Claims!$A$2:$A$401,0))</f>
        <v>Non-metro</v>
      </c>
      <c r="I21" s="50">
        <f>INDEX(Claims!$H$2:$H$401,MATCH($B21,Claims!$A$2:$A$401,0))</f>
        <v>2178</v>
      </c>
      <c r="J21" s="71">
        <f>INDEX(Claims!$I$2:$I$401,MATCH($B21,Claims!$A$2:$A$401,0))</f>
        <v>45956</v>
      </c>
      <c r="K21" s="71">
        <f>INDEX(Claims!$J$2:$J$401,MATCH($B21,Claims!$A$2:$A$401,0))</f>
        <v>45970</v>
      </c>
      <c r="L21" s="35" t="str">
        <f>INDEX(Claims!$K$2:$K$401,MATCH($B21,Claims!$A$2:$A$401,0))</f>
        <v>Yes</v>
      </c>
      <c r="M21" s="35" t="str">
        <f>INDEX(Claims!$L$2:$L$401,MATCH($B21,Claims!$A$2:$A$401,0))</f>
        <v>Airport cab</v>
      </c>
      <c r="N21" s="35" t="str">
        <f>IF(INDEX(Claims!$M$2:$M$401,MATCH($B21,Claims!$A$2:$A$401,0))="","",INDEX(Claims!$M$2:$M$401,MATCH($B21,Claims!$A$2:$A$401,0)))</f>
        <v/>
      </c>
      <c r="O21" s="35" t="str">
        <f>IF(INDEX(Claims!$N$2:$N$401,MATCH($B21,Claims!$A$2:$A$401,0))="","",INDEX(Claims!$N$2:$N$401,MATCH($B21,Claims!$A$2:$A$401,0)))</f>
        <v/>
      </c>
      <c r="P21" s="33" t="s">
        <v>649</v>
      </c>
      <c r="Q21" s="72" t="str">
        <f>INDEX('Policy Rules'!$C$2:$C$16,MATCH($P21,'Policy Rules'!$A$2:$A$16,0))</f>
        <v>Rs 1,200 per day in metro cities and Rs 900 per day elsewhere, covering meals and incidentals.</v>
      </c>
      <c r="R21" s="73" t="s">
        <v>950</v>
      </c>
      <c r="S21" s="73" t="s">
        <v>1003</v>
      </c>
      <c r="T21" s="73" t="s">
        <v>1007</v>
      </c>
      <c r="U21" s="72" t="str">
        <f>INDEX(Checker!$R$6:$R$405,MATCH($B21,Checker!$A$6:$A$405,0))&amp;": "&amp;INDEX(Checker!$S$6:$S$405,MATCH($B21,Checker!$A$6:$A$405,0))&amp;IF(INDEX(Checker!$T$6:$T$405,MATCH($B21,Checker!$A$6:$A$405,0))="",""," ("&amp;INDEX(Checker!$T$6:$T$405,MATCH($B21,Checker!$A$6:$A$405,0))&amp;")")&amp;" | Basis: "&amp;INDEX(Checker!$U$6:$U$405,MATCH($B21,Checker!$A$6:$A$405,0))</f>
        <v>Violation: TP-06 | Basis: Assumption-based</v>
      </c>
    </row>
    <row r="22" spans="1:21" ht="15" customHeight="1" x14ac:dyDescent="0.25">
      <c r="A22" s="35">
        <v>18</v>
      </c>
      <c r="B22" s="33" t="s">
        <v>388</v>
      </c>
      <c r="C22" s="35" t="str">
        <f>INDEX(Claims!$B$2:$B$401,MATCH($B22,Claims!$A$2:$A$401,0))</f>
        <v>EMP022</v>
      </c>
      <c r="D22" s="35" t="str">
        <f>INDEX(Claims!$C$2:$C$401,MATCH($B22,Claims!$A$2:$A$401,0))</f>
        <v>Fatima Mukherjee</v>
      </c>
      <c r="E22" s="35" t="str">
        <f>INDEX(Claims!$D$2:$D$401,MATCH($B22,Claims!$A$2:$A$401,0))</f>
        <v>M1</v>
      </c>
      <c r="F22" s="35" t="str">
        <f>INDEX(Claims!$E$2:$E$401,MATCH($B22,Claims!$A$2:$A$401,0))</f>
        <v>Alcohol</v>
      </c>
      <c r="G22" s="35" t="str">
        <f>INDEX(Claims!$F$2:$F$401,MATCH($B22,Claims!$A$2:$A$401,0))</f>
        <v>Kochi</v>
      </c>
      <c r="H22" s="35" t="str">
        <f>INDEX(Claims!$G$2:$G$401,MATCH($B22,Claims!$A$2:$A$401,0))</f>
        <v>Non-metro</v>
      </c>
      <c r="I22" s="50">
        <f>INDEX(Claims!$H$2:$H$401,MATCH($B22,Claims!$A$2:$A$401,0))</f>
        <v>4330</v>
      </c>
      <c r="J22" s="71">
        <f>INDEX(Claims!$I$2:$I$401,MATCH($B22,Claims!$A$2:$A$401,0))</f>
        <v>45905</v>
      </c>
      <c r="K22" s="71">
        <f>INDEX(Claims!$J$2:$J$401,MATCH($B22,Claims!$A$2:$A$401,0))</f>
        <v>45907</v>
      </c>
      <c r="L22" s="35" t="str">
        <f>INDEX(Claims!$K$2:$K$401,MATCH($B22,Claims!$A$2:$A$401,0))</f>
        <v>No</v>
      </c>
      <c r="M22" s="35" t="str">
        <f>INDEX(Claims!$L$2:$L$401,MATCH($B22,Claims!$A$2:$A$401,0))</f>
        <v>Site visit</v>
      </c>
      <c r="N22" s="35" t="str">
        <f>IF(INDEX(Claims!$M$2:$M$401,MATCH($B22,Claims!$A$2:$A$401,0))="","",INDEX(Claims!$M$2:$M$401,MATCH($B22,Claims!$A$2:$A$401,0)))</f>
        <v/>
      </c>
      <c r="O22" s="35" t="str">
        <f>IF(INDEX(Claims!$N$2:$N$401,MATCH($B22,Claims!$A$2:$A$401,0))="","",INDEX(Claims!$N$2:$N$401,MATCH($B22,Claims!$A$2:$A$401,0)))</f>
        <v/>
      </c>
      <c r="P22" s="33" t="s">
        <v>655</v>
      </c>
      <c r="Q22" s="72" t="str">
        <f>INDEX('Policy Rules'!$C$2:$C$16,MATCH($P22,'Policy Rules'!$A$2:$A$16,0))</f>
        <v>Alcohol is not reimbursable under any circumstances.</v>
      </c>
      <c r="R22" s="73" t="s">
        <v>948</v>
      </c>
      <c r="S22" s="73" t="s">
        <v>815</v>
      </c>
      <c r="T22" s="73" t="s">
        <v>1008</v>
      </c>
      <c r="U22" s="72" t="str">
        <f>INDEX(Checker!$R$6:$R$405,MATCH($B22,Checker!$A$6:$A$405,0))&amp;": "&amp;INDEX(Checker!$S$6:$S$405,MATCH($B22,Checker!$A$6:$A$405,0))&amp;IF(INDEX(Checker!$T$6:$T$405,MATCH($B22,Checker!$A$6:$A$405,0))="",""," ("&amp;INDEX(Checker!$T$6:$T$405,MATCH($B22,Checker!$A$6:$A$405,0))&amp;")")&amp;" | Basis: "&amp;INDEX(Checker!$U$6:$U$405,MATCH($B22,Checker!$A$6:$A$405,0))</f>
        <v>Violation: TP-08, TP-09 | Basis: Definite</v>
      </c>
    </row>
    <row r="23" spans="1:21" ht="15" customHeight="1" x14ac:dyDescent="0.25">
      <c r="A23" s="35">
        <v>19</v>
      </c>
      <c r="B23" s="33" t="s">
        <v>482</v>
      </c>
      <c r="C23" s="35" t="str">
        <f>INDEX(Claims!$B$2:$B$401,MATCH($B23,Claims!$A$2:$A$401,0))</f>
        <v>EMP024</v>
      </c>
      <c r="D23" s="35" t="str">
        <f>INDEX(Claims!$C$2:$C$401,MATCH($B23,Claims!$A$2:$A$401,0))</f>
        <v>Gurpreet Khan</v>
      </c>
      <c r="E23" s="35" t="str">
        <f>INDEX(Claims!$D$2:$D$401,MATCH($B23,Claims!$A$2:$A$401,0))</f>
        <v>M3</v>
      </c>
      <c r="F23" s="35" t="str">
        <f>INDEX(Claims!$E$2:$E$401,MATCH($B23,Claims!$A$2:$A$401,0))</f>
        <v>Alcohol</v>
      </c>
      <c r="G23" s="35" t="str">
        <f>INDEX(Claims!$F$2:$F$401,MATCH($B23,Claims!$A$2:$A$401,0))</f>
        <v>Delhi</v>
      </c>
      <c r="H23" s="35" t="str">
        <f>INDEX(Claims!$G$2:$G$401,MATCH($B23,Claims!$A$2:$A$401,0))</f>
        <v>Metro</v>
      </c>
      <c r="I23" s="50">
        <f>INDEX(Claims!$H$2:$H$401,MATCH($B23,Claims!$A$2:$A$401,0))</f>
        <v>4546</v>
      </c>
      <c r="J23" s="71">
        <f>INDEX(Claims!$I$2:$I$401,MATCH($B23,Claims!$A$2:$A$401,0))</f>
        <v>45913</v>
      </c>
      <c r="K23" s="71">
        <f>INDEX(Claims!$J$2:$J$401,MATCH($B23,Claims!$A$2:$A$401,0))</f>
        <v>45918</v>
      </c>
      <c r="L23" s="35" t="str">
        <f>INDEX(Claims!$K$2:$K$401,MATCH($B23,Claims!$A$2:$A$401,0))</f>
        <v>Yes</v>
      </c>
      <c r="M23" s="35" t="str">
        <f>INDEX(Claims!$L$2:$L$401,MATCH($B23,Claims!$A$2:$A$401,0))</f>
        <v>Airport cab</v>
      </c>
      <c r="N23" s="35" t="str">
        <f>IF(INDEX(Claims!$M$2:$M$401,MATCH($B23,Claims!$A$2:$A$401,0))="","",INDEX(Claims!$M$2:$M$401,MATCH($B23,Claims!$A$2:$A$401,0)))</f>
        <v/>
      </c>
      <c r="O23" s="35" t="str">
        <f>IF(INDEX(Claims!$N$2:$N$401,MATCH($B23,Claims!$A$2:$A$401,0))="","",INDEX(Claims!$N$2:$N$401,MATCH($B23,Claims!$A$2:$A$401,0)))</f>
        <v/>
      </c>
      <c r="P23" s="33" t="s">
        <v>655</v>
      </c>
      <c r="Q23" s="72" t="str">
        <f>INDEX('Policy Rules'!$C$2:$C$16,MATCH($P23,'Policy Rules'!$A$2:$A$16,0))</f>
        <v>Alcohol is not reimbursable under any circumstances.</v>
      </c>
      <c r="R23" s="73" t="s">
        <v>948</v>
      </c>
      <c r="S23" s="73" t="s">
        <v>815</v>
      </c>
      <c r="T23" s="73" t="s">
        <v>1009</v>
      </c>
      <c r="U23" s="72" t="str">
        <f>INDEX(Checker!$R$6:$R$405,MATCH($B23,Checker!$A$6:$A$405,0))&amp;": "&amp;INDEX(Checker!$S$6:$S$405,MATCH($B23,Checker!$A$6:$A$405,0))&amp;IF(INDEX(Checker!$T$6:$T$405,MATCH($B23,Checker!$A$6:$A$405,0))="",""," ("&amp;INDEX(Checker!$T$6:$T$405,MATCH($B23,Checker!$A$6:$A$405,0))&amp;")")&amp;" | Basis: "&amp;INDEX(Checker!$U$6:$U$405,MATCH($B23,Checker!$A$6:$A$405,0))</f>
        <v>Violation: TP-08 | Basis: Definite</v>
      </c>
    </row>
    <row r="24" spans="1:21" ht="15" customHeight="1" x14ac:dyDescent="0.25">
      <c r="A24" s="35">
        <v>20</v>
      </c>
      <c r="B24" s="33" t="s">
        <v>587</v>
      </c>
      <c r="C24" s="35" t="str">
        <f>INDEX(Claims!$B$2:$B$401,MATCH($B24,Claims!$A$2:$A$401,0))</f>
        <v>EMP030</v>
      </c>
      <c r="D24" s="35" t="str">
        <f>INDEX(Claims!$C$2:$C$401,MATCH($B24,Claims!$A$2:$A$401,0))</f>
        <v>Neha Mehta</v>
      </c>
      <c r="E24" s="35" t="str">
        <f>INDEX(Claims!$D$2:$D$401,MATCH($B24,Claims!$A$2:$A$401,0))</f>
        <v>M1</v>
      </c>
      <c r="F24" s="35" t="str">
        <f>INDEX(Claims!$E$2:$E$401,MATCH($B24,Claims!$A$2:$A$401,0))</f>
        <v>Alcohol</v>
      </c>
      <c r="G24" s="35" t="str">
        <f>INDEX(Claims!$F$2:$F$401,MATCH($B24,Claims!$A$2:$A$401,0))</f>
        <v>Delhi</v>
      </c>
      <c r="H24" s="35" t="str">
        <f>INDEX(Claims!$G$2:$G$401,MATCH($B24,Claims!$A$2:$A$401,0))</f>
        <v>Metro</v>
      </c>
      <c r="I24" s="50">
        <f>INDEX(Claims!$H$2:$H$401,MATCH($B24,Claims!$A$2:$A$401,0))</f>
        <v>4338</v>
      </c>
      <c r="J24" s="71">
        <f>INDEX(Claims!$I$2:$I$401,MATCH($B24,Claims!$A$2:$A$401,0))</f>
        <v>45860</v>
      </c>
      <c r="K24" s="71">
        <f>INDEX(Claims!$J$2:$J$401,MATCH($B24,Claims!$A$2:$A$401,0))</f>
        <v>45862</v>
      </c>
      <c r="L24" s="35" t="str">
        <f>INDEX(Claims!$K$2:$K$401,MATCH($B24,Claims!$A$2:$A$401,0))</f>
        <v>Yes</v>
      </c>
      <c r="M24" s="35" t="str">
        <f>INDEX(Claims!$L$2:$L$401,MATCH($B24,Claims!$A$2:$A$401,0))</f>
        <v>Team meeting</v>
      </c>
      <c r="N24" s="35" t="str">
        <f>IF(INDEX(Claims!$M$2:$M$401,MATCH($B24,Claims!$A$2:$A$401,0))="","",INDEX(Claims!$M$2:$M$401,MATCH($B24,Claims!$A$2:$A$401,0)))</f>
        <v/>
      </c>
      <c r="O24" s="35" t="str">
        <f>IF(INDEX(Claims!$N$2:$N$401,MATCH($B24,Claims!$A$2:$A$401,0))="","",INDEX(Claims!$N$2:$N$401,MATCH($B24,Claims!$A$2:$A$401,0)))</f>
        <v/>
      </c>
      <c r="P24" s="33" t="s">
        <v>655</v>
      </c>
      <c r="Q24" s="72" t="str">
        <f>INDEX('Policy Rules'!$C$2:$C$16,MATCH($P24,'Policy Rules'!$A$2:$A$16,0))</f>
        <v>Alcohol is not reimbursable under any circumstances.</v>
      </c>
      <c r="R24" s="73" t="s">
        <v>948</v>
      </c>
      <c r="S24" s="73" t="s">
        <v>815</v>
      </c>
      <c r="T24" s="73" t="s">
        <v>1010</v>
      </c>
      <c r="U24" s="72" t="str">
        <f>INDEX(Checker!$R$6:$R$405,MATCH($B24,Checker!$A$6:$A$405,0))&amp;": "&amp;INDEX(Checker!$S$6:$S$405,MATCH($B24,Checker!$A$6:$A$405,0))&amp;IF(INDEX(Checker!$T$6:$T$405,MATCH($B24,Checker!$A$6:$A$405,0))="",""," ("&amp;INDEX(Checker!$T$6:$T$405,MATCH($B24,Checker!$A$6:$A$405,0))&amp;")")&amp;" | Basis: "&amp;INDEX(Checker!$U$6:$U$405,MATCH($B24,Checker!$A$6:$A$405,0))</f>
        <v>Violation: TP-08 | Basis: Definite</v>
      </c>
    </row>
    <row r="25" spans="1:21" ht="15" customHeight="1" x14ac:dyDescent="0.25">
      <c r="A25" s="35">
        <v>21</v>
      </c>
      <c r="B25" s="33" t="s">
        <v>303</v>
      </c>
      <c r="C25" s="35" t="str">
        <f>INDEX(Claims!$B$2:$B$401,MATCH($B25,Claims!$A$2:$A$401,0))</f>
        <v>EMP028</v>
      </c>
      <c r="D25" s="35" t="str">
        <f>INDEX(Claims!$C$2:$C$401,MATCH($B25,Claims!$A$2:$A$401,0))</f>
        <v>Rajesh Sharma</v>
      </c>
      <c r="E25" s="35" t="str">
        <f>INDEX(Claims!$D$2:$D$401,MATCH($B25,Claims!$A$2:$A$401,0))</f>
        <v>M2</v>
      </c>
      <c r="F25" s="35" t="str">
        <f>INDEX(Claims!$E$2:$E$401,MATCH($B25,Claims!$A$2:$A$401,0))</f>
        <v>Client Entertainment</v>
      </c>
      <c r="G25" s="35" t="str">
        <f>INDEX(Claims!$F$2:$F$401,MATCH($B25,Claims!$A$2:$A$401,0))</f>
        <v>Jaipur</v>
      </c>
      <c r="H25" s="35" t="str">
        <f>INDEX(Claims!$G$2:$G$401,MATCH($B25,Claims!$A$2:$A$401,0))</f>
        <v>Non-metro</v>
      </c>
      <c r="I25" s="50">
        <f>INDEX(Claims!$H$2:$H$401,MATCH($B25,Claims!$A$2:$A$401,0))</f>
        <v>11282</v>
      </c>
      <c r="J25" s="71">
        <f>INDEX(Claims!$I$2:$I$401,MATCH($B25,Claims!$A$2:$A$401,0))</f>
        <v>46017</v>
      </c>
      <c r="K25" s="71">
        <f>INDEX(Claims!$J$2:$J$401,MATCH($B25,Claims!$A$2:$A$401,0))</f>
        <v>46026</v>
      </c>
      <c r="L25" s="35" t="str">
        <f>INDEX(Claims!$K$2:$K$401,MATCH($B25,Claims!$A$2:$A$401,0))</f>
        <v>No</v>
      </c>
      <c r="M25" s="35" t="str">
        <f>INDEX(Claims!$L$2:$L$401,MATCH($B25,Claims!$A$2:$A$401,0))</f>
        <v>Hotel stay</v>
      </c>
      <c r="N25" s="35" t="str">
        <f>IF(INDEX(Claims!$M$2:$M$401,MATCH($B25,Claims!$A$2:$A$401,0))="","",INDEX(Claims!$M$2:$M$401,MATCH($B25,Claims!$A$2:$A$401,0)))</f>
        <v/>
      </c>
      <c r="O25" s="35" t="str">
        <f>IF(INDEX(Claims!$N$2:$N$401,MATCH($B25,Claims!$A$2:$A$401,0))="","",INDEX(Claims!$N$2:$N$401,MATCH($B25,Claims!$A$2:$A$401,0)))</f>
        <v/>
      </c>
      <c r="P25" s="33" t="s">
        <v>657</v>
      </c>
      <c r="Q25" s="72" t="str">
        <f>INDEX('Policy Rules'!$C$2:$C$16,MATCH($P25,'Policy Rules'!$A$2:$A$16,0))</f>
        <v>Original receipts are required for every expense above Rs 500.</v>
      </c>
      <c r="R25" s="73" t="s">
        <v>948</v>
      </c>
      <c r="S25" s="73" t="s">
        <v>815</v>
      </c>
      <c r="T25" s="73" t="s">
        <v>1011</v>
      </c>
      <c r="U25" s="72" t="str">
        <f>INDEX(Checker!$R$6:$R$405,MATCH($B25,Checker!$A$6:$A$405,0))&amp;": "&amp;INDEX(Checker!$S$6:$S$405,MATCH($B25,Checker!$A$6:$A$405,0))&amp;IF(INDEX(Checker!$T$6:$T$405,MATCH($B25,Checker!$A$6:$A$405,0))="",""," ("&amp;INDEX(Checker!$T$6:$T$405,MATCH($B25,Checker!$A$6:$A$405,0))&amp;")")&amp;" | Basis: "&amp;INDEX(Checker!$U$6:$U$405,MATCH($B25,Checker!$A$6:$A$405,0))</f>
        <v>Violation: TP-09 | Basis: Definite</v>
      </c>
    </row>
    <row r="26" spans="1:21" ht="15" customHeight="1" x14ac:dyDescent="0.25">
      <c r="A26" s="35">
        <v>22</v>
      </c>
      <c r="B26" s="33" t="s">
        <v>308</v>
      </c>
      <c r="C26" s="35" t="str">
        <f>INDEX(Claims!$B$2:$B$401,MATCH($B26,Claims!$A$2:$A$401,0))</f>
        <v>EMP026</v>
      </c>
      <c r="D26" s="35" t="str">
        <f>INDEX(Claims!$C$2:$C$401,MATCH($B26,Claims!$A$2:$A$401,0))</f>
        <v>Rahul Reddy</v>
      </c>
      <c r="E26" s="35" t="str">
        <f>INDEX(Claims!$D$2:$D$401,MATCH($B26,Claims!$A$2:$A$401,0))</f>
        <v>M2</v>
      </c>
      <c r="F26" s="35" t="str">
        <f>INDEX(Claims!$E$2:$E$401,MATCH($B26,Claims!$A$2:$A$401,0))</f>
        <v>Hotel</v>
      </c>
      <c r="G26" s="35" t="str">
        <f>INDEX(Claims!$F$2:$F$401,MATCH($B26,Claims!$A$2:$A$401,0))</f>
        <v>Delhi</v>
      </c>
      <c r="H26" s="35" t="str">
        <f>INDEX(Claims!$G$2:$G$401,MATCH($B26,Claims!$A$2:$A$401,0))</f>
        <v>Metro</v>
      </c>
      <c r="I26" s="50">
        <f>INDEX(Claims!$H$2:$H$401,MATCH($B26,Claims!$A$2:$A$401,0))</f>
        <v>6360</v>
      </c>
      <c r="J26" s="71">
        <f>INDEX(Claims!$I$2:$I$401,MATCH($B26,Claims!$A$2:$A$401,0))</f>
        <v>45764</v>
      </c>
      <c r="K26" s="71">
        <f>INDEX(Claims!$J$2:$J$401,MATCH($B26,Claims!$A$2:$A$401,0))</f>
        <v>45773</v>
      </c>
      <c r="L26" s="35" t="str">
        <f>INDEX(Claims!$K$2:$K$401,MATCH($B26,Claims!$A$2:$A$401,0))</f>
        <v>No</v>
      </c>
      <c r="M26" s="35" t="str">
        <f>INDEX(Claims!$L$2:$L$401,MATCH($B26,Claims!$A$2:$A$401,0))</f>
        <v>Hotel stay</v>
      </c>
      <c r="N26" s="35" t="str">
        <f>IF(INDEX(Claims!$M$2:$M$401,MATCH($B26,Claims!$A$2:$A$401,0))="","",INDEX(Claims!$M$2:$M$401,MATCH($B26,Claims!$A$2:$A$401,0)))</f>
        <v/>
      </c>
      <c r="O26" s="35" t="str">
        <f>IF(INDEX(Claims!$N$2:$N$401,MATCH($B26,Claims!$A$2:$A$401,0))="","",INDEX(Claims!$N$2:$N$401,MATCH($B26,Claims!$A$2:$A$401,0)))</f>
        <v/>
      </c>
      <c r="P26" s="33" t="s">
        <v>657</v>
      </c>
      <c r="Q26" s="72" t="str">
        <f>INDEX('Policy Rules'!$C$2:$C$16,MATCH($P26,'Policy Rules'!$A$2:$A$16,0))</f>
        <v>Original receipts are required for every expense above Rs 500.</v>
      </c>
      <c r="R26" s="73" t="s">
        <v>948</v>
      </c>
      <c r="S26" s="73" t="s">
        <v>815</v>
      </c>
      <c r="T26" s="73" t="s">
        <v>1012</v>
      </c>
      <c r="U26" s="72" t="str">
        <f>INDEX(Checker!$R$6:$R$405,MATCH($B26,Checker!$A$6:$A$405,0))&amp;": "&amp;INDEX(Checker!$S$6:$S$405,MATCH($B26,Checker!$A$6:$A$405,0))&amp;IF(INDEX(Checker!$T$6:$T$405,MATCH($B26,Checker!$A$6:$A$405,0))="",""," ("&amp;INDEX(Checker!$T$6:$T$405,MATCH($B26,Checker!$A$6:$A$405,0))&amp;")")&amp;" | Basis: "&amp;INDEX(Checker!$U$6:$U$405,MATCH($B26,Checker!$A$6:$A$405,0))</f>
        <v>Violation: TP-09 | Basis: Definite</v>
      </c>
    </row>
    <row r="27" spans="1:21" ht="15" customHeight="1" x14ac:dyDescent="0.25">
      <c r="A27" s="35">
        <v>23</v>
      </c>
      <c r="B27" s="33" t="s">
        <v>374</v>
      </c>
      <c r="C27" s="35" t="str">
        <f>INDEX(Claims!$B$2:$B$401,MATCH($B27,Claims!$A$2:$A$401,0))</f>
        <v>EMP031</v>
      </c>
      <c r="D27" s="35" t="str">
        <f>INDEX(Claims!$C$2:$C$401,MATCH($B27,Claims!$A$2:$A$401,0))</f>
        <v>Siddharth Pillai</v>
      </c>
      <c r="E27" s="35" t="str">
        <f>INDEX(Claims!$D$2:$D$401,MATCH($B27,Claims!$A$2:$A$401,0))</f>
        <v>M5</v>
      </c>
      <c r="F27" s="35" t="str">
        <f>INDEX(Claims!$E$2:$E$401,MATCH($B27,Claims!$A$2:$A$401,0))</f>
        <v>Flight</v>
      </c>
      <c r="G27" s="35" t="str">
        <f>INDEX(Claims!$F$2:$F$401,MATCH($B27,Claims!$A$2:$A$401,0))</f>
        <v>Delhi</v>
      </c>
      <c r="H27" s="35" t="str">
        <f>INDEX(Claims!$G$2:$G$401,MATCH($B27,Claims!$A$2:$A$401,0))</f>
        <v>Metro</v>
      </c>
      <c r="I27" s="50">
        <f>INDEX(Claims!$H$2:$H$401,MATCH($B27,Claims!$A$2:$A$401,0))</f>
        <v>20098</v>
      </c>
      <c r="J27" s="71">
        <f>INDEX(Claims!$I$2:$I$401,MATCH($B27,Claims!$A$2:$A$401,0))</f>
        <v>45813</v>
      </c>
      <c r="K27" s="71">
        <f>INDEX(Claims!$J$2:$J$401,MATCH($B27,Claims!$A$2:$A$401,0))</f>
        <v>45815</v>
      </c>
      <c r="L27" s="35" t="str">
        <f>INDEX(Claims!$K$2:$K$401,MATCH($B27,Claims!$A$2:$A$401,0))</f>
        <v>No</v>
      </c>
      <c r="M27" s="35" t="str">
        <f>INDEX(Claims!$L$2:$L$401,MATCH($B27,Claims!$A$2:$A$401,0))</f>
        <v>Vendor meeting</v>
      </c>
      <c r="N27" s="35">
        <f>IF(INDEX(Claims!$M$2:$M$401,MATCH($B27,Claims!$A$2:$A$401,0))="","",INDEX(Claims!$M$2:$M$401,MATCH($B27,Claims!$A$2:$A$401,0)))</f>
        <v>9</v>
      </c>
      <c r="O27" s="35" t="str">
        <f>IF(INDEX(Claims!$N$2:$N$401,MATCH($B27,Claims!$A$2:$A$401,0))="","",INDEX(Claims!$N$2:$N$401,MATCH($B27,Claims!$A$2:$A$401,0)))</f>
        <v>Economy</v>
      </c>
      <c r="P27" s="33" t="s">
        <v>657</v>
      </c>
      <c r="Q27" s="72" t="str">
        <f>INDEX('Policy Rules'!$C$2:$C$16,MATCH($P27,'Policy Rules'!$A$2:$A$16,0))</f>
        <v>Original receipts are required for every expense above Rs 500.</v>
      </c>
      <c r="R27" s="73" t="s">
        <v>948</v>
      </c>
      <c r="S27" s="73" t="s">
        <v>815</v>
      </c>
      <c r="T27" s="73" t="s">
        <v>1013</v>
      </c>
      <c r="U27" s="72" t="str">
        <f>INDEX(Checker!$R$6:$R$405,MATCH($B27,Checker!$A$6:$A$405,0))&amp;": "&amp;INDEX(Checker!$S$6:$S$405,MATCH($B27,Checker!$A$6:$A$405,0))&amp;IF(INDEX(Checker!$T$6:$T$405,MATCH($B27,Checker!$A$6:$A$405,0))="",""," ("&amp;INDEX(Checker!$T$6:$T$405,MATCH($B27,Checker!$A$6:$A$405,0))&amp;")")&amp;" | Basis: "&amp;INDEX(Checker!$U$6:$U$405,MATCH($B27,Checker!$A$6:$A$405,0))</f>
        <v>Violation: TP-09 | Basis: Definite</v>
      </c>
    </row>
    <row r="28" spans="1:21" ht="15" customHeight="1" x14ac:dyDescent="0.25">
      <c r="A28" s="35">
        <v>24</v>
      </c>
      <c r="B28" s="33" t="s">
        <v>608</v>
      </c>
      <c r="C28" s="35" t="str">
        <f>INDEX(Claims!$B$2:$B$401,MATCH($B28,Claims!$A$2:$A$401,0))</f>
        <v>EMP001</v>
      </c>
      <c r="D28" s="35" t="str">
        <f>INDEX(Claims!$C$2:$C$401,MATCH($B28,Claims!$A$2:$A$401,0))</f>
        <v>Meera Nair</v>
      </c>
      <c r="E28" s="35" t="str">
        <f>INDEX(Claims!$D$2:$D$401,MATCH($B28,Claims!$A$2:$A$401,0))</f>
        <v>M2</v>
      </c>
      <c r="F28" s="35" t="str">
        <f>INDEX(Claims!$E$2:$E$401,MATCH($B28,Claims!$A$2:$A$401,0))</f>
        <v>Stationery</v>
      </c>
      <c r="G28" s="35" t="str">
        <f>INDEX(Claims!$F$2:$F$401,MATCH($B28,Claims!$A$2:$A$401,0))</f>
        <v>Indore</v>
      </c>
      <c r="H28" s="35" t="str">
        <f>INDEX(Claims!$G$2:$G$401,MATCH($B28,Claims!$A$2:$A$401,0))</f>
        <v>Non-metro</v>
      </c>
      <c r="I28" s="50">
        <f>INDEX(Claims!$H$2:$H$401,MATCH($B28,Claims!$A$2:$A$401,0))</f>
        <v>1304</v>
      </c>
      <c r="J28" s="71">
        <f>INDEX(Claims!$I$2:$I$401,MATCH($B28,Claims!$A$2:$A$401,0))</f>
        <v>45895</v>
      </c>
      <c r="K28" s="71">
        <f>INDEX(Claims!$J$2:$J$401,MATCH($B28,Claims!$A$2:$A$401,0))</f>
        <v>45904</v>
      </c>
      <c r="L28" s="35" t="str">
        <f>INDEX(Claims!$K$2:$K$401,MATCH($B28,Claims!$A$2:$A$401,0))</f>
        <v>No</v>
      </c>
      <c r="M28" s="35" t="str">
        <f>INDEX(Claims!$L$2:$L$401,MATCH($B28,Claims!$A$2:$A$401,0))</f>
        <v>Airport cab</v>
      </c>
      <c r="N28" s="35" t="str">
        <f>IF(INDEX(Claims!$M$2:$M$401,MATCH($B28,Claims!$A$2:$A$401,0))="","",INDEX(Claims!$M$2:$M$401,MATCH($B28,Claims!$A$2:$A$401,0)))</f>
        <v/>
      </c>
      <c r="O28" s="35" t="str">
        <f>IF(INDEX(Claims!$N$2:$N$401,MATCH($B28,Claims!$A$2:$A$401,0))="","",INDEX(Claims!$N$2:$N$401,MATCH($B28,Claims!$A$2:$A$401,0)))</f>
        <v/>
      </c>
      <c r="P28" s="33" t="s">
        <v>657</v>
      </c>
      <c r="Q28" s="72" t="str">
        <f>INDEX('Policy Rules'!$C$2:$C$16,MATCH($P28,'Policy Rules'!$A$2:$A$16,0))</f>
        <v>Original receipts are required for every expense above Rs 500.</v>
      </c>
      <c r="R28" s="73" t="s">
        <v>948</v>
      </c>
      <c r="S28" s="73" t="s">
        <v>815</v>
      </c>
      <c r="T28" s="73" t="s">
        <v>1014</v>
      </c>
      <c r="U28" s="72" t="str">
        <f>INDEX(Checker!$R$6:$R$405,MATCH($B28,Checker!$A$6:$A$405,0))&amp;": "&amp;INDEX(Checker!$S$6:$S$405,MATCH($B28,Checker!$A$6:$A$405,0))&amp;IF(INDEX(Checker!$T$6:$T$405,MATCH($B28,Checker!$A$6:$A$405,0))="",""," ("&amp;INDEX(Checker!$T$6:$T$405,MATCH($B28,Checker!$A$6:$A$405,0))&amp;")")&amp;" | Basis: "&amp;INDEX(Checker!$U$6:$U$405,MATCH($B28,Checker!$A$6:$A$405,0))</f>
        <v>Violation: TP-09 | Basis: Definite</v>
      </c>
    </row>
    <row r="29" spans="1:21" ht="15" customHeight="1" x14ac:dyDescent="0.25">
      <c r="A29" s="35">
        <v>25</v>
      </c>
      <c r="B29" s="33" t="s">
        <v>624</v>
      </c>
      <c r="C29" s="35" t="str">
        <f>INDEX(Claims!$B$2:$B$401,MATCH($B29,Claims!$A$2:$A$401,0))</f>
        <v>EMP035</v>
      </c>
      <c r="D29" s="35" t="str">
        <f>INDEX(Claims!$C$2:$C$401,MATCH($B29,Claims!$A$2:$A$401,0))</f>
        <v>Siddharth Shah</v>
      </c>
      <c r="E29" s="35" t="str">
        <f>INDEX(Claims!$D$2:$D$401,MATCH($B29,Claims!$A$2:$A$401,0))</f>
        <v>M1</v>
      </c>
      <c r="F29" s="35" t="str">
        <f>INDEX(Claims!$E$2:$E$401,MATCH($B29,Claims!$A$2:$A$401,0))</f>
        <v>Hotel</v>
      </c>
      <c r="G29" s="35" t="str">
        <f>INDEX(Claims!$F$2:$F$401,MATCH($B29,Claims!$A$2:$A$401,0))</f>
        <v>Nashik</v>
      </c>
      <c r="H29" s="35" t="str">
        <f>INDEX(Claims!$G$2:$G$401,MATCH($B29,Claims!$A$2:$A$401,0))</f>
        <v>Non-metro</v>
      </c>
      <c r="I29" s="50">
        <f>INDEX(Claims!$H$2:$H$401,MATCH($B29,Claims!$A$2:$A$401,0))</f>
        <v>15675</v>
      </c>
      <c r="J29" s="71">
        <f>INDEX(Claims!$I$2:$I$401,MATCH($B29,Claims!$A$2:$A$401,0))</f>
        <v>45934</v>
      </c>
      <c r="K29" s="71">
        <f>INDEX(Claims!$J$2:$J$401,MATCH($B29,Claims!$A$2:$A$401,0))</f>
        <v>45943</v>
      </c>
      <c r="L29" s="35" t="str">
        <f>INDEX(Claims!$K$2:$K$401,MATCH($B29,Claims!$A$2:$A$401,0))</f>
        <v>No</v>
      </c>
      <c r="M29" s="35" t="str">
        <f>INDEX(Claims!$L$2:$L$401,MATCH($B29,Claims!$A$2:$A$401,0))</f>
        <v>Team meeting</v>
      </c>
      <c r="N29" s="35" t="str">
        <f>IF(INDEX(Claims!$M$2:$M$401,MATCH($B29,Claims!$A$2:$A$401,0))="","",INDEX(Claims!$M$2:$M$401,MATCH($B29,Claims!$A$2:$A$401,0)))</f>
        <v/>
      </c>
      <c r="O29" s="35" t="str">
        <f>IF(INDEX(Claims!$N$2:$N$401,MATCH($B29,Claims!$A$2:$A$401,0))="","",INDEX(Claims!$N$2:$N$401,MATCH($B29,Claims!$A$2:$A$401,0)))</f>
        <v/>
      </c>
      <c r="P29" s="33" t="s">
        <v>657</v>
      </c>
      <c r="Q29" s="72" t="str">
        <f>INDEX('Policy Rules'!$C$2:$C$16,MATCH($P29,'Policy Rules'!$A$2:$A$16,0))</f>
        <v>Original receipts are required for every expense above Rs 500.</v>
      </c>
      <c r="R29" s="73" t="s">
        <v>948</v>
      </c>
      <c r="S29" s="73" t="s">
        <v>815</v>
      </c>
      <c r="T29" s="73" t="s">
        <v>1015</v>
      </c>
      <c r="U29" s="72" t="str">
        <f>INDEX(Checker!$R$6:$R$405,MATCH($B29,Checker!$A$6:$A$405,0))&amp;": "&amp;INDEX(Checker!$S$6:$S$405,MATCH($B29,Checker!$A$6:$A$405,0))&amp;IF(INDEX(Checker!$T$6:$T$405,MATCH($B29,Checker!$A$6:$A$405,0))="",""," ("&amp;INDEX(Checker!$T$6:$T$405,MATCH($B29,Checker!$A$6:$A$405,0))&amp;")")&amp;" | Basis: "&amp;INDEX(Checker!$U$6:$U$405,MATCH($B29,Checker!$A$6:$A$405,0))</f>
        <v>Violation: TP-05, TP-09 | Basis: Definite</v>
      </c>
    </row>
    <row r="30" spans="1:21" ht="23.25" customHeight="1" x14ac:dyDescent="0.25">
      <c r="A30" s="35">
        <v>26</v>
      </c>
      <c r="B30" s="33" t="s">
        <v>139</v>
      </c>
      <c r="C30" s="35" t="str">
        <f>INDEX(Claims!$B$2:$B$401,MATCH($B30,Claims!$A$2:$A$401,0))</f>
        <v>EMP012</v>
      </c>
      <c r="D30" s="35" t="str">
        <f>INDEX(Claims!$C$2:$C$401,MATCH($B30,Claims!$A$2:$A$401,0))</f>
        <v>Sandeep Verma</v>
      </c>
      <c r="E30" s="35" t="str">
        <f>INDEX(Claims!$D$2:$D$401,MATCH($B30,Claims!$A$2:$A$401,0))</f>
        <v>M1</v>
      </c>
      <c r="F30" s="35" t="str">
        <f>INDEX(Claims!$E$2:$E$401,MATCH($B30,Claims!$A$2:$A$401,0))</f>
        <v>Local Cab</v>
      </c>
      <c r="G30" s="35" t="str">
        <f>INDEX(Claims!$F$2:$F$401,MATCH($B30,Claims!$A$2:$A$401,0))</f>
        <v>Indore</v>
      </c>
      <c r="H30" s="35" t="str">
        <f>INDEX(Claims!$G$2:$G$401,MATCH($B30,Claims!$A$2:$A$401,0))</f>
        <v>Non-metro</v>
      </c>
      <c r="I30" s="50">
        <f>INDEX(Claims!$H$2:$H$401,MATCH($B30,Claims!$A$2:$A$401,0))</f>
        <v>157</v>
      </c>
      <c r="J30" s="71">
        <f>INDEX(Claims!$I$2:$I$401,MATCH($B30,Claims!$A$2:$A$401,0))</f>
        <v>46058</v>
      </c>
      <c r="K30" s="71">
        <f>INDEX(Claims!$J$2:$J$401,MATCH($B30,Claims!$A$2:$A$401,0))</f>
        <v>46093</v>
      </c>
      <c r="L30" s="35" t="str">
        <f>INDEX(Claims!$K$2:$K$401,MATCH($B30,Claims!$A$2:$A$401,0))</f>
        <v>Yes</v>
      </c>
      <c r="M30" s="35" t="str">
        <f>INDEX(Claims!$L$2:$L$401,MATCH($B30,Claims!$A$2:$A$401,0))</f>
        <v>Vendor meeting</v>
      </c>
      <c r="N30" s="35" t="str">
        <f>IF(INDEX(Claims!$M$2:$M$401,MATCH($B30,Claims!$A$2:$A$401,0))="","",INDEX(Claims!$M$2:$M$401,MATCH($B30,Claims!$A$2:$A$401,0)))</f>
        <v/>
      </c>
      <c r="O30" s="35" t="str">
        <f>IF(INDEX(Claims!$N$2:$N$401,MATCH($B30,Claims!$A$2:$A$401,0))="","",INDEX(Claims!$N$2:$N$401,MATCH($B30,Claims!$A$2:$A$401,0)))</f>
        <v/>
      </c>
      <c r="P30" s="33" t="s">
        <v>660</v>
      </c>
      <c r="Q30" s="72" t="str">
        <f>INDEX('Policy Rules'!$C$2:$C$16,MATCH($P30,'Policy Rules'!$A$2:$A$16,0))</f>
        <v>Claims must be submitted within 15 days of returning; claims older than 60 days are rejected.</v>
      </c>
      <c r="R30" s="73" t="s">
        <v>948</v>
      </c>
      <c r="S30" s="73" t="s">
        <v>815</v>
      </c>
      <c r="T30" s="73" t="s">
        <v>1016</v>
      </c>
      <c r="U30" s="72" t="str">
        <f>INDEX(Checker!$R$6:$R$405,MATCH($B30,Checker!$A$6:$A$405,0))&amp;": "&amp;INDEX(Checker!$S$6:$S$405,MATCH($B30,Checker!$A$6:$A$405,0))&amp;IF(INDEX(Checker!$T$6:$T$405,MATCH($B30,Checker!$A$6:$A$405,0))="",""," ("&amp;INDEX(Checker!$T$6:$T$405,MATCH($B30,Checker!$A$6:$A$405,0))&amp;")")&amp;" | Basis: "&amp;INDEX(Checker!$U$6:$U$405,MATCH($B30,Checker!$A$6:$A$405,0))</f>
        <v>Violation: TP-10 (Late) | Basis: Definite</v>
      </c>
    </row>
    <row r="31" spans="1:21" ht="23.25" customHeight="1" x14ac:dyDescent="0.25">
      <c r="A31" s="35">
        <v>27</v>
      </c>
      <c r="B31" s="33" t="s">
        <v>395</v>
      </c>
      <c r="C31" s="35" t="str">
        <f>INDEX(Claims!$B$2:$B$401,MATCH($B31,Claims!$A$2:$A$401,0))</f>
        <v>EMP046</v>
      </c>
      <c r="D31" s="35" t="str">
        <f>INDEX(Claims!$C$2:$C$401,MATCH($B31,Claims!$A$2:$A$401,0))</f>
        <v>Vivaan Reddy</v>
      </c>
      <c r="E31" s="35" t="str">
        <f>INDEX(Claims!$D$2:$D$401,MATCH($B31,Claims!$A$2:$A$401,0))</f>
        <v>M1</v>
      </c>
      <c r="F31" s="35" t="str">
        <f>INDEX(Claims!$E$2:$E$401,MATCH($B31,Claims!$A$2:$A$401,0))</f>
        <v>Train</v>
      </c>
      <c r="G31" s="35" t="str">
        <f>INDEX(Claims!$F$2:$F$401,MATCH($B31,Claims!$A$2:$A$401,0))</f>
        <v>Indore</v>
      </c>
      <c r="H31" s="35" t="str">
        <f>INDEX(Claims!$G$2:$G$401,MATCH($B31,Claims!$A$2:$A$401,0))</f>
        <v>Non-metro</v>
      </c>
      <c r="I31" s="50">
        <f>INDEX(Claims!$H$2:$H$401,MATCH($B31,Claims!$A$2:$A$401,0))</f>
        <v>3969</v>
      </c>
      <c r="J31" s="71">
        <f>INDEX(Claims!$I$2:$I$401,MATCH($B31,Claims!$A$2:$A$401,0))</f>
        <v>46044</v>
      </c>
      <c r="K31" s="71">
        <f>INDEX(Claims!$J$2:$J$401,MATCH($B31,Claims!$A$2:$A$401,0))</f>
        <v>46079</v>
      </c>
      <c r="L31" s="35" t="str">
        <f>INDEX(Claims!$K$2:$K$401,MATCH($B31,Claims!$A$2:$A$401,0))</f>
        <v>Yes</v>
      </c>
      <c r="M31" s="35" t="str">
        <f>INDEX(Claims!$L$2:$L$401,MATCH($B31,Claims!$A$2:$A$401,0))</f>
        <v>Client dinner</v>
      </c>
      <c r="N31" s="35" t="str">
        <f>IF(INDEX(Claims!$M$2:$M$401,MATCH($B31,Claims!$A$2:$A$401,0))="","",INDEX(Claims!$M$2:$M$401,MATCH($B31,Claims!$A$2:$A$401,0)))</f>
        <v/>
      </c>
      <c r="O31" s="35" t="str">
        <f>IF(INDEX(Claims!$N$2:$N$401,MATCH($B31,Claims!$A$2:$A$401,0))="","",INDEX(Claims!$N$2:$N$401,MATCH($B31,Claims!$A$2:$A$401,0)))</f>
        <v/>
      </c>
      <c r="P31" s="33" t="s">
        <v>660</v>
      </c>
      <c r="Q31" s="72" t="str">
        <f>INDEX('Policy Rules'!$C$2:$C$16,MATCH($P31,'Policy Rules'!$A$2:$A$16,0))</f>
        <v>Claims must be submitted within 15 days of returning; claims older than 60 days are rejected.</v>
      </c>
      <c r="R31" s="73" t="s">
        <v>948</v>
      </c>
      <c r="S31" s="73" t="s">
        <v>815</v>
      </c>
      <c r="T31" s="73" t="s">
        <v>1017</v>
      </c>
      <c r="U31" s="72" t="str">
        <f>INDEX(Checker!$R$6:$R$405,MATCH($B31,Checker!$A$6:$A$405,0))&amp;": "&amp;INDEX(Checker!$S$6:$S$405,MATCH($B31,Checker!$A$6:$A$405,0))&amp;IF(INDEX(Checker!$T$6:$T$405,MATCH($B31,Checker!$A$6:$A$405,0))="",""," ("&amp;INDEX(Checker!$T$6:$T$405,MATCH($B31,Checker!$A$6:$A$405,0))&amp;")")&amp;" | Basis: "&amp;INDEX(Checker!$U$6:$U$405,MATCH($B31,Checker!$A$6:$A$405,0))</f>
        <v>Violation: TP-10 (Late) | Basis: Definite</v>
      </c>
    </row>
    <row r="32" spans="1:21" ht="23.25" customHeight="1" x14ac:dyDescent="0.25">
      <c r="A32" s="35">
        <v>28</v>
      </c>
      <c r="B32" s="33" t="s">
        <v>403</v>
      </c>
      <c r="C32" s="35" t="str">
        <f>INDEX(Claims!$B$2:$B$401,MATCH($B32,Claims!$A$2:$A$401,0))</f>
        <v>EMP026</v>
      </c>
      <c r="D32" s="35" t="str">
        <f>INDEX(Claims!$C$2:$C$401,MATCH($B32,Claims!$A$2:$A$401,0))</f>
        <v>Rahul Reddy</v>
      </c>
      <c r="E32" s="35" t="str">
        <f>INDEX(Claims!$D$2:$D$401,MATCH($B32,Claims!$A$2:$A$401,0))</f>
        <v>M2</v>
      </c>
      <c r="F32" s="35" t="str">
        <f>INDEX(Claims!$E$2:$E$401,MATCH($B32,Claims!$A$2:$A$401,0))</f>
        <v>Stationery</v>
      </c>
      <c r="G32" s="35" t="str">
        <f>INDEX(Claims!$F$2:$F$401,MATCH($B32,Claims!$A$2:$A$401,0))</f>
        <v>Chennai</v>
      </c>
      <c r="H32" s="35" t="str">
        <f>INDEX(Claims!$G$2:$G$401,MATCH($B32,Claims!$A$2:$A$401,0))</f>
        <v>Metro</v>
      </c>
      <c r="I32" s="50">
        <f>INDEX(Claims!$H$2:$H$401,MATCH($B32,Claims!$A$2:$A$401,0))</f>
        <v>870</v>
      </c>
      <c r="J32" s="71">
        <f>INDEX(Claims!$I$2:$I$401,MATCH($B32,Claims!$A$2:$A$401,0))</f>
        <v>45930</v>
      </c>
      <c r="K32" s="71">
        <f>INDEX(Claims!$J$2:$J$401,MATCH($B32,Claims!$A$2:$A$401,0))</f>
        <v>45950</v>
      </c>
      <c r="L32" s="35" t="str">
        <f>INDEX(Claims!$K$2:$K$401,MATCH($B32,Claims!$A$2:$A$401,0))</f>
        <v>Yes</v>
      </c>
      <c r="M32" s="35" t="str">
        <f>INDEX(Claims!$L$2:$L$401,MATCH($B32,Claims!$A$2:$A$401,0))</f>
        <v>Flight booked</v>
      </c>
      <c r="N32" s="35" t="str">
        <f>IF(INDEX(Claims!$M$2:$M$401,MATCH($B32,Claims!$A$2:$A$401,0))="","",INDEX(Claims!$M$2:$M$401,MATCH($B32,Claims!$A$2:$A$401,0)))</f>
        <v/>
      </c>
      <c r="O32" s="35" t="str">
        <f>IF(INDEX(Claims!$N$2:$N$401,MATCH($B32,Claims!$A$2:$A$401,0))="","",INDEX(Claims!$N$2:$N$401,MATCH($B32,Claims!$A$2:$A$401,0)))</f>
        <v/>
      </c>
      <c r="P32" s="33" t="s">
        <v>660</v>
      </c>
      <c r="Q32" s="72" t="str">
        <f>INDEX('Policy Rules'!$C$2:$C$16,MATCH($P32,'Policy Rules'!$A$2:$A$16,0))</f>
        <v>Claims must be submitted within 15 days of returning; claims older than 60 days are rejected.</v>
      </c>
      <c r="R32" s="73" t="s">
        <v>948</v>
      </c>
      <c r="S32" s="73" t="s">
        <v>815</v>
      </c>
      <c r="T32" s="73" t="s">
        <v>1018</v>
      </c>
      <c r="U32" s="72" t="str">
        <f>INDEX(Checker!$R$6:$R$405,MATCH($B32,Checker!$A$6:$A$405,0))&amp;": "&amp;INDEX(Checker!$S$6:$S$405,MATCH($B32,Checker!$A$6:$A$405,0))&amp;IF(INDEX(Checker!$T$6:$T$405,MATCH($B32,Checker!$A$6:$A$405,0))="",""," ("&amp;INDEX(Checker!$T$6:$T$405,MATCH($B32,Checker!$A$6:$A$405,0))&amp;")")&amp;" | Basis: "&amp;INDEX(Checker!$U$6:$U$405,MATCH($B32,Checker!$A$6:$A$405,0))</f>
        <v>Violation: TP-10 (Late) | Basis: Definite</v>
      </c>
    </row>
    <row r="33" spans="1:21" ht="23.25" customHeight="1" x14ac:dyDescent="0.25">
      <c r="A33" s="35">
        <v>29</v>
      </c>
      <c r="B33" s="33" t="s">
        <v>460</v>
      </c>
      <c r="C33" s="35" t="str">
        <f>INDEX(Claims!$B$2:$B$401,MATCH($B33,Claims!$A$2:$A$401,0))</f>
        <v>EMP038</v>
      </c>
      <c r="D33" s="35" t="str">
        <f>INDEX(Claims!$C$2:$C$401,MATCH($B33,Claims!$A$2:$A$401,0))</f>
        <v>Simran Shinde</v>
      </c>
      <c r="E33" s="35" t="str">
        <f>INDEX(Claims!$D$2:$D$401,MATCH($B33,Claims!$A$2:$A$401,0))</f>
        <v>M3</v>
      </c>
      <c r="F33" s="35" t="str">
        <f>INDEX(Claims!$E$2:$E$401,MATCH($B33,Claims!$A$2:$A$401,0))</f>
        <v>Meals/DA</v>
      </c>
      <c r="G33" s="35" t="str">
        <f>INDEX(Claims!$F$2:$F$401,MATCH($B33,Claims!$A$2:$A$401,0))</f>
        <v>Mumbai</v>
      </c>
      <c r="H33" s="35" t="str">
        <f>INDEX(Claims!$G$2:$G$401,MATCH($B33,Claims!$A$2:$A$401,0))</f>
        <v>Metro</v>
      </c>
      <c r="I33" s="50">
        <f>INDEX(Claims!$H$2:$H$401,MATCH($B33,Claims!$A$2:$A$401,0))</f>
        <v>1596</v>
      </c>
      <c r="J33" s="71">
        <f>INDEX(Claims!$I$2:$I$401,MATCH($B33,Claims!$A$2:$A$401,0))</f>
        <v>45754</v>
      </c>
      <c r="K33" s="71">
        <f>INDEX(Claims!$J$2:$J$401,MATCH($B33,Claims!$A$2:$A$401,0))</f>
        <v>45774</v>
      </c>
      <c r="L33" s="35" t="str">
        <f>INDEX(Claims!$K$2:$K$401,MATCH($B33,Claims!$A$2:$A$401,0))</f>
        <v>Yes</v>
      </c>
      <c r="M33" s="35" t="str">
        <f>INDEX(Claims!$L$2:$L$401,MATCH($B33,Claims!$A$2:$A$401,0))</f>
        <v>Vendor meeting</v>
      </c>
      <c r="N33" s="35" t="str">
        <f>IF(INDEX(Claims!$M$2:$M$401,MATCH($B33,Claims!$A$2:$A$401,0))="","",INDEX(Claims!$M$2:$M$401,MATCH($B33,Claims!$A$2:$A$401,0)))</f>
        <v/>
      </c>
      <c r="O33" s="35" t="str">
        <f>IF(INDEX(Claims!$N$2:$N$401,MATCH($B33,Claims!$A$2:$A$401,0))="","",INDEX(Claims!$N$2:$N$401,MATCH($B33,Claims!$A$2:$A$401,0)))</f>
        <v/>
      </c>
      <c r="P33" s="33" t="s">
        <v>660</v>
      </c>
      <c r="Q33" s="72" t="str">
        <f>INDEX('Policy Rules'!$C$2:$C$16,MATCH($P33,'Policy Rules'!$A$2:$A$16,0))</f>
        <v>Claims must be submitted within 15 days of returning; claims older than 60 days are rejected.</v>
      </c>
      <c r="R33" s="73" t="s">
        <v>948</v>
      </c>
      <c r="S33" s="73" t="s">
        <v>815</v>
      </c>
      <c r="T33" s="73" t="s">
        <v>1019</v>
      </c>
      <c r="U33" s="72" t="str">
        <f>INDEX(Checker!$R$6:$R$405,MATCH($B33,Checker!$A$6:$A$405,0))&amp;": "&amp;INDEX(Checker!$S$6:$S$405,MATCH($B33,Checker!$A$6:$A$405,0))&amp;IF(INDEX(Checker!$T$6:$T$405,MATCH($B33,Checker!$A$6:$A$405,0))="",""," ("&amp;INDEX(Checker!$T$6:$T$405,MATCH($B33,Checker!$A$6:$A$405,0))&amp;")")&amp;" | Basis: "&amp;INDEX(Checker!$U$6:$U$405,MATCH($B33,Checker!$A$6:$A$405,0))</f>
        <v>Violation: TP-06, TP-10 (Late) | Basis: Definite</v>
      </c>
    </row>
    <row r="34" spans="1:21" ht="23.25" customHeight="1" x14ac:dyDescent="0.25">
      <c r="A34" s="35">
        <v>30</v>
      </c>
      <c r="B34" s="33" t="s">
        <v>603</v>
      </c>
      <c r="C34" s="35" t="str">
        <f>INDEX(Claims!$B$2:$B$401,MATCH($B34,Claims!$A$2:$A$401,0))</f>
        <v>EMP040</v>
      </c>
      <c r="D34" s="35" t="str">
        <f>INDEX(Claims!$C$2:$C$401,MATCH($B34,Claims!$A$2:$A$401,0))</f>
        <v>Rohan Nair</v>
      </c>
      <c r="E34" s="35" t="str">
        <f>INDEX(Claims!$D$2:$D$401,MATCH($B34,Claims!$A$2:$A$401,0))</f>
        <v>M2</v>
      </c>
      <c r="F34" s="35" t="str">
        <f>INDEX(Claims!$E$2:$E$401,MATCH($B34,Claims!$A$2:$A$401,0))</f>
        <v>Meals/DA</v>
      </c>
      <c r="G34" s="35" t="str">
        <f>INDEX(Claims!$F$2:$F$401,MATCH($B34,Claims!$A$2:$A$401,0))</f>
        <v>Indore</v>
      </c>
      <c r="H34" s="35" t="str">
        <f>INDEX(Claims!$G$2:$G$401,MATCH($B34,Claims!$A$2:$A$401,0))</f>
        <v>Non-metro</v>
      </c>
      <c r="I34" s="50">
        <f>INDEX(Claims!$H$2:$H$401,MATCH($B34,Claims!$A$2:$A$401,0))</f>
        <v>1109</v>
      </c>
      <c r="J34" s="71">
        <f>INDEX(Claims!$I$2:$I$401,MATCH($B34,Claims!$A$2:$A$401,0))</f>
        <v>45749</v>
      </c>
      <c r="K34" s="71">
        <f>INDEX(Claims!$J$2:$J$401,MATCH($B34,Claims!$A$2:$A$401,0))</f>
        <v>45769</v>
      </c>
      <c r="L34" s="35" t="str">
        <f>INDEX(Claims!$K$2:$K$401,MATCH($B34,Claims!$A$2:$A$401,0))</f>
        <v>Yes</v>
      </c>
      <c r="M34" s="35" t="str">
        <f>INDEX(Claims!$L$2:$L$401,MATCH($B34,Claims!$A$2:$A$401,0))</f>
        <v>Client dinner</v>
      </c>
      <c r="N34" s="35" t="str">
        <f>IF(INDEX(Claims!$M$2:$M$401,MATCH($B34,Claims!$A$2:$A$401,0))="","",INDEX(Claims!$M$2:$M$401,MATCH($B34,Claims!$A$2:$A$401,0)))</f>
        <v/>
      </c>
      <c r="O34" s="35" t="str">
        <f>IF(INDEX(Claims!$N$2:$N$401,MATCH($B34,Claims!$A$2:$A$401,0))="","",INDEX(Claims!$N$2:$N$401,MATCH($B34,Claims!$A$2:$A$401,0)))</f>
        <v/>
      </c>
      <c r="P34" s="33" t="s">
        <v>660</v>
      </c>
      <c r="Q34" s="72" t="str">
        <f>INDEX('Policy Rules'!$C$2:$C$16,MATCH($P34,'Policy Rules'!$A$2:$A$16,0))</f>
        <v>Claims must be submitted within 15 days of returning; claims older than 60 days are rejected.</v>
      </c>
      <c r="R34" s="73" t="s">
        <v>948</v>
      </c>
      <c r="S34" s="73" t="s">
        <v>815</v>
      </c>
      <c r="T34" s="73" t="s">
        <v>1020</v>
      </c>
      <c r="U34" s="72" t="str">
        <f>INDEX(Checker!$R$6:$R$405,MATCH($B34,Checker!$A$6:$A$405,0))&amp;": "&amp;INDEX(Checker!$S$6:$S$405,MATCH($B34,Checker!$A$6:$A$405,0))&amp;IF(INDEX(Checker!$T$6:$T$405,MATCH($B34,Checker!$A$6:$A$405,0))="",""," ("&amp;INDEX(Checker!$T$6:$T$405,MATCH($B34,Checker!$A$6:$A$405,0))&amp;")")&amp;" | Basis: "&amp;INDEX(Checker!$U$6:$U$405,MATCH($B34,Checker!$A$6:$A$405,0))</f>
        <v>Violation: TP-06, TP-10 (Late) | Basis: Definite</v>
      </c>
    </row>
    <row r="37" spans="1:21" ht="15" customHeight="1" x14ac:dyDescent="0.3">
      <c r="A37" s="31" t="s">
        <v>1021</v>
      </c>
    </row>
    <row r="38" spans="1:21" ht="15" customHeight="1" x14ac:dyDescent="0.25">
      <c r="A38" s="55" t="s">
        <v>1022</v>
      </c>
      <c r="B38" s="33">
        <v>20261001</v>
      </c>
    </row>
    <row r="39" spans="1:21" ht="15" customHeight="1" x14ac:dyDescent="0.25">
      <c r="A39" s="55" t="s">
        <v>1023</v>
      </c>
      <c r="B39" s="35" t="s">
        <v>1024</v>
      </c>
    </row>
    <row r="40" spans="1:21" ht="15" customHeight="1" x14ac:dyDescent="0.25">
      <c r="A40" s="55" t="s">
        <v>1025</v>
      </c>
      <c r="B40" s="35" t="s">
        <v>1026</v>
      </c>
    </row>
    <row r="41" spans="1:21" ht="15" customHeight="1" x14ac:dyDescent="0.25">
      <c r="A41" s="55" t="s">
        <v>1027</v>
      </c>
      <c r="B41" s="35" t="s">
        <v>1028</v>
      </c>
    </row>
    <row r="43" spans="1:21" ht="34.5" customHeight="1" x14ac:dyDescent="0.25">
      <c r="A43" s="32" t="s">
        <v>792</v>
      </c>
      <c r="B43" s="32" t="s">
        <v>1029</v>
      </c>
      <c r="C43" s="32" t="s">
        <v>1025</v>
      </c>
      <c r="D43" s="32" t="s">
        <v>1030</v>
      </c>
      <c r="E43" s="32" t="s">
        <v>1031</v>
      </c>
      <c r="F43" s="32" t="s">
        <v>1032</v>
      </c>
      <c r="G43" s="32" t="s">
        <v>1033</v>
      </c>
    </row>
    <row r="44" spans="1:21" ht="15" customHeight="1" x14ac:dyDescent="0.25">
      <c r="A44" s="35" t="s">
        <v>634</v>
      </c>
      <c r="B44" s="35">
        <f>COUNTIF(Checker!$J$6:$J$405,Lbl_Viol)</f>
        <v>7</v>
      </c>
      <c r="C44" s="33">
        <v>1</v>
      </c>
      <c r="D44" s="33">
        <v>3</v>
      </c>
      <c r="E44" s="33">
        <v>7</v>
      </c>
      <c r="F44" s="35">
        <f t="shared" ref="F44:F51" si="0">COUNTIF($P$5:$P$34,A44)</f>
        <v>3</v>
      </c>
      <c r="G44" s="35" t="str">
        <f t="shared" ref="G44:G52" si="1">IF(F44=D44,"OK","CHECK")</f>
        <v>OK</v>
      </c>
    </row>
    <row r="45" spans="1:21" ht="15" customHeight="1" x14ac:dyDescent="0.25">
      <c r="A45" s="35" t="s">
        <v>637</v>
      </c>
      <c r="B45" s="35">
        <f>COUNTIF(Checker!$K$6:$K$405,Lbl_Viol)</f>
        <v>18</v>
      </c>
      <c r="C45" s="33">
        <v>3</v>
      </c>
      <c r="D45" s="33">
        <v>3</v>
      </c>
      <c r="E45" s="33">
        <v>17</v>
      </c>
      <c r="F45" s="35">
        <f t="shared" si="0"/>
        <v>3</v>
      </c>
      <c r="G45" s="35" t="str">
        <f t="shared" si="1"/>
        <v>OK</v>
      </c>
    </row>
    <row r="46" spans="1:21" ht="15" customHeight="1" x14ac:dyDescent="0.25">
      <c r="A46" s="35" t="s">
        <v>643</v>
      </c>
      <c r="B46" s="35">
        <f>COUNTIF(Checker!$L$6:$L$405,Lbl_Viol)</f>
        <v>18</v>
      </c>
      <c r="C46" s="33">
        <v>4</v>
      </c>
      <c r="D46" s="33">
        <v>3</v>
      </c>
      <c r="E46" s="33">
        <v>18</v>
      </c>
      <c r="F46" s="35">
        <f t="shared" si="0"/>
        <v>3</v>
      </c>
      <c r="G46" s="35" t="str">
        <f t="shared" si="1"/>
        <v>OK</v>
      </c>
    </row>
    <row r="47" spans="1:21" ht="15" customHeight="1" x14ac:dyDescent="0.25">
      <c r="A47" s="35" t="s">
        <v>646</v>
      </c>
      <c r="B47" s="35">
        <f>COUNTIF(Checker!$M$6:$M$405,Lbl_Viol)</f>
        <v>31</v>
      </c>
      <c r="C47" s="33">
        <v>5</v>
      </c>
      <c r="D47" s="33">
        <v>4</v>
      </c>
      <c r="E47" s="33">
        <v>31</v>
      </c>
      <c r="F47" s="35">
        <f t="shared" si="0"/>
        <v>4</v>
      </c>
      <c r="G47" s="35" t="str">
        <f t="shared" si="1"/>
        <v>OK</v>
      </c>
    </row>
    <row r="48" spans="1:21" ht="15" customHeight="1" x14ac:dyDescent="0.25">
      <c r="A48" s="35" t="s">
        <v>649</v>
      </c>
      <c r="B48" s="35">
        <f>COUNTIF(Checker!$N$6:$N$405,Lbl_Viol)</f>
        <v>55</v>
      </c>
      <c r="C48" s="33">
        <v>6</v>
      </c>
      <c r="D48" s="33">
        <v>4</v>
      </c>
      <c r="E48" s="33">
        <v>55</v>
      </c>
      <c r="F48" s="35">
        <f t="shared" si="0"/>
        <v>4</v>
      </c>
      <c r="G48" s="35" t="str">
        <f t="shared" si="1"/>
        <v>OK</v>
      </c>
    </row>
    <row r="49" spans="1:10" ht="15" customHeight="1" x14ac:dyDescent="0.25">
      <c r="A49" s="35" t="s">
        <v>655</v>
      </c>
      <c r="B49" s="35">
        <f>COUNTIF(Checker!$O$6:$O$405,Lbl_Viol)</f>
        <v>12</v>
      </c>
      <c r="C49" s="33">
        <v>2</v>
      </c>
      <c r="D49" s="33">
        <v>3</v>
      </c>
      <c r="E49" s="33">
        <v>12</v>
      </c>
      <c r="F49" s="35">
        <f t="shared" si="0"/>
        <v>3</v>
      </c>
      <c r="G49" s="35" t="str">
        <f t="shared" si="1"/>
        <v>OK</v>
      </c>
    </row>
    <row r="50" spans="1:10" ht="15" customHeight="1" x14ac:dyDescent="0.25">
      <c r="A50" s="35" t="s">
        <v>657</v>
      </c>
      <c r="B50" s="35">
        <f>COUNTIF(Checker!$P$6:$P$405,Lbl_Viol)</f>
        <v>60</v>
      </c>
      <c r="C50" s="33">
        <v>7</v>
      </c>
      <c r="D50" s="33">
        <v>5</v>
      </c>
      <c r="E50" s="33">
        <v>58</v>
      </c>
      <c r="F50" s="35">
        <f t="shared" si="0"/>
        <v>5</v>
      </c>
      <c r="G50" s="35" t="str">
        <f t="shared" si="1"/>
        <v>OK</v>
      </c>
    </row>
    <row r="51" spans="1:10" ht="15" customHeight="1" x14ac:dyDescent="0.25">
      <c r="A51" s="35" t="s">
        <v>660</v>
      </c>
      <c r="B51" s="35">
        <f>COUNTIF(Checker!$Q$6:$Q$405,Lbl_Viol)</f>
        <v>78</v>
      </c>
      <c r="C51" s="33">
        <v>8</v>
      </c>
      <c r="D51" s="33">
        <v>5</v>
      </c>
      <c r="E51" s="33">
        <v>73</v>
      </c>
      <c r="F51" s="35">
        <f t="shared" si="0"/>
        <v>5</v>
      </c>
      <c r="G51" s="35" t="str">
        <f t="shared" si="1"/>
        <v>OK</v>
      </c>
    </row>
    <row r="52" spans="1:10" ht="15" customHeight="1" x14ac:dyDescent="0.25">
      <c r="A52" s="55" t="s">
        <v>61</v>
      </c>
      <c r="B52" s="55">
        <f>SUM(B44:B51)</f>
        <v>279</v>
      </c>
      <c r="C52" s="35"/>
      <c r="D52" s="55">
        <f>SUM(D44:D51)</f>
        <v>30</v>
      </c>
      <c r="E52" s="35"/>
      <c r="F52" s="55">
        <f>SUM(F44:F51)</f>
        <v>30</v>
      </c>
      <c r="G52" s="55" t="str">
        <f t="shared" si="1"/>
        <v>OK</v>
      </c>
    </row>
    <row r="53" spans="1:10" ht="15" customHeight="1" x14ac:dyDescent="0.25">
      <c r="A53" s="35" t="s">
        <v>1034</v>
      </c>
      <c r="B53" s="35" t="str">
        <f>IF(SUMPRODUCT(--(COUNTIF($B$5:$B$34,$B$5:$B$34)&gt;1))=0,"OK - 30 distinct claims","DUPLICATE")</f>
        <v>OK - 30 distinct claims</v>
      </c>
    </row>
    <row r="54" spans="1:10" ht="15" customHeight="1" x14ac:dyDescent="0.25">
      <c r="A54" s="35" t="s">
        <v>1035</v>
      </c>
      <c r="B54" s="35" t="str">
        <f>IF(SUMPRODUCT(--(ISNUMBER(MATCH($B$5:$B$34,Checker!$A$6:$A$405,0))))=ROWS($B$5:$B$34),"OK - every claim ID is in the Checker","CHECK")</f>
        <v>OK - every claim ID is in the Checker</v>
      </c>
    </row>
    <row r="57" spans="1:10" ht="15" customHeight="1" x14ac:dyDescent="0.3">
      <c r="A57" s="31" t="s">
        <v>1036</v>
      </c>
    </row>
    <row r="58" spans="1:10" ht="15" customHeight="1" x14ac:dyDescent="0.25">
      <c r="A58" s="74" t="s">
        <v>792</v>
      </c>
      <c r="B58" s="74" t="s">
        <v>1037</v>
      </c>
      <c r="C58" s="74" t="s">
        <v>948</v>
      </c>
      <c r="D58" s="74" t="s">
        <v>949</v>
      </c>
      <c r="E58" s="74" t="s">
        <v>950</v>
      </c>
      <c r="F58" s="74" t="s">
        <v>995</v>
      </c>
      <c r="G58" s="74" t="s">
        <v>1003</v>
      </c>
      <c r="H58" s="74" t="s">
        <v>991</v>
      </c>
      <c r="I58" s="74" t="s">
        <v>1038</v>
      </c>
      <c r="J58" s="74" t="s">
        <v>1039</v>
      </c>
    </row>
    <row r="59" spans="1:10" ht="15" customHeight="1" x14ac:dyDescent="0.25">
      <c r="A59" s="35" t="s">
        <v>634</v>
      </c>
      <c r="B59" s="35">
        <f t="shared" ref="B59:B66" si="2">COUNTIF($P$5:$P$34,A59)</f>
        <v>3</v>
      </c>
      <c r="C59" s="35">
        <f t="shared" ref="C59:C66" si="3">COUNTIFS($P$5:$P$34,$A59,$R$5:$R$34,"True violation")</f>
        <v>3</v>
      </c>
      <c r="D59" s="35">
        <f t="shared" ref="D59:D66" si="4">COUNTIFS($P$5:$P$34,$A59,$R$5:$R$34,"False alarm")</f>
        <v>0</v>
      </c>
      <c r="E59" s="35">
        <f t="shared" ref="E59:E66" si="5">COUNTIFS($P$5:$P$34,$A59,$R$5:$R$34,"Cannot verify")</f>
        <v>0</v>
      </c>
      <c r="F59" s="35">
        <f t="shared" ref="F59:F66" si="6">COUNTIFS($P$5:$P$34,$A59,$S$5:$S$34,"CV-NIGHTS")</f>
        <v>0</v>
      </c>
      <c r="G59" s="35">
        <f t="shared" ref="G59:G66" si="7">COUNTIFS($P$5:$P$34,$A59,$S$5:$S$34,"CV-DAYS")</f>
        <v>0</v>
      </c>
      <c r="H59" s="35">
        <f t="shared" ref="H59:H66" si="8">COUNTIFS($P$5:$P$34,$A59,$S$5:$S$34,"CV-APPROVAL")</f>
        <v>0</v>
      </c>
      <c r="I59" s="35">
        <f t="shared" ref="I59:I66" si="9">COUNTIFS($P$5:$P$34,$A59,$S$5:$S$34,"CV-RETURN")</f>
        <v>0</v>
      </c>
      <c r="J59" s="35">
        <f t="shared" ref="J59:J66" si="10">COUNTIFS($P$5:$P$34,$A59,$S$5:$S$34,"CV-ORIGINAL")</f>
        <v>0</v>
      </c>
    </row>
    <row r="60" spans="1:10" ht="15" customHeight="1" x14ac:dyDescent="0.25">
      <c r="A60" s="35" t="s">
        <v>637</v>
      </c>
      <c r="B60" s="35">
        <f t="shared" si="2"/>
        <v>3</v>
      </c>
      <c r="C60" s="35">
        <f t="shared" si="3"/>
        <v>0</v>
      </c>
      <c r="D60" s="35">
        <f t="shared" si="4"/>
        <v>0</v>
      </c>
      <c r="E60" s="35">
        <f t="shared" si="5"/>
        <v>3</v>
      </c>
      <c r="F60" s="35">
        <f t="shared" si="6"/>
        <v>0</v>
      </c>
      <c r="G60" s="35">
        <f t="shared" si="7"/>
        <v>0</v>
      </c>
      <c r="H60" s="35">
        <f t="shared" si="8"/>
        <v>3</v>
      </c>
      <c r="I60" s="35">
        <f t="shared" si="9"/>
        <v>0</v>
      </c>
      <c r="J60" s="35">
        <f t="shared" si="10"/>
        <v>0</v>
      </c>
    </row>
    <row r="61" spans="1:10" ht="15" customHeight="1" x14ac:dyDescent="0.25">
      <c r="A61" s="35" t="s">
        <v>643</v>
      </c>
      <c r="B61" s="35">
        <f t="shared" si="2"/>
        <v>3</v>
      </c>
      <c r="C61" s="35">
        <f t="shared" si="3"/>
        <v>0</v>
      </c>
      <c r="D61" s="35">
        <f t="shared" si="4"/>
        <v>0</v>
      </c>
      <c r="E61" s="35">
        <f t="shared" si="5"/>
        <v>3</v>
      </c>
      <c r="F61" s="35">
        <f t="shared" si="6"/>
        <v>3</v>
      </c>
      <c r="G61" s="35">
        <f t="shared" si="7"/>
        <v>0</v>
      </c>
      <c r="H61" s="35">
        <f t="shared" si="8"/>
        <v>0</v>
      </c>
      <c r="I61" s="35">
        <f t="shared" si="9"/>
        <v>0</v>
      </c>
      <c r="J61" s="35">
        <f t="shared" si="10"/>
        <v>0</v>
      </c>
    </row>
    <row r="62" spans="1:10" ht="15" customHeight="1" x14ac:dyDescent="0.25">
      <c r="A62" s="35" t="s">
        <v>646</v>
      </c>
      <c r="B62" s="35">
        <f t="shared" si="2"/>
        <v>4</v>
      </c>
      <c r="C62" s="35">
        <f t="shared" si="3"/>
        <v>0</v>
      </c>
      <c r="D62" s="35">
        <f t="shared" si="4"/>
        <v>0</v>
      </c>
      <c r="E62" s="35">
        <f t="shared" si="5"/>
        <v>4</v>
      </c>
      <c r="F62" s="35">
        <f t="shared" si="6"/>
        <v>4</v>
      </c>
      <c r="G62" s="35">
        <f t="shared" si="7"/>
        <v>0</v>
      </c>
      <c r="H62" s="35">
        <f t="shared" si="8"/>
        <v>0</v>
      </c>
      <c r="I62" s="35">
        <f t="shared" si="9"/>
        <v>0</v>
      </c>
      <c r="J62" s="35">
        <f t="shared" si="10"/>
        <v>0</v>
      </c>
    </row>
    <row r="63" spans="1:10" ht="15" customHeight="1" x14ac:dyDescent="0.25">
      <c r="A63" s="35" t="s">
        <v>649</v>
      </c>
      <c r="B63" s="35">
        <f t="shared" si="2"/>
        <v>4</v>
      </c>
      <c r="C63" s="35">
        <f t="shared" si="3"/>
        <v>0</v>
      </c>
      <c r="D63" s="35">
        <f t="shared" si="4"/>
        <v>0</v>
      </c>
      <c r="E63" s="35">
        <f t="shared" si="5"/>
        <v>4</v>
      </c>
      <c r="F63" s="35">
        <f t="shared" si="6"/>
        <v>0</v>
      </c>
      <c r="G63" s="35">
        <f t="shared" si="7"/>
        <v>4</v>
      </c>
      <c r="H63" s="35">
        <f t="shared" si="8"/>
        <v>0</v>
      </c>
      <c r="I63" s="35">
        <f t="shared" si="9"/>
        <v>0</v>
      </c>
      <c r="J63" s="35">
        <f t="shared" si="10"/>
        <v>0</v>
      </c>
    </row>
    <row r="64" spans="1:10" ht="15" customHeight="1" x14ac:dyDescent="0.25">
      <c r="A64" s="35" t="s">
        <v>655</v>
      </c>
      <c r="B64" s="35">
        <f t="shared" si="2"/>
        <v>3</v>
      </c>
      <c r="C64" s="35">
        <f t="shared" si="3"/>
        <v>3</v>
      </c>
      <c r="D64" s="35">
        <f t="shared" si="4"/>
        <v>0</v>
      </c>
      <c r="E64" s="35">
        <f t="shared" si="5"/>
        <v>0</v>
      </c>
      <c r="F64" s="35">
        <f t="shared" si="6"/>
        <v>0</v>
      </c>
      <c r="G64" s="35">
        <f t="shared" si="7"/>
        <v>0</v>
      </c>
      <c r="H64" s="35">
        <f t="shared" si="8"/>
        <v>0</v>
      </c>
      <c r="I64" s="35">
        <f t="shared" si="9"/>
        <v>0</v>
      </c>
      <c r="J64" s="35">
        <f t="shared" si="10"/>
        <v>0</v>
      </c>
    </row>
    <row r="65" spans="1:10" ht="15" customHeight="1" x14ac:dyDescent="0.25">
      <c r="A65" s="35" t="s">
        <v>657</v>
      </c>
      <c r="B65" s="35">
        <f t="shared" si="2"/>
        <v>5</v>
      </c>
      <c r="C65" s="35">
        <f t="shared" si="3"/>
        <v>5</v>
      </c>
      <c r="D65" s="35">
        <f t="shared" si="4"/>
        <v>0</v>
      </c>
      <c r="E65" s="35">
        <f t="shared" si="5"/>
        <v>0</v>
      </c>
      <c r="F65" s="35">
        <f t="shared" si="6"/>
        <v>0</v>
      </c>
      <c r="G65" s="35">
        <f t="shared" si="7"/>
        <v>0</v>
      </c>
      <c r="H65" s="35">
        <f t="shared" si="8"/>
        <v>0</v>
      </c>
      <c r="I65" s="35">
        <f t="shared" si="9"/>
        <v>0</v>
      </c>
      <c r="J65" s="35">
        <f t="shared" si="10"/>
        <v>0</v>
      </c>
    </row>
    <row r="66" spans="1:10" ht="15" customHeight="1" x14ac:dyDescent="0.25">
      <c r="A66" s="35" t="s">
        <v>660</v>
      </c>
      <c r="B66" s="35">
        <f t="shared" si="2"/>
        <v>5</v>
      </c>
      <c r="C66" s="35">
        <f t="shared" si="3"/>
        <v>5</v>
      </c>
      <c r="D66" s="35">
        <f t="shared" si="4"/>
        <v>0</v>
      </c>
      <c r="E66" s="35">
        <f t="shared" si="5"/>
        <v>0</v>
      </c>
      <c r="F66" s="35">
        <f t="shared" si="6"/>
        <v>0</v>
      </c>
      <c r="G66" s="35">
        <f t="shared" si="7"/>
        <v>0</v>
      </c>
      <c r="H66" s="35">
        <f t="shared" si="8"/>
        <v>0</v>
      </c>
      <c r="I66" s="35">
        <f t="shared" si="9"/>
        <v>0</v>
      </c>
      <c r="J66" s="35">
        <f t="shared" si="10"/>
        <v>0</v>
      </c>
    </row>
    <row r="67" spans="1:10" ht="15" customHeight="1" x14ac:dyDescent="0.25">
      <c r="A67" s="55" t="s">
        <v>61</v>
      </c>
      <c r="B67" s="55">
        <f t="shared" ref="B67:J67" si="11">SUM(B59:B66)</f>
        <v>30</v>
      </c>
      <c r="C67" s="55">
        <f t="shared" si="11"/>
        <v>16</v>
      </c>
      <c r="D67" s="55">
        <f t="shared" si="11"/>
        <v>0</v>
      </c>
      <c r="E67" s="55">
        <f t="shared" si="11"/>
        <v>14</v>
      </c>
      <c r="F67" s="55">
        <f t="shared" si="11"/>
        <v>7</v>
      </c>
      <c r="G67" s="55">
        <f t="shared" si="11"/>
        <v>4</v>
      </c>
      <c r="H67" s="55">
        <f t="shared" si="11"/>
        <v>3</v>
      </c>
      <c r="I67" s="55">
        <f t="shared" si="11"/>
        <v>0</v>
      </c>
      <c r="J67" s="55">
        <f t="shared" si="11"/>
        <v>0</v>
      </c>
    </row>
    <row r="69" spans="1:10" ht="45.75" customHeight="1" x14ac:dyDescent="0.25">
      <c r="A69" s="52" t="s">
        <v>952</v>
      </c>
      <c r="B69" s="75">
        <f>D67/B67</f>
        <v>0</v>
      </c>
    </row>
    <row r="70" spans="1:10" ht="79.5" customHeight="1" x14ac:dyDescent="0.25">
      <c r="A70" s="52" t="s">
        <v>1040</v>
      </c>
      <c r="B70" s="75">
        <f>(D67+E67)/B67</f>
        <v>0.46666666666666667</v>
      </c>
    </row>
    <row r="71" spans="1:10" ht="34.5" customHeight="1" x14ac:dyDescent="0.25">
      <c r="A71" s="52" t="s">
        <v>1041</v>
      </c>
      <c r="B71" s="75">
        <f>E67/B67</f>
        <v>0.46666666666666667</v>
      </c>
    </row>
    <row r="72" spans="1:10" ht="45.75" customHeight="1" x14ac:dyDescent="0.25">
      <c r="A72" s="52" t="s">
        <v>1042</v>
      </c>
      <c r="B72" s="35" t="str">
        <f>IF(C67+D67+E67=B67,"OK","CHECK")</f>
        <v>OK</v>
      </c>
    </row>
    <row r="74" spans="1:10" ht="15" customHeight="1" x14ac:dyDescent="0.3">
      <c r="A74" s="31" t="s">
        <v>1043</v>
      </c>
    </row>
    <row r="75" spans="1:10" ht="48" customHeight="1" x14ac:dyDescent="0.25">
      <c r="A75" s="52" t="s">
        <v>634</v>
      </c>
      <c r="B75" s="81" t="s">
        <v>1044</v>
      </c>
      <c r="C75" s="81"/>
      <c r="D75" s="81"/>
      <c r="E75" s="81"/>
      <c r="F75" s="81"/>
      <c r="G75" s="81"/>
      <c r="H75" s="81"/>
      <c r="I75" s="81"/>
      <c r="J75" s="81"/>
    </row>
    <row r="76" spans="1:10" ht="48" customHeight="1" x14ac:dyDescent="0.25">
      <c r="A76" s="52" t="s">
        <v>660</v>
      </c>
      <c r="B76" s="81" t="s">
        <v>1045</v>
      </c>
      <c r="C76" s="81"/>
      <c r="D76" s="81"/>
      <c r="E76" s="81"/>
      <c r="F76" s="81"/>
      <c r="G76" s="81"/>
      <c r="H76" s="81"/>
      <c r="I76" s="81"/>
      <c r="J76" s="81"/>
    </row>
    <row r="77" spans="1:10" ht="48" customHeight="1" x14ac:dyDescent="0.25">
      <c r="A77" s="52" t="s">
        <v>1046</v>
      </c>
      <c r="B77" s="81" t="s">
        <v>1047</v>
      </c>
      <c r="C77" s="81"/>
      <c r="D77" s="81"/>
      <c r="E77" s="81"/>
      <c r="F77" s="81"/>
      <c r="G77" s="81"/>
      <c r="H77" s="81"/>
      <c r="I77" s="81"/>
      <c r="J77" s="81"/>
    </row>
    <row r="78" spans="1:10" ht="48" customHeight="1" x14ac:dyDescent="0.25">
      <c r="A78" s="52" t="s">
        <v>1048</v>
      </c>
      <c r="B78" s="81" t="s">
        <v>1049</v>
      </c>
      <c r="C78" s="81"/>
      <c r="D78" s="81"/>
      <c r="E78" s="81"/>
      <c r="F78" s="81"/>
      <c r="G78" s="81"/>
      <c r="H78" s="81"/>
      <c r="I78" s="81"/>
      <c r="J78" s="81"/>
    </row>
    <row r="79" spans="1:10" ht="48" customHeight="1" x14ac:dyDescent="0.25">
      <c r="A79" s="52" t="s">
        <v>1050</v>
      </c>
      <c r="B79" s="81" t="s">
        <v>1051</v>
      </c>
      <c r="C79" s="81"/>
      <c r="D79" s="81"/>
      <c r="E79" s="81"/>
      <c r="F79" s="81"/>
      <c r="G79" s="81"/>
      <c r="H79" s="81"/>
      <c r="I79" s="81"/>
      <c r="J79" s="81"/>
    </row>
  </sheetData>
  <mergeCells count="5">
    <mergeCell ref="B75:J75"/>
    <mergeCell ref="B76:J76"/>
    <mergeCell ref="B77:J77"/>
    <mergeCell ref="B78:J78"/>
    <mergeCell ref="B79:J79"/>
  </mergeCells>
  <dataValidations count="2">
    <dataValidation type="list" allowBlank="1" sqref="R5:R34" xr:uid="{00000000-0002-0000-0B00-000000000000}">
      <formula1>"True violation,False alarm,Cannot verify"</formula1>
      <formula2>0</formula2>
    </dataValidation>
    <dataValidation type="list" allowBlank="1" sqref="S5:S34" xr:uid="{00000000-0002-0000-0B00-000001000000}">
      <formula1>"CV-NIGHTS,CV-DAYS,CV-APPROVAL,CV-RETURN,CV-ORIGINAL"</formula1>
      <formula2>0</formula2>
    </dataValidation>
  </dataValidations>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C66"/>
  <sheetViews>
    <sheetView zoomScale="51" zoomScaleNormal="51" workbookViewId="0">
      <pane xSplit="4" ySplit="5" topLeftCell="K46" activePane="bottomRight" state="frozen"/>
      <selection pane="topRight" activeCell="K1" sqref="K1"/>
      <selection pane="bottomLeft" activeCell="A46" sqref="A46"/>
      <selection pane="bottomRight" activeCell="O55" sqref="O55"/>
    </sheetView>
  </sheetViews>
  <sheetFormatPr defaultColWidth="8.6328125" defaultRowHeight="12.5" x14ac:dyDescent="0.25"/>
  <cols>
    <col min="1" max="1" width="9" customWidth="1"/>
    <col min="2" max="2" width="14" customWidth="1"/>
    <col min="3" max="3" width="54" customWidth="1"/>
    <col min="4" max="4" width="13" customWidth="1"/>
    <col min="5" max="5" width="7" customWidth="1"/>
    <col min="6" max="6" width="20" customWidth="1"/>
    <col min="7" max="8" width="11" customWidth="1"/>
    <col min="9" max="9" width="10" customWidth="1"/>
    <col min="10" max="10" width="13" customWidth="1"/>
    <col min="11" max="11" width="10" customWidth="1"/>
    <col min="12" max="12" width="9" customWidth="1"/>
    <col min="13" max="20" width="10" customWidth="1"/>
    <col min="21" max="21" width="11" customWidth="1"/>
    <col min="22" max="22" width="22" customWidth="1"/>
    <col min="23" max="23" width="10" customWidth="1"/>
    <col min="24" max="24" width="15" customWidth="1"/>
    <col min="25" max="25" width="11" customWidth="1"/>
    <col min="26" max="26" width="22" customWidth="1"/>
    <col min="27" max="27" width="10" customWidth="1"/>
    <col min="28" max="28" width="15" customWidth="1"/>
    <col min="29" max="29" width="14" customWidth="1"/>
  </cols>
  <sheetData>
    <row r="1" spans="1:29" ht="15.75" customHeight="1" x14ac:dyDescent="0.35">
      <c r="A1" s="29" t="s">
        <v>1052</v>
      </c>
    </row>
    <row r="2" spans="1:29" ht="15" customHeight="1" x14ac:dyDescent="0.3">
      <c r="A2" s="20" t="s">
        <v>1053</v>
      </c>
      <c r="B2" s="20">
        <f>COUNTIF(AC6:AC60,"PASS")</f>
        <v>55</v>
      </c>
      <c r="C2" s="20" t="s">
        <v>1054</v>
      </c>
      <c r="D2" s="20">
        <f>COUNTIF(AC6:AC60,"Awaiting input")</f>
        <v>0</v>
      </c>
    </row>
    <row r="3" spans="1:29" ht="15" customHeight="1" x14ac:dyDescent="0.3">
      <c r="A3" s="20" t="s">
        <v>1055</v>
      </c>
      <c r="B3" s="20">
        <f>COUNTIF(AC6:AC60,"FAIL")</f>
        <v>0</v>
      </c>
      <c r="C3" s="20" t="s">
        <v>1056</v>
      </c>
      <c r="D3" s="76" t="s">
        <v>1057</v>
      </c>
    </row>
    <row r="4" spans="1:29" ht="25.5" customHeight="1" x14ac:dyDescent="0.3">
      <c r="E4" s="77" t="s">
        <v>1058</v>
      </c>
      <c r="L4" s="38" t="s">
        <v>841</v>
      </c>
      <c r="M4" s="39" t="str">
        <f>Checker!J4</f>
        <v>Definite</v>
      </c>
      <c r="N4" s="39" t="str">
        <f>Checker!K4</f>
        <v>Assumption-based</v>
      </c>
      <c r="O4" s="39" t="str">
        <f>Checker!L4</f>
        <v>Assumption-based</v>
      </c>
      <c r="P4" s="39" t="str">
        <f>Checker!M4</f>
        <v>Assumption-based</v>
      </c>
      <c r="Q4" s="39" t="str">
        <f>Checker!N4</f>
        <v>Assumption-based</v>
      </c>
      <c r="R4" s="39" t="str">
        <f>Checker!O4</f>
        <v>Definite</v>
      </c>
      <c r="S4" s="39" t="str">
        <f>Checker!P4</f>
        <v>Definite</v>
      </c>
      <c r="T4" s="39" t="str">
        <f>Checker!Q4</f>
        <v>Definite</v>
      </c>
      <c r="U4" s="77" t="s">
        <v>1059</v>
      </c>
      <c r="Y4" s="77" t="s">
        <v>1060</v>
      </c>
    </row>
    <row r="5" spans="1:29" ht="42" customHeight="1" x14ac:dyDescent="0.25">
      <c r="A5" s="32" t="s">
        <v>1061</v>
      </c>
      <c r="B5" s="32" t="s">
        <v>825</v>
      </c>
      <c r="C5" s="32" t="s">
        <v>1062</v>
      </c>
      <c r="D5" s="32" t="s">
        <v>1063</v>
      </c>
      <c r="E5" s="32" t="s">
        <v>65</v>
      </c>
      <c r="F5" s="32" t="s">
        <v>66</v>
      </c>
      <c r="G5" s="32" t="s">
        <v>68</v>
      </c>
      <c r="H5" s="32" t="s">
        <v>69</v>
      </c>
      <c r="I5" s="32" t="s">
        <v>72</v>
      </c>
      <c r="J5" s="32" t="s">
        <v>74</v>
      </c>
      <c r="K5" s="32" t="s">
        <v>75</v>
      </c>
      <c r="L5" s="32" t="s">
        <v>842</v>
      </c>
      <c r="M5" s="32" t="str">
        <f>Checker!J5</f>
        <v>TP-01</v>
      </c>
      <c r="N5" s="32" t="str">
        <f>Checker!K5</f>
        <v>TP-02</v>
      </c>
      <c r="O5" s="32" t="str">
        <f>Checker!L5</f>
        <v>TP-04</v>
      </c>
      <c r="P5" s="32" t="str">
        <f>Checker!M5</f>
        <v>TP-05</v>
      </c>
      <c r="Q5" s="32" t="str">
        <f>Checker!N5</f>
        <v>TP-06</v>
      </c>
      <c r="R5" s="32" t="str">
        <f>Checker!O5</f>
        <v>TP-08</v>
      </c>
      <c r="S5" s="32" t="str">
        <f>Checker!P5</f>
        <v>TP-09</v>
      </c>
      <c r="T5" s="32" t="str">
        <f>Checker!Q5</f>
        <v>TP-10</v>
      </c>
      <c r="U5" s="32" t="s">
        <v>1064</v>
      </c>
      <c r="V5" s="32" t="s">
        <v>1065</v>
      </c>
      <c r="W5" s="32" t="s">
        <v>1066</v>
      </c>
      <c r="X5" s="32" t="s">
        <v>1067</v>
      </c>
      <c r="Y5" s="32" t="s">
        <v>1068</v>
      </c>
      <c r="Z5" s="32" t="s">
        <v>1069</v>
      </c>
      <c r="AA5" s="32" t="s">
        <v>1070</v>
      </c>
      <c r="AB5" s="32" t="s">
        <v>1071</v>
      </c>
      <c r="AC5" s="32" t="s">
        <v>1072</v>
      </c>
    </row>
    <row r="6" spans="1:29" ht="15" customHeight="1" x14ac:dyDescent="0.3">
      <c r="A6" s="35" t="s">
        <v>1073</v>
      </c>
      <c r="B6" s="35" t="s">
        <v>634</v>
      </c>
      <c r="C6" s="72" t="s">
        <v>1074</v>
      </c>
      <c r="D6" s="33" t="s">
        <v>265</v>
      </c>
      <c r="E6" s="36" t="str">
        <f>INDEX(Checker!$B$6:$B$405,MATCH($D6,Checker!$A$6:$A$405,0))</f>
        <v>M1</v>
      </c>
      <c r="F6" s="36" t="str">
        <f>INDEX(Checker!$C$6:$C$405,MATCH($D6,Checker!$A$6:$A$405,0))</f>
        <v>Flight</v>
      </c>
      <c r="G6" s="36" t="str">
        <f>INDEX(Checker!$D$6:$D$405,MATCH($D6,Checker!$A$6:$A$405,0))</f>
        <v>Metro</v>
      </c>
      <c r="H6" s="40">
        <f>INDEX(Checker!$E$6:$E$405,MATCH($D6,Checker!$A$6:$A$405,0))</f>
        <v>3816</v>
      </c>
      <c r="I6" s="36" t="str">
        <f>INDEX(Checker!$F$6:$F$405,MATCH($D6,Checker!$A$6:$A$405,0))</f>
        <v>Yes</v>
      </c>
      <c r="J6" s="36">
        <f>INDEX(Checker!$G$6:$G$405,MATCH($D6,Checker!$A$6:$A$405,0))</f>
        <v>14</v>
      </c>
      <c r="K6" s="36" t="str">
        <f>INDEX(Checker!$H$6:$H$405,MATCH($D6,Checker!$A$6:$A$405,0))</f>
        <v>Business</v>
      </c>
      <c r="L6" s="41">
        <f>INDEX(Checker!$I$6:$I$405,MATCH($D6,Checker!$A$6:$A$405,0))</f>
        <v>14</v>
      </c>
      <c r="M6" s="42" t="str">
        <f>IF($D6="","",IF($D6=Test_Synth,IF(F6=Lbl_Flight,IF(AND(K6=Lbl_Business,INDEX(Biz_Permitted,MATCH(E6,Caps_Grade,0))=Lbl_BizNo),Lbl_Viol,Lbl_Comp),Lbl_NA),INDEX(Checker!J$6:J$405,MATCH($D6,Checker!$A$6:$A$405,0))))</f>
        <v>Violation</v>
      </c>
      <c r="N6" s="42" t="str">
        <f>IF($D6="","",IF($D6=Test_Synth,IF(F6=Lbl_Flight,IF(J6&lt;Min_Days_Booked,Lbl_Viol,Lbl_Comp),Lbl_NA),INDEX(Checker!K$6:K$405,MATCH($D6,Checker!$A$6:$A$405,0))))</f>
        <v>Compliant</v>
      </c>
      <c r="O6" s="42" t="str">
        <f>IF($D6="","",IF($D6=Test_Synth,IF(AND(F6=Lbl_Hotel,G6=Lbl_Metro),IF(H6&gt;INDEX(Caps_Metro,MATCH(E6,Caps_Grade,0)),Lbl_Viol,Lbl_Comp),Lbl_NA),INDEX(Checker!L$6:L$405,MATCH($D6,Checker!$A$6:$A$405,0))))</f>
        <v>n/a</v>
      </c>
      <c r="P6" s="42" t="str">
        <f>IF($D6="","",IF($D6=Test_Synth,IF(AND(F6=Lbl_Hotel,G6=Lbl_NonMetro),IF(H6&gt;INDEX(Caps_NonMetro,MATCH(E6,Caps_Grade,0)),Lbl_Viol,Lbl_Comp),Lbl_NA),INDEX(Checker!M$6:M$405,MATCH($D6,Checker!$A$6:$A$405,0))))</f>
        <v>n/a</v>
      </c>
      <c r="Q6" s="42" t="str">
        <f>IF($D6="","",IF($D6=Test_Synth,IF(F6=Lbl_Meals,IF(H6&gt;IF(G6=Lbl_Metro,Limit_Metro,Limit_NonMetro),Lbl_Viol,Lbl_Comp),Lbl_NA),INDEX(Checker!N$6:N$405,MATCH($D6,Checker!$A$6:$A$405,0))))</f>
        <v>n/a</v>
      </c>
      <c r="R6" s="42" t="str">
        <f>IF($D6="","",IF($D6=Test_Synth,IF(F6=Lbl_Alcohol,Lbl_Viol,Lbl_NA),INDEX(Checker!O$6:O$405,MATCH($D6,Checker!$A$6:$A$405,0))))</f>
        <v>n/a</v>
      </c>
      <c r="S6" s="42" t="str">
        <f>IF($D6="","",IF($D6=Test_Synth,IF(AND(I6=Lbl_NoReceipt,H6&gt;Receipt_Threshold),Lbl_Viol,Lbl_Comp),INDEX(Checker!P$6:P$405,MATCH($D6,Checker!$A$6:$A$405,0))))</f>
        <v>Compliant</v>
      </c>
      <c r="T6" s="42" t="str">
        <f>IF($D6="","",IF($D6=Test_Synth,IF(L6&gt;Late_Days,Lbl_Viol,Lbl_Comp),INDEX(Checker!Q$6:Q$405,MATCH($D6,Checker!$A$6:$A$405,0))))</f>
        <v>Compliant</v>
      </c>
      <c r="U6" s="36" t="str">
        <f>IF($D6="","",IF($D6=Test_Synth,IF(COUNTIF(M6:T6,Lbl_Viol)&gt;0,Lbl_Viol,Lbl_Comp),INDEX(Checker!$R$6:$R$405,MATCH($D6,Checker!$A$6:$A$405,0))))</f>
        <v>Violation</v>
      </c>
      <c r="V6" s="36" t="str">
        <f>IF($D6="","",IF($D6=Test_Synth,_xlfn.TEXTJOIN(", ",TRUE(),IF(M6=Lbl_Viol,M$5,""),IF(N6=Lbl_Viol,N$5,""),IF(O6=Lbl_Viol,O$5,""),IF(P6=Lbl_Viol,P$5,""),IF(Q6=Lbl_Viol,Q$5,""),IF(R6=Lbl_Viol,R$5,""),IF(S6=Lbl_Viol,S$5,""),IF(T6=Lbl_Viol,T$5,"")),INDEX(Checker!$S$6:$S$405,MATCH($D6,Checker!$A$6:$A$405,0))))</f>
        <v>TP-01</v>
      </c>
      <c r="W6" s="36" t="str">
        <f>IF($D6="","",IF($D6=Test_Synth,IF(T6=Lbl_Viol,IF(L6&gt;Expired_Days,Lbl_Expired,Lbl_Late),""),INDEX(Checker!$T$6:$T$405,MATCH($D6,Checker!$A$6:$A$405,0))))</f>
        <v/>
      </c>
      <c r="X6" s="36" t="str">
        <f>IF($D6="","",IF($D6=Test_Synth,IF(U6=Lbl_Comp,"",IF(SUMPRODUCT((M6:T6=Lbl_Viol)*(M$4:T$4=Lbl_Definite))&gt;0,Lbl_Definite,Lbl_Assumption)),INDEX(Checker!$U$6:$U$405,MATCH($D6,Checker!$A$6:$A$405,0))))</f>
        <v>Definite</v>
      </c>
      <c r="Y6" s="37" t="s">
        <v>812</v>
      </c>
      <c r="Z6" s="37" t="s">
        <v>634</v>
      </c>
      <c r="AA6" s="37"/>
      <c r="AB6" s="37" t="s">
        <v>821</v>
      </c>
      <c r="AC6" s="46" t="str">
        <f t="shared" ref="AC6:AC37" si="0">IF(Y6="","Awaiting input",IFERROR(IF(AND(U6=Y6,V6=Z6,W6=AA6,X6=AB6),"PASS","FAIL"),"FAIL"))</f>
        <v>PASS</v>
      </c>
    </row>
    <row r="7" spans="1:29" ht="15" customHeight="1" x14ac:dyDescent="0.3">
      <c r="A7" s="35" t="s">
        <v>1075</v>
      </c>
      <c r="B7" s="35" t="s">
        <v>634</v>
      </c>
      <c r="C7" s="72" t="s">
        <v>1076</v>
      </c>
      <c r="D7" s="33" t="s">
        <v>365</v>
      </c>
      <c r="E7" s="36" t="str">
        <f>INDEX(Checker!$B$6:$B$405,MATCH($D7,Checker!$A$6:$A$405,0))</f>
        <v>M3</v>
      </c>
      <c r="F7" s="36" t="str">
        <f>INDEX(Checker!$C$6:$C$405,MATCH($D7,Checker!$A$6:$A$405,0))</f>
        <v>Flight</v>
      </c>
      <c r="G7" s="36" t="str">
        <f>INDEX(Checker!$D$6:$D$405,MATCH($D7,Checker!$A$6:$A$405,0))</f>
        <v>Non-metro</v>
      </c>
      <c r="H7" s="40">
        <f>INDEX(Checker!$E$6:$E$405,MATCH($D7,Checker!$A$6:$A$405,0))</f>
        <v>18402</v>
      </c>
      <c r="I7" s="36" t="str">
        <f>INDEX(Checker!$F$6:$F$405,MATCH($D7,Checker!$A$6:$A$405,0))</f>
        <v>Yes</v>
      </c>
      <c r="J7" s="36">
        <f>INDEX(Checker!$G$6:$G$405,MATCH($D7,Checker!$A$6:$A$405,0))</f>
        <v>11</v>
      </c>
      <c r="K7" s="36" t="str">
        <f>INDEX(Checker!$H$6:$H$405,MATCH($D7,Checker!$A$6:$A$405,0))</f>
        <v>Business</v>
      </c>
      <c r="L7" s="41">
        <f>INDEX(Checker!$I$6:$I$405,MATCH($D7,Checker!$A$6:$A$405,0))</f>
        <v>20</v>
      </c>
      <c r="M7" s="42" t="str">
        <f>IF($D7="","",IF($D7=Test_Synth,IF(F7=Lbl_Flight,IF(AND(K7=Lbl_Business,INDEX(Biz_Permitted,MATCH(E7,Caps_Grade,0))=Lbl_BizNo),Lbl_Viol,Lbl_Comp),Lbl_NA),INDEX(Checker!J$6:J$405,MATCH($D7,Checker!$A$6:$A$405,0))))</f>
        <v>Violation</v>
      </c>
      <c r="N7" s="42" t="str">
        <f>IF($D7="","",IF($D7=Test_Synth,IF(F7=Lbl_Flight,IF(J7&lt;Min_Days_Booked,Lbl_Viol,Lbl_Comp),Lbl_NA),INDEX(Checker!K$6:K$405,MATCH($D7,Checker!$A$6:$A$405,0))))</f>
        <v>Compliant</v>
      </c>
      <c r="O7" s="42" t="str">
        <f>IF($D7="","",IF($D7=Test_Synth,IF(AND(F7=Lbl_Hotel,G7=Lbl_Metro),IF(H7&gt;INDEX(Caps_Metro,MATCH(E7,Caps_Grade,0)),Lbl_Viol,Lbl_Comp),Lbl_NA),INDEX(Checker!L$6:L$405,MATCH($D7,Checker!$A$6:$A$405,0))))</f>
        <v>n/a</v>
      </c>
      <c r="P7" s="42" t="str">
        <f>IF($D7="","",IF($D7=Test_Synth,IF(AND(F7=Lbl_Hotel,G7=Lbl_NonMetro),IF(H7&gt;INDEX(Caps_NonMetro,MATCH(E7,Caps_Grade,0)),Lbl_Viol,Lbl_Comp),Lbl_NA),INDEX(Checker!M$6:M$405,MATCH($D7,Checker!$A$6:$A$405,0))))</f>
        <v>n/a</v>
      </c>
      <c r="Q7" s="42" t="str">
        <f>IF($D7="","",IF($D7=Test_Synth,IF(F7=Lbl_Meals,IF(H7&gt;IF(G7=Lbl_Metro,Limit_Metro,Limit_NonMetro),Lbl_Viol,Lbl_Comp),Lbl_NA),INDEX(Checker!N$6:N$405,MATCH($D7,Checker!$A$6:$A$405,0))))</f>
        <v>n/a</v>
      </c>
      <c r="R7" s="42" t="str">
        <f>IF($D7="","",IF($D7=Test_Synth,IF(F7=Lbl_Alcohol,Lbl_Viol,Lbl_NA),INDEX(Checker!O$6:O$405,MATCH($D7,Checker!$A$6:$A$405,0))))</f>
        <v>n/a</v>
      </c>
      <c r="S7" s="42" t="str">
        <f>IF($D7="","",IF($D7=Test_Synth,IF(AND(I7=Lbl_NoReceipt,H7&gt;Receipt_Threshold),Lbl_Viol,Lbl_Comp),INDEX(Checker!P$6:P$405,MATCH($D7,Checker!$A$6:$A$405,0))))</f>
        <v>Compliant</v>
      </c>
      <c r="T7" s="42" t="str">
        <f>IF($D7="","",IF($D7=Test_Synth,IF(L7&gt;Late_Days,Lbl_Viol,Lbl_Comp),INDEX(Checker!Q$6:Q$405,MATCH($D7,Checker!$A$6:$A$405,0))))</f>
        <v>Violation</v>
      </c>
      <c r="U7" s="36" t="str">
        <f>IF($D7="","",IF($D7=Test_Synth,IF(COUNTIF(M7:T7,Lbl_Viol)&gt;0,Lbl_Viol,Lbl_Comp),INDEX(Checker!$R$6:$R$405,MATCH($D7,Checker!$A$6:$A$405,0))))</f>
        <v>Violation</v>
      </c>
      <c r="V7" s="36" t="str">
        <f>IF($D7="","",IF($D7=Test_Synth,_xlfn.TEXTJOIN(", ",TRUE(),IF(M7=Lbl_Viol,M$5,""),IF(N7=Lbl_Viol,N$5,""),IF(O7=Lbl_Viol,O$5,""),IF(P7=Lbl_Viol,P$5,""),IF(Q7=Lbl_Viol,Q$5,""),IF(R7=Lbl_Viol,R$5,""),IF(S7=Lbl_Viol,S$5,""),IF(T7=Lbl_Viol,T$5,"")),INDEX(Checker!$S$6:$S$405,MATCH($D7,Checker!$A$6:$A$405,0))))</f>
        <v>TP-01, TP-10</v>
      </c>
      <c r="W7" s="36" t="str">
        <f>IF($D7="","",IF($D7=Test_Synth,IF(T7=Lbl_Viol,IF(L7&gt;Expired_Days,Lbl_Expired,Lbl_Late),""),INDEX(Checker!$T$6:$T$405,MATCH($D7,Checker!$A$6:$A$405,0))))</f>
        <v>Late</v>
      </c>
      <c r="X7" s="36" t="str">
        <f>IF($D7="","",IF($D7=Test_Synth,IF(U7=Lbl_Comp,"",IF(SUMPRODUCT((M7:T7=Lbl_Viol)*(M$4:T$4=Lbl_Definite))&gt;0,Lbl_Definite,Lbl_Assumption)),INDEX(Checker!$U$6:$U$405,MATCH($D7,Checker!$A$6:$A$405,0))))</f>
        <v>Definite</v>
      </c>
      <c r="Y7" s="37" t="s">
        <v>812</v>
      </c>
      <c r="Z7" s="37" t="s">
        <v>1077</v>
      </c>
      <c r="AA7" s="37" t="s">
        <v>817</v>
      </c>
      <c r="AB7" s="37" t="s">
        <v>821</v>
      </c>
      <c r="AC7" s="46" t="str">
        <f t="shared" si="0"/>
        <v>PASS</v>
      </c>
    </row>
    <row r="8" spans="1:29" ht="15" customHeight="1" x14ac:dyDescent="0.3">
      <c r="A8" s="35" t="s">
        <v>1078</v>
      </c>
      <c r="B8" s="35" t="s">
        <v>634</v>
      </c>
      <c r="C8" s="72" t="s">
        <v>1079</v>
      </c>
      <c r="D8" s="33" t="s">
        <v>426</v>
      </c>
      <c r="E8" s="36" t="str">
        <f>INDEX(Checker!$B$6:$B$405,MATCH($D8,Checker!$A$6:$A$405,0))</f>
        <v>M1</v>
      </c>
      <c r="F8" s="36" t="str">
        <f>INDEX(Checker!$C$6:$C$405,MATCH($D8,Checker!$A$6:$A$405,0))</f>
        <v>Flight</v>
      </c>
      <c r="G8" s="36" t="str">
        <f>INDEX(Checker!$D$6:$D$405,MATCH($D8,Checker!$A$6:$A$405,0))</f>
        <v>Non-metro</v>
      </c>
      <c r="H8" s="40">
        <f>INDEX(Checker!$E$6:$E$405,MATCH($D8,Checker!$A$6:$A$405,0))</f>
        <v>11325</v>
      </c>
      <c r="I8" s="36" t="str">
        <f>INDEX(Checker!$F$6:$F$405,MATCH($D8,Checker!$A$6:$A$405,0))</f>
        <v>Yes</v>
      </c>
      <c r="J8" s="36">
        <f>INDEX(Checker!$G$6:$G$405,MATCH($D8,Checker!$A$6:$A$405,0))</f>
        <v>8</v>
      </c>
      <c r="K8" s="36" t="str">
        <f>INDEX(Checker!$H$6:$H$405,MATCH($D8,Checker!$A$6:$A$405,0))</f>
        <v>Economy</v>
      </c>
      <c r="L8" s="41">
        <f>INDEX(Checker!$I$6:$I$405,MATCH($D8,Checker!$A$6:$A$405,0))</f>
        <v>9</v>
      </c>
      <c r="M8" s="42" t="str">
        <f>IF($D8="","",IF($D8=Test_Synth,IF(F8=Lbl_Flight,IF(AND(K8=Lbl_Business,INDEX(Biz_Permitted,MATCH(E8,Caps_Grade,0))=Lbl_BizNo),Lbl_Viol,Lbl_Comp),Lbl_NA),INDEX(Checker!J$6:J$405,MATCH($D8,Checker!$A$6:$A$405,0))))</f>
        <v>Compliant</v>
      </c>
      <c r="N8" s="42" t="str">
        <f>IF($D8="","",IF($D8=Test_Synth,IF(F8=Lbl_Flight,IF(J8&lt;Min_Days_Booked,Lbl_Viol,Lbl_Comp),Lbl_NA),INDEX(Checker!K$6:K$405,MATCH($D8,Checker!$A$6:$A$405,0))))</f>
        <v>Compliant</v>
      </c>
      <c r="O8" s="42" t="str">
        <f>IF($D8="","",IF($D8=Test_Synth,IF(AND(F8=Lbl_Hotel,G8=Lbl_Metro),IF(H8&gt;INDEX(Caps_Metro,MATCH(E8,Caps_Grade,0)),Lbl_Viol,Lbl_Comp),Lbl_NA),INDEX(Checker!L$6:L$405,MATCH($D8,Checker!$A$6:$A$405,0))))</f>
        <v>n/a</v>
      </c>
      <c r="P8" s="42" t="str">
        <f>IF($D8="","",IF($D8=Test_Synth,IF(AND(F8=Lbl_Hotel,G8=Lbl_NonMetro),IF(H8&gt;INDEX(Caps_NonMetro,MATCH(E8,Caps_Grade,0)),Lbl_Viol,Lbl_Comp),Lbl_NA),INDEX(Checker!M$6:M$405,MATCH($D8,Checker!$A$6:$A$405,0))))</f>
        <v>n/a</v>
      </c>
      <c r="Q8" s="42" t="str">
        <f>IF($D8="","",IF($D8=Test_Synth,IF(F8=Lbl_Meals,IF(H8&gt;IF(G8=Lbl_Metro,Limit_Metro,Limit_NonMetro),Lbl_Viol,Lbl_Comp),Lbl_NA),INDEX(Checker!N$6:N$405,MATCH($D8,Checker!$A$6:$A$405,0))))</f>
        <v>n/a</v>
      </c>
      <c r="R8" s="42" t="str">
        <f>IF($D8="","",IF($D8=Test_Synth,IF(F8=Lbl_Alcohol,Lbl_Viol,Lbl_NA),INDEX(Checker!O$6:O$405,MATCH($D8,Checker!$A$6:$A$405,0))))</f>
        <v>n/a</v>
      </c>
      <c r="S8" s="42" t="str">
        <f>IF($D8="","",IF($D8=Test_Synth,IF(AND(I8=Lbl_NoReceipt,H8&gt;Receipt_Threshold),Lbl_Viol,Lbl_Comp),INDEX(Checker!P$6:P$405,MATCH($D8,Checker!$A$6:$A$405,0))))</f>
        <v>Compliant</v>
      </c>
      <c r="T8" s="42" t="str">
        <f>IF($D8="","",IF($D8=Test_Synth,IF(L8&gt;Late_Days,Lbl_Viol,Lbl_Comp),INDEX(Checker!Q$6:Q$405,MATCH($D8,Checker!$A$6:$A$405,0))))</f>
        <v>Compliant</v>
      </c>
      <c r="U8" s="36" t="str">
        <f>IF($D8="","",IF($D8=Test_Synth,IF(COUNTIF(M8:T8,Lbl_Viol)&gt;0,Lbl_Viol,Lbl_Comp),INDEX(Checker!$R$6:$R$405,MATCH($D8,Checker!$A$6:$A$405,0))))</f>
        <v>Compliant</v>
      </c>
      <c r="V8" s="36" t="str">
        <f>IF($D8="","",IF($D8=Test_Synth,_xlfn.TEXTJOIN(", ",TRUE(),IF(M8=Lbl_Viol,M$5,""),IF(N8=Lbl_Viol,N$5,""),IF(O8=Lbl_Viol,O$5,""),IF(P8=Lbl_Viol,P$5,""),IF(Q8=Lbl_Viol,Q$5,""),IF(R8=Lbl_Viol,R$5,""),IF(S8=Lbl_Viol,S$5,""),IF(T8=Lbl_Viol,T$5,"")),INDEX(Checker!$S$6:$S$405,MATCH($D8,Checker!$A$6:$A$405,0))))</f>
        <v/>
      </c>
      <c r="W8" s="36" t="str">
        <f>IF($D8="","",IF($D8=Test_Synth,IF(T8=Lbl_Viol,IF(L8&gt;Expired_Days,Lbl_Expired,Lbl_Late),""),INDEX(Checker!$T$6:$T$405,MATCH($D8,Checker!$A$6:$A$405,0))))</f>
        <v/>
      </c>
      <c r="X8" s="36" t="str">
        <f>IF($D8="","",IF($D8=Test_Synth,IF(U8=Lbl_Comp,"",IF(SUMPRODUCT((M8:T8=Lbl_Viol)*(M$4:T$4=Lbl_Definite))&gt;0,Lbl_Definite,Lbl_Assumption)),INDEX(Checker!$U$6:$U$405,MATCH($D8,Checker!$A$6:$A$405,0))))</f>
        <v/>
      </c>
      <c r="Y8" s="37" t="s">
        <v>813</v>
      </c>
      <c r="Z8" s="37"/>
      <c r="AA8" s="37"/>
      <c r="AB8" s="37"/>
      <c r="AC8" s="46" t="str">
        <f t="shared" si="0"/>
        <v>PASS</v>
      </c>
    </row>
    <row r="9" spans="1:29" ht="15" customHeight="1" x14ac:dyDescent="0.3">
      <c r="A9" s="35" t="s">
        <v>1080</v>
      </c>
      <c r="B9" s="35" t="s">
        <v>634</v>
      </c>
      <c r="C9" s="72" t="s">
        <v>1081</v>
      </c>
      <c r="D9" s="33" t="s">
        <v>1057</v>
      </c>
      <c r="E9" s="37" t="s">
        <v>190</v>
      </c>
      <c r="F9" s="37" t="s">
        <v>111</v>
      </c>
      <c r="G9" s="37" t="s">
        <v>97</v>
      </c>
      <c r="H9" s="78">
        <v>10000</v>
      </c>
      <c r="I9" s="37" t="s">
        <v>90</v>
      </c>
      <c r="J9" s="37">
        <v>10</v>
      </c>
      <c r="K9" s="37" t="s">
        <v>266</v>
      </c>
      <c r="L9" s="37">
        <v>5</v>
      </c>
      <c r="M9" s="42" t="str">
        <f>IF($D9="","",IF($D9=Test_Synth,IF(F9=Lbl_Flight,IF(AND(K9=Lbl_Business,INDEX(Biz_Permitted,MATCH(E9,Caps_Grade,0))=Lbl_BizNo),Lbl_Viol,Lbl_Comp),Lbl_NA),INDEX(Checker!J$6:J$405,MATCH($D9,Checker!$A$6:$A$405,0))))</f>
        <v>Compliant</v>
      </c>
      <c r="N9" s="42" t="str">
        <f>IF($D9="","",IF($D9=Test_Synth,IF(F9=Lbl_Flight,IF(J9&lt;Min_Days_Booked,Lbl_Viol,Lbl_Comp),Lbl_NA),INDEX(Checker!K$6:K$405,MATCH($D9,Checker!$A$6:$A$405,0))))</f>
        <v>Compliant</v>
      </c>
      <c r="O9" s="42" t="str">
        <f>IF($D9="","",IF($D9=Test_Synth,IF(AND(F9=Lbl_Hotel,G9=Lbl_Metro),IF(H9&gt;INDEX(Caps_Metro,MATCH(E9,Caps_Grade,0)),Lbl_Viol,Lbl_Comp),Lbl_NA),INDEX(Checker!L$6:L$405,MATCH($D9,Checker!$A$6:$A$405,0))))</f>
        <v>n/a</v>
      </c>
      <c r="P9" s="42" t="str">
        <f>IF($D9="","",IF($D9=Test_Synth,IF(AND(F9=Lbl_Hotel,G9=Lbl_NonMetro),IF(H9&gt;INDEX(Caps_NonMetro,MATCH(E9,Caps_Grade,0)),Lbl_Viol,Lbl_Comp),Lbl_NA),INDEX(Checker!M$6:M$405,MATCH($D9,Checker!$A$6:$A$405,0))))</f>
        <v>n/a</v>
      </c>
      <c r="Q9" s="42" t="str">
        <f>IF($D9="","",IF($D9=Test_Synth,IF(F9=Lbl_Meals,IF(H9&gt;IF(G9=Lbl_Metro,Limit_Metro,Limit_NonMetro),Lbl_Viol,Lbl_Comp),Lbl_NA),INDEX(Checker!N$6:N$405,MATCH($D9,Checker!$A$6:$A$405,0))))</f>
        <v>n/a</v>
      </c>
      <c r="R9" s="42" t="str">
        <f>IF($D9="","",IF($D9=Test_Synth,IF(F9=Lbl_Alcohol,Lbl_Viol,Lbl_NA),INDEX(Checker!O$6:O$405,MATCH($D9,Checker!$A$6:$A$405,0))))</f>
        <v>n/a</v>
      </c>
      <c r="S9" s="42" t="str">
        <f>IF($D9="","",IF($D9=Test_Synth,IF(AND(I9=Lbl_NoReceipt,H9&gt;Receipt_Threshold),Lbl_Viol,Lbl_Comp),INDEX(Checker!P$6:P$405,MATCH($D9,Checker!$A$6:$A$405,0))))</f>
        <v>Compliant</v>
      </c>
      <c r="T9" s="42" t="str">
        <f>IF($D9="","",IF($D9=Test_Synth,IF(L9&gt;Late_Days,Lbl_Viol,Lbl_Comp),INDEX(Checker!Q$6:Q$405,MATCH($D9,Checker!$A$6:$A$405,0))))</f>
        <v>Compliant</v>
      </c>
      <c r="U9" s="36" t="str">
        <f>IF($D9="","",IF($D9=Test_Synth,IF(COUNTIF(M9:T9,Lbl_Viol)&gt;0,Lbl_Viol,Lbl_Comp),INDEX(Checker!$R$6:$R$405,MATCH($D9,Checker!$A$6:$A$405,0))))</f>
        <v>Compliant</v>
      </c>
      <c r="V9" s="36" t="str">
        <f>IF($D9="","",IF($D9=Test_Synth,_xlfn.TEXTJOIN(", ",TRUE(),IF(M9=Lbl_Viol,M$5,""),IF(N9=Lbl_Viol,N$5,""),IF(O9=Lbl_Viol,O$5,""),IF(P9=Lbl_Viol,P$5,""),IF(Q9=Lbl_Viol,Q$5,""),IF(R9=Lbl_Viol,R$5,""),IF(S9=Lbl_Viol,S$5,""),IF(T9=Lbl_Viol,T$5,"")),INDEX(Checker!$S$6:$S$405,MATCH($D9,Checker!$A$6:$A$405,0))))</f>
        <v/>
      </c>
      <c r="W9" s="36" t="str">
        <f>IF($D9="","",IF($D9=Test_Synth,IF(T9=Lbl_Viol,IF(L9&gt;Expired_Days,Lbl_Expired,Lbl_Late),""),INDEX(Checker!$T$6:$T$405,MATCH($D9,Checker!$A$6:$A$405,0))))</f>
        <v/>
      </c>
      <c r="X9" s="36" t="str">
        <f>IF($D9="","",IF($D9=Test_Synth,IF(U9=Lbl_Comp,"",IF(SUMPRODUCT((M9:T9=Lbl_Viol)*(M$4:T$4=Lbl_Definite))&gt;0,Lbl_Definite,Lbl_Assumption)),INDEX(Checker!$U$6:$U$405,MATCH($D9,Checker!$A$6:$A$405,0))))</f>
        <v/>
      </c>
      <c r="Y9" s="37" t="s">
        <v>813</v>
      </c>
      <c r="Z9" s="37"/>
      <c r="AA9" s="37"/>
      <c r="AB9" s="37"/>
      <c r="AC9" s="46" t="str">
        <f t="shared" si="0"/>
        <v>PASS</v>
      </c>
    </row>
    <row r="10" spans="1:29" ht="15" customHeight="1" x14ac:dyDescent="0.3">
      <c r="A10" s="35" t="s">
        <v>1082</v>
      </c>
      <c r="B10" s="35" t="s">
        <v>637</v>
      </c>
      <c r="C10" s="72" t="s">
        <v>1083</v>
      </c>
      <c r="D10" s="33" t="s">
        <v>108</v>
      </c>
      <c r="E10" s="36" t="str">
        <f>INDEX(Checker!$B$6:$B$405,MATCH($D10,Checker!$A$6:$A$405,0))</f>
        <v>M3</v>
      </c>
      <c r="F10" s="36" t="str">
        <f>INDEX(Checker!$C$6:$C$405,MATCH($D10,Checker!$A$6:$A$405,0))</f>
        <v>Flight</v>
      </c>
      <c r="G10" s="36" t="str">
        <f>INDEX(Checker!$D$6:$D$405,MATCH($D10,Checker!$A$6:$A$405,0))</f>
        <v>Non-metro</v>
      </c>
      <c r="H10" s="40">
        <f>INDEX(Checker!$E$6:$E$405,MATCH($D10,Checker!$A$6:$A$405,0))</f>
        <v>6289</v>
      </c>
      <c r="I10" s="36" t="str">
        <f>INDEX(Checker!$F$6:$F$405,MATCH($D10,Checker!$A$6:$A$405,0))</f>
        <v>Yes</v>
      </c>
      <c r="J10" s="36">
        <f>INDEX(Checker!$G$6:$G$405,MATCH($D10,Checker!$A$6:$A$405,0))</f>
        <v>3</v>
      </c>
      <c r="K10" s="36" t="str">
        <f>INDEX(Checker!$H$6:$H$405,MATCH($D10,Checker!$A$6:$A$405,0))</f>
        <v>Economy</v>
      </c>
      <c r="L10" s="41">
        <f>INDEX(Checker!$I$6:$I$405,MATCH($D10,Checker!$A$6:$A$405,0))</f>
        <v>9</v>
      </c>
      <c r="M10" s="42" t="str">
        <f>IF($D10="","",IF($D10=Test_Synth,IF(F10=Lbl_Flight,IF(AND(K10=Lbl_Business,INDEX(Biz_Permitted,MATCH(E10,Caps_Grade,0))=Lbl_BizNo),Lbl_Viol,Lbl_Comp),Lbl_NA),INDEX(Checker!J$6:J$405,MATCH($D10,Checker!$A$6:$A$405,0))))</f>
        <v>Compliant</v>
      </c>
      <c r="N10" s="42" t="str">
        <f>IF($D10="","",IF($D10=Test_Synth,IF(F10=Lbl_Flight,IF(J10&lt;Min_Days_Booked,Lbl_Viol,Lbl_Comp),Lbl_NA),INDEX(Checker!K$6:K$405,MATCH($D10,Checker!$A$6:$A$405,0))))</f>
        <v>Violation</v>
      </c>
      <c r="O10" s="42" t="str">
        <f>IF($D10="","",IF($D10=Test_Synth,IF(AND(F10=Lbl_Hotel,G10=Lbl_Metro),IF(H10&gt;INDEX(Caps_Metro,MATCH(E10,Caps_Grade,0)),Lbl_Viol,Lbl_Comp),Lbl_NA),INDEX(Checker!L$6:L$405,MATCH($D10,Checker!$A$6:$A$405,0))))</f>
        <v>n/a</v>
      </c>
      <c r="P10" s="42" t="str">
        <f>IF($D10="","",IF($D10=Test_Synth,IF(AND(F10=Lbl_Hotel,G10=Lbl_NonMetro),IF(H10&gt;INDEX(Caps_NonMetro,MATCH(E10,Caps_Grade,0)),Lbl_Viol,Lbl_Comp),Lbl_NA),INDEX(Checker!M$6:M$405,MATCH($D10,Checker!$A$6:$A$405,0))))</f>
        <v>n/a</v>
      </c>
      <c r="Q10" s="42" t="str">
        <f>IF($D10="","",IF($D10=Test_Synth,IF(F10=Lbl_Meals,IF(H10&gt;IF(G10=Lbl_Metro,Limit_Metro,Limit_NonMetro),Lbl_Viol,Lbl_Comp),Lbl_NA),INDEX(Checker!N$6:N$405,MATCH($D10,Checker!$A$6:$A$405,0))))</f>
        <v>n/a</v>
      </c>
      <c r="R10" s="42" t="str">
        <f>IF($D10="","",IF($D10=Test_Synth,IF(F10=Lbl_Alcohol,Lbl_Viol,Lbl_NA),INDEX(Checker!O$6:O$405,MATCH($D10,Checker!$A$6:$A$405,0))))</f>
        <v>n/a</v>
      </c>
      <c r="S10" s="42" t="str">
        <f>IF($D10="","",IF($D10=Test_Synth,IF(AND(I10=Lbl_NoReceipt,H10&gt;Receipt_Threshold),Lbl_Viol,Lbl_Comp),INDEX(Checker!P$6:P$405,MATCH($D10,Checker!$A$6:$A$405,0))))</f>
        <v>Compliant</v>
      </c>
      <c r="T10" s="42" t="str">
        <f>IF($D10="","",IF($D10=Test_Synth,IF(L10&gt;Late_Days,Lbl_Viol,Lbl_Comp),INDEX(Checker!Q$6:Q$405,MATCH($D10,Checker!$A$6:$A$405,0))))</f>
        <v>Compliant</v>
      </c>
      <c r="U10" s="36" t="str">
        <f>IF($D10="","",IF($D10=Test_Synth,IF(COUNTIF(M10:T10,Lbl_Viol)&gt;0,Lbl_Viol,Lbl_Comp),INDEX(Checker!$R$6:$R$405,MATCH($D10,Checker!$A$6:$A$405,0))))</f>
        <v>Violation</v>
      </c>
      <c r="V10" s="36" t="str">
        <f>IF($D10="","",IF($D10=Test_Synth,_xlfn.TEXTJOIN(", ",TRUE(),IF(M10=Lbl_Viol,M$5,""),IF(N10=Lbl_Viol,N$5,""),IF(O10=Lbl_Viol,O$5,""),IF(P10=Lbl_Viol,P$5,""),IF(Q10=Lbl_Viol,Q$5,""),IF(R10=Lbl_Viol,R$5,""),IF(S10=Lbl_Viol,S$5,""),IF(T10=Lbl_Viol,T$5,"")),INDEX(Checker!$S$6:$S$405,MATCH($D10,Checker!$A$6:$A$405,0))))</f>
        <v>TP-02</v>
      </c>
      <c r="W10" s="36" t="str">
        <f>IF($D10="","",IF($D10=Test_Synth,IF(T10=Lbl_Viol,IF(L10&gt;Expired_Days,Lbl_Expired,Lbl_Late),""),INDEX(Checker!$T$6:$T$405,MATCH($D10,Checker!$A$6:$A$405,0))))</f>
        <v/>
      </c>
      <c r="X10" s="36" t="str">
        <f>IF($D10="","",IF($D10=Test_Synth,IF(U10=Lbl_Comp,"",IF(SUMPRODUCT((M10:T10=Lbl_Viol)*(M$4:T$4=Lbl_Definite))&gt;0,Lbl_Definite,Lbl_Assumption)),INDEX(Checker!$U$6:$U$405,MATCH($D10,Checker!$A$6:$A$405,0))))</f>
        <v>Assumption-based</v>
      </c>
      <c r="Y10" s="37" t="s">
        <v>812</v>
      </c>
      <c r="Z10" s="37" t="s">
        <v>637</v>
      </c>
      <c r="AA10" s="37"/>
      <c r="AB10" s="37" t="s">
        <v>823</v>
      </c>
      <c r="AC10" s="46" t="str">
        <f t="shared" si="0"/>
        <v>PASS</v>
      </c>
    </row>
    <row r="11" spans="1:29" ht="15" customHeight="1" x14ac:dyDescent="0.3">
      <c r="A11" s="35" t="s">
        <v>1084</v>
      </c>
      <c r="B11" s="35" t="s">
        <v>637</v>
      </c>
      <c r="C11" s="72" t="s">
        <v>1085</v>
      </c>
      <c r="D11" s="33" t="s">
        <v>142</v>
      </c>
      <c r="E11" s="36" t="str">
        <f>INDEX(Checker!$B$6:$B$405,MATCH($D11,Checker!$A$6:$A$405,0))</f>
        <v>M2</v>
      </c>
      <c r="F11" s="36" t="str">
        <f>INDEX(Checker!$C$6:$C$405,MATCH($D11,Checker!$A$6:$A$405,0))</f>
        <v>Flight</v>
      </c>
      <c r="G11" s="36" t="str">
        <f>INDEX(Checker!$D$6:$D$405,MATCH($D11,Checker!$A$6:$A$405,0))</f>
        <v>Metro</v>
      </c>
      <c r="H11" s="40">
        <f>INDEX(Checker!$E$6:$E$405,MATCH($D11,Checker!$A$6:$A$405,0))</f>
        <v>17576</v>
      </c>
      <c r="I11" s="36" t="str">
        <f>INDEX(Checker!$F$6:$F$405,MATCH($D11,Checker!$A$6:$A$405,0))</f>
        <v>Yes</v>
      </c>
      <c r="J11" s="36">
        <f>INDEX(Checker!$G$6:$G$405,MATCH($D11,Checker!$A$6:$A$405,0))</f>
        <v>0</v>
      </c>
      <c r="K11" s="36" t="str">
        <f>INDEX(Checker!$H$6:$H$405,MATCH($D11,Checker!$A$6:$A$405,0))</f>
        <v>Economy</v>
      </c>
      <c r="L11" s="41">
        <f>INDEX(Checker!$I$6:$I$405,MATCH($D11,Checker!$A$6:$A$405,0))</f>
        <v>5</v>
      </c>
      <c r="M11" s="42" t="str">
        <f>IF($D11="","",IF($D11=Test_Synth,IF(F11=Lbl_Flight,IF(AND(K11=Lbl_Business,INDEX(Biz_Permitted,MATCH(E11,Caps_Grade,0))=Lbl_BizNo),Lbl_Viol,Lbl_Comp),Lbl_NA),INDEX(Checker!J$6:J$405,MATCH($D11,Checker!$A$6:$A$405,0))))</f>
        <v>Compliant</v>
      </c>
      <c r="N11" s="42" t="str">
        <f>IF($D11="","",IF($D11=Test_Synth,IF(F11=Lbl_Flight,IF(J11&lt;Min_Days_Booked,Lbl_Viol,Lbl_Comp),Lbl_NA),INDEX(Checker!K$6:K$405,MATCH($D11,Checker!$A$6:$A$405,0))))</f>
        <v>Violation</v>
      </c>
      <c r="O11" s="42" t="str">
        <f>IF($D11="","",IF($D11=Test_Synth,IF(AND(F11=Lbl_Hotel,G11=Lbl_Metro),IF(H11&gt;INDEX(Caps_Metro,MATCH(E11,Caps_Grade,0)),Lbl_Viol,Lbl_Comp),Lbl_NA),INDEX(Checker!L$6:L$405,MATCH($D11,Checker!$A$6:$A$405,0))))</f>
        <v>n/a</v>
      </c>
      <c r="P11" s="42" t="str">
        <f>IF($D11="","",IF($D11=Test_Synth,IF(AND(F11=Lbl_Hotel,G11=Lbl_NonMetro),IF(H11&gt;INDEX(Caps_NonMetro,MATCH(E11,Caps_Grade,0)),Lbl_Viol,Lbl_Comp),Lbl_NA),INDEX(Checker!M$6:M$405,MATCH($D11,Checker!$A$6:$A$405,0))))</f>
        <v>n/a</v>
      </c>
      <c r="Q11" s="42" t="str">
        <f>IF($D11="","",IF($D11=Test_Synth,IF(F11=Lbl_Meals,IF(H11&gt;IF(G11=Lbl_Metro,Limit_Metro,Limit_NonMetro),Lbl_Viol,Lbl_Comp),Lbl_NA),INDEX(Checker!N$6:N$405,MATCH($D11,Checker!$A$6:$A$405,0))))</f>
        <v>n/a</v>
      </c>
      <c r="R11" s="42" t="str">
        <f>IF($D11="","",IF($D11=Test_Synth,IF(F11=Lbl_Alcohol,Lbl_Viol,Lbl_NA),INDEX(Checker!O$6:O$405,MATCH($D11,Checker!$A$6:$A$405,0))))</f>
        <v>n/a</v>
      </c>
      <c r="S11" s="42" t="str">
        <f>IF($D11="","",IF($D11=Test_Synth,IF(AND(I11=Lbl_NoReceipt,H11&gt;Receipt_Threshold),Lbl_Viol,Lbl_Comp),INDEX(Checker!P$6:P$405,MATCH($D11,Checker!$A$6:$A$405,0))))</f>
        <v>Compliant</v>
      </c>
      <c r="T11" s="42" t="str">
        <f>IF($D11="","",IF($D11=Test_Synth,IF(L11&gt;Late_Days,Lbl_Viol,Lbl_Comp),INDEX(Checker!Q$6:Q$405,MATCH($D11,Checker!$A$6:$A$405,0))))</f>
        <v>Compliant</v>
      </c>
      <c r="U11" s="36" t="str">
        <f>IF($D11="","",IF($D11=Test_Synth,IF(COUNTIF(M11:T11,Lbl_Viol)&gt;0,Lbl_Viol,Lbl_Comp),INDEX(Checker!$R$6:$R$405,MATCH($D11,Checker!$A$6:$A$405,0))))</f>
        <v>Violation</v>
      </c>
      <c r="V11" s="36" t="str">
        <f>IF($D11="","",IF($D11=Test_Synth,_xlfn.TEXTJOIN(", ",TRUE(),IF(M11=Lbl_Viol,M$5,""),IF(N11=Lbl_Viol,N$5,""),IF(O11=Lbl_Viol,O$5,""),IF(P11=Lbl_Viol,P$5,""),IF(Q11=Lbl_Viol,Q$5,""),IF(R11=Lbl_Viol,R$5,""),IF(S11=Lbl_Viol,S$5,""),IF(T11=Lbl_Viol,T$5,"")),INDEX(Checker!$S$6:$S$405,MATCH($D11,Checker!$A$6:$A$405,0))))</f>
        <v>TP-02</v>
      </c>
      <c r="W11" s="36" t="str">
        <f>IF($D11="","",IF($D11=Test_Synth,IF(T11=Lbl_Viol,IF(L11&gt;Expired_Days,Lbl_Expired,Lbl_Late),""),INDEX(Checker!$T$6:$T$405,MATCH($D11,Checker!$A$6:$A$405,0))))</f>
        <v/>
      </c>
      <c r="X11" s="36" t="str">
        <f>IF($D11="","",IF($D11=Test_Synth,IF(U11=Lbl_Comp,"",IF(SUMPRODUCT((M11:T11=Lbl_Viol)*(M$4:T$4=Lbl_Definite))&gt;0,Lbl_Definite,Lbl_Assumption)),INDEX(Checker!$U$6:$U$405,MATCH($D11,Checker!$A$6:$A$405,0))))</f>
        <v>Assumption-based</v>
      </c>
      <c r="Y11" s="37" t="s">
        <v>812</v>
      </c>
      <c r="Z11" s="37" t="s">
        <v>637</v>
      </c>
      <c r="AA11" s="37"/>
      <c r="AB11" s="37" t="s">
        <v>823</v>
      </c>
      <c r="AC11" s="46" t="str">
        <f t="shared" si="0"/>
        <v>PASS</v>
      </c>
    </row>
    <row r="12" spans="1:29" ht="15" customHeight="1" x14ac:dyDescent="0.3">
      <c r="A12" s="35" t="s">
        <v>1086</v>
      </c>
      <c r="B12" s="35" t="s">
        <v>637</v>
      </c>
      <c r="C12" s="72" t="s">
        <v>1087</v>
      </c>
      <c r="D12" s="33" t="s">
        <v>599</v>
      </c>
      <c r="E12" s="36" t="str">
        <f>INDEX(Checker!$B$6:$B$405,MATCH($D12,Checker!$A$6:$A$405,0))</f>
        <v>M2</v>
      </c>
      <c r="F12" s="36" t="str">
        <f>INDEX(Checker!$C$6:$C$405,MATCH($D12,Checker!$A$6:$A$405,0))</f>
        <v>Flight</v>
      </c>
      <c r="G12" s="36" t="str">
        <f>INDEX(Checker!$D$6:$D$405,MATCH($D12,Checker!$A$6:$A$405,0))</f>
        <v>Non-metro</v>
      </c>
      <c r="H12" s="40">
        <f>INDEX(Checker!$E$6:$E$405,MATCH($D12,Checker!$A$6:$A$405,0))</f>
        <v>21709</v>
      </c>
      <c r="I12" s="36" t="str">
        <f>INDEX(Checker!$F$6:$F$405,MATCH($D12,Checker!$A$6:$A$405,0))</f>
        <v>Yes</v>
      </c>
      <c r="J12" s="36">
        <f>INDEX(Checker!$G$6:$G$405,MATCH($D12,Checker!$A$6:$A$405,0))</f>
        <v>6</v>
      </c>
      <c r="K12" s="36" t="str">
        <f>INDEX(Checker!$H$6:$H$405,MATCH($D12,Checker!$A$6:$A$405,0))</f>
        <v>Economy</v>
      </c>
      <c r="L12" s="41">
        <f>INDEX(Checker!$I$6:$I$405,MATCH($D12,Checker!$A$6:$A$405,0))</f>
        <v>2</v>
      </c>
      <c r="M12" s="42" t="str">
        <f>IF($D12="","",IF($D12=Test_Synth,IF(F12=Lbl_Flight,IF(AND(K12=Lbl_Business,INDEX(Biz_Permitted,MATCH(E12,Caps_Grade,0))=Lbl_BizNo),Lbl_Viol,Lbl_Comp),Lbl_NA),INDEX(Checker!J$6:J$405,MATCH($D12,Checker!$A$6:$A$405,0))))</f>
        <v>Compliant</v>
      </c>
      <c r="N12" s="42" t="str">
        <f>IF($D12="","",IF($D12=Test_Synth,IF(F12=Lbl_Flight,IF(J12&lt;Min_Days_Booked,Lbl_Viol,Lbl_Comp),Lbl_NA),INDEX(Checker!K$6:K$405,MATCH($D12,Checker!$A$6:$A$405,0))))</f>
        <v>Violation</v>
      </c>
      <c r="O12" s="42" t="str">
        <f>IF($D12="","",IF($D12=Test_Synth,IF(AND(F12=Lbl_Hotel,G12=Lbl_Metro),IF(H12&gt;INDEX(Caps_Metro,MATCH(E12,Caps_Grade,0)),Lbl_Viol,Lbl_Comp),Lbl_NA),INDEX(Checker!L$6:L$405,MATCH($D12,Checker!$A$6:$A$405,0))))</f>
        <v>n/a</v>
      </c>
      <c r="P12" s="42" t="str">
        <f>IF($D12="","",IF($D12=Test_Synth,IF(AND(F12=Lbl_Hotel,G12=Lbl_NonMetro),IF(H12&gt;INDEX(Caps_NonMetro,MATCH(E12,Caps_Grade,0)),Lbl_Viol,Lbl_Comp),Lbl_NA),INDEX(Checker!M$6:M$405,MATCH($D12,Checker!$A$6:$A$405,0))))</f>
        <v>n/a</v>
      </c>
      <c r="Q12" s="42" t="str">
        <f>IF($D12="","",IF($D12=Test_Synth,IF(F12=Lbl_Meals,IF(H12&gt;IF(G12=Lbl_Metro,Limit_Metro,Limit_NonMetro),Lbl_Viol,Lbl_Comp),Lbl_NA),INDEX(Checker!N$6:N$405,MATCH($D12,Checker!$A$6:$A$405,0))))</f>
        <v>n/a</v>
      </c>
      <c r="R12" s="42" t="str">
        <f>IF($D12="","",IF($D12=Test_Synth,IF(F12=Lbl_Alcohol,Lbl_Viol,Lbl_NA),INDEX(Checker!O$6:O$405,MATCH($D12,Checker!$A$6:$A$405,0))))</f>
        <v>n/a</v>
      </c>
      <c r="S12" s="42" t="str">
        <f>IF($D12="","",IF($D12=Test_Synth,IF(AND(I12=Lbl_NoReceipt,H12&gt;Receipt_Threshold),Lbl_Viol,Lbl_Comp),INDEX(Checker!P$6:P$405,MATCH($D12,Checker!$A$6:$A$405,0))))</f>
        <v>Compliant</v>
      </c>
      <c r="T12" s="42" t="str">
        <f>IF($D12="","",IF($D12=Test_Synth,IF(L12&gt;Late_Days,Lbl_Viol,Lbl_Comp),INDEX(Checker!Q$6:Q$405,MATCH($D12,Checker!$A$6:$A$405,0))))</f>
        <v>Compliant</v>
      </c>
      <c r="U12" s="36" t="str">
        <f>IF($D12="","",IF($D12=Test_Synth,IF(COUNTIF(M12:T12,Lbl_Viol)&gt;0,Lbl_Viol,Lbl_Comp),INDEX(Checker!$R$6:$R$405,MATCH($D12,Checker!$A$6:$A$405,0))))</f>
        <v>Violation</v>
      </c>
      <c r="V12" s="36" t="str">
        <f>IF($D12="","",IF($D12=Test_Synth,_xlfn.TEXTJOIN(", ",TRUE(),IF(M12=Lbl_Viol,M$5,""),IF(N12=Lbl_Viol,N$5,""),IF(O12=Lbl_Viol,O$5,""),IF(P12=Lbl_Viol,P$5,""),IF(Q12=Lbl_Viol,Q$5,""),IF(R12=Lbl_Viol,R$5,""),IF(S12=Lbl_Viol,S$5,""),IF(T12=Lbl_Viol,T$5,"")),INDEX(Checker!$S$6:$S$405,MATCH($D12,Checker!$A$6:$A$405,0))))</f>
        <v>TP-02</v>
      </c>
      <c r="W12" s="36" t="str">
        <f>IF($D12="","",IF($D12=Test_Synth,IF(T12=Lbl_Viol,IF(L12&gt;Expired_Days,Lbl_Expired,Lbl_Late),""),INDEX(Checker!$T$6:$T$405,MATCH($D12,Checker!$A$6:$A$405,0))))</f>
        <v/>
      </c>
      <c r="X12" s="36" t="str">
        <f>IF($D12="","",IF($D12=Test_Synth,IF(U12=Lbl_Comp,"",IF(SUMPRODUCT((M12:T12=Lbl_Viol)*(M$4:T$4=Lbl_Definite))&gt;0,Lbl_Definite,Lbl_Assumption)),INDEX(Checker!$U$6:$U$405,MATCH($D12,Checker!$A$6:$A$405,0))))</f>
        <v>Assumption-based</v>
      </c>
      <c r="Y12" s="37" t="s">
        <v>812</v>
      </c>
      <c r="Z12" s="37" t="s">
        <v>637</v>
      </c>
      <c r="AA12" s="37"/>
      <c r="AB12" s="37" t="s">
        <v>823</v>
      </c>
      <c r="AC12" s="46" t="str">
        <f t="shared" si="0"/>
        <v>PASS</v>
      </c>
    </row>
    <row r="13" spans="1:29" ht="15" customHeight="1" x14ac:dyDescent="0.3">
      <c r="A13" s="35" t="s">
        <v>1088</v>
      </c>
      <c r="B13" s="35" t="s">
        <v>637</v>
      </c>
      <c r="C13" s="72" t="s">
        <v>1089</v>
      </c>
      <c r="D13" s="33" t="s">
        <v>383</v>
      </c>
      <c r="E13" s="36" t="str">
        <f>INDEX(Checker!$B$6:$B$405,MATCH($D13,Checker!$A$6:$A$405,0))</f>
        <v>M2</v>
      </c>
      <c r="F13" s="36" t="str">
        <f>INDEX(Checker!$C$6:$C$405,MATCH($D13,Checker!$A$6:$A$405,0))</f>
        <v>Flight</v>
      </c>
      <c r="G13" s="36" t="str">
        <f>INDEX(Checker!$D$6:$D$405,MATCH($D13,Checker!$A$6:$A$405,0))</f>
        <v>Metro</v>
      </c>
      <c r="H13" s="40">
        <f>INDEX(Checker!$E$6:$E$405,MATCH($D13,Checker!$A$6:$A$405,0))</f>
        <v>5624</v>
      </c>
      <c r="I13" s="36" t="str">
        <f>INDEX(Checker!$F$6:$F$405,MATCH($D13,Checker!$A$6:$A$405,0))</f>
        <v>Yes</v>
      </c>
      <c r="J13" s="36">
        <f>INDEX(Checker!$G$6:$G$405,MATCH($D13,Checker!$A$6:$A$405,0))</f>
        <v>7</v>
      </c>
      <c r="K13" s="36" t="str">
        <f>INDEX(Checker!$H$6:$H$405,MATCH($D13,Checker!$A$6:$A$405,0))</f>
        <v>Economy</v>
      </c>
      <c r="L13" s="41">
        <f>INDEX(Checker!$I$6:$I$405,MATCH($D13,Checker!$A$6:$A$405,0))</f>
        <v>2</v>
      </c>
      <c r="M13" s="42" t="str">
        <f>IF($D13="","",IF($D13=Test_Synth,IF(F13=Lbl_Flight,IF(AND(K13=Lbl_Business,INDEX(Biz_Permitted,MATCH(E13,Caps_Grade,0))=Lbl_BizNo),Lbl_Viol,Lbl_Comp),Lbl_NA),INDEX(Checker!J$6:J$405,MATCH($D13,Checker!$A$6:$A$405,0))))</f>
        <v>Compliant</v>
      </c>
      <c r="N13" s="42" t="str">
        <f>IF($D13="","",IF($D13=Test_Synth,IF(F13=Lbl_Flight,IF(J13&lt;Min_Days_Booked,Lbl_Viol,Lbl_Comp),Lbl_NA),INDEX(Checker!K$6:K$405,MATCH($D13,Checker!$A$6:$A$405,0))))</f>
        <v>Compliant</v>
      </c>
      <c r="O13" s="42" t="str">
        <f>IF($D13="","",IF($D13=Test_Synth,IF(AND(F13=Lbl_Hotel,G13=Lbl_Metro),IF(H13&gt;INDEX(Caps_Metro,MATCH(E13,Caps_Grade,0)),Lbl_Viol,Lbl_Comp),Lbl_NA),INDEX(Checker!L$6:L$405,MATCH($D13,Checker!$A$6:$A$405,0))))</f>
        <v>n/a</v>
      </c>
      <c r="P13" s="42" t="str">
        <f>IF($D13="","",IF($D13=Test_Synth,IF(AND(F13=Lbl_Hotel,G13=Lbl_NonMetro),IF(H13&gt;INDEX(Caps_NonMetro,MATCH(E13,Caps_Grade,0)),Lbl_Viol,Lbl_Comp),Lbl_NA),INDEX(Checker!M$6:M$405,MATCH($D13,Checker!$A$6:$A$405,0))))</f>
        <v>n/a</v>
      </c>
      <c r="Q13" s="42" t="str">
        <f>IF($D13="","",IF($D13=Test_Synth,IF(F13=Lbl_Meals,IF(H13&gt;IF(G13=Lbl_Metro,Limit_Metro,Limit_NonMetro),Lbl_Viol,Lbl_Comp),Lbl_NA),INDEX(Checker!N$6:N$405,MATCH($D13,Checker!$A$6:$A$405,0))))</f>
        <v>n/a</v>
      </c>
      <c r="R13" s="42" t="str">
        <f>IF($D13="","",IF($D13=Test_Synth,IF(F13=Lbl_Alcohol,Lbl_Viol,Lbl_NA),INDEX(Checker!O$6:O$405,MATCH($D13,Checker!$A$6:$A$405,0))))</f>
        <v>n/a</v>
      </c>
      <c r="S13" s="42" t="str">
        <f>IF($D13="","",IF($D13=Test_Synth,IF(AND(I13=Lbl_NoReceipt,H13&gt;Receipt_Threshold),Lbl_Viol,Lbl_Comp),INDEX(Checker!P$6:P$405,MATCH($D13,Checker!$A$6:$A$405,0))))</f>
        <v>Compliant</v>
      </c>
      <c r="T13" s="42" t="str">
        <f>IF($D13="","",IF($D13=Test_Synth,IF(L13&gt;Late_Days,Lbl_Viol,Lbl_Comp),INDEX(Checker!Q$6:Q$405,MATCH($D13,Checker!$A$6:$A$405,0))))</f>
        <v>Compliant</v>
      </c>
      <c r="U13" s="36" t="str">
        <f>IF($D13="","",IF($D13=Test_Synth,IF(COUNTIF(M13:T13,Lbl_Viol)&gt;0,Lbl_Viol,Lbl_Comp),INDEX(Checker!$R$6:$R$405,MATCH($D13,Checker!$A$6:$A$405,0))))</f>
        <v>Compliant</v>
      </c>
      <c r="V13" s="36" t="str">
        <f>IF($D13="","",IF($D13=Test_Synth,_xlfn.TEXTJOIN(", ",TRUE(),IF(M13=Lbl_Viol,M$5,""),IF(N13=Lbl_Viol,N$5,""),IF(O13=Lbl_Viol,O$5,""),IF(P13=Lbl_Viol,P$5,""),IF(Q13=Lbl_Viol,Q$5,""),IF(R13=Lbl_Viol,R$5,""),IF(S13=Lbl_Viol,S$5,""),IF(T13=Lbl_Viol,T$5,"")),INDEX(Checker!$S$6:$S$405,MATCH($D13,Checker!$A$6:$A$405,0))))</f>
        <v/>
      </c>
      <c r="W13" s="36" t="str">
        <f>IF($D13="","",IF($D13=Test_Synth,IF(T13=Lbl_Viol,IF(L13&gt;Expired_Days,Lbl_Expired,Lbl_Late),""),INDEX(Checker!$T$6:$T$405,MATCH($D13,Checker!$A$6:$A$405,0))))</f>
        <v/>
      </c>
      <c r="X13" s="36" t="str">
        <f>IF($D13="","",IF($D13=Test_Synth,IF(U13=Lbl_Comp,"",IF(SUMPRODUCT((M13:T13=Lbl_Viol)*(M$4:T$4=Lbl_Definite))&gt;0,Lbl_Definite,Lbl_Assumption)),INDEX(Checker!$U$6:$U$405,MATCH($D13,Checker!$A$6:$A$405,0))))</f>
        <v/>
      </c>
      <c r="Y13" s="37" t="s">
        <v>813</v>
      </c>
      <c r="Z13" s="37"/>
      <c r="AA13" s="37"/>
      <c r="AB13" s="37"/>
      <c r="AC13" s="46" t="str">
        <f t="shared" si="0"/>
        <v>PASS</v>
      </c>
    </row>
    <row r="14" spans="1:29" ht="15" customHeight="1" x14ac:dyDescent="0.3">
      <c r="A14" s="35" t="s">
        <v>1090</v>
      </c>
      <c r="B14" s="35" t="s">
        <v>637</v>
      </c>
      <c r="C14" s="72" t="s">
        <v>1091</v>
      </c>
      <c r="D14" s="33" t="s">
        <v>462</v>
      </c>
      <c r="E14" s="36" t="str">
        <f>INDEX(Checker!$B$6:$B$405,MATCH($D14,Checker!$A$6:$A$405,0))</f>
        <v>M2</v>
      </c>
      <c r="F14" s="36" t="str">
        <f>INDEX(Checker!$C$6:$C$405,MATCH($D14,Checker!$A$6:$A$405,0))</f>
        <v>Flight</v>
      </c>
      <c r="G14" s="36" t="str">
        <f>INDEX(Checker!$D$6:$D$405,MATCH($D14,Checker!$A$6:$A$405,0))</f>
        <v>Non-metro</v>
      </c>
      <c r="H14" s="40">
        <f>INDEX(Checker!$E$6:$E$405,MATCH($D14,Checker!$A$6:$A$405,0))</f>
        <v>7368</v>
      </c>
      <c r="I14" s="36" t="str">
        <f>INDEX(Checker!$F$6:$F$405,MATCH($D14,Checker!$A$6:$A$405,0))</f>
        <v>Yes</v>
      </c>
      <c r="J14" s="36">
        <f>INDEX(Checker!$G$6:$G$405,MATCH($D14,Checker!$A$6:$A$405,0))</f>
        <v>8</v>
      </c>
      <c r="K14" s="36" t="str">
        <f>INDEX(Checker!$H$6:$H$405,MATCH($D14,Checker!$A$6:$A$405,0))</f>
        <v>Economy</v>
      </c>
      <c r="L14" s="41">
        <f>INDEX(Checker!$I$6:$I$405,MATCH($D14,Checker!$A$6:$A$405,0))</f>
        <v>14</v>
      </c>
      <c r="M14" s="42" t="str">
        <f>IF($D14="","",IF($D14=Test_Synth,IF(F14=Lbl_Flight,IF(AND(K14=Lbl_Business,INDEX(Biz_Permitted,MATCH(E14,Caps_Grade,0))=Lbl_BizNo),Lbl_Viol,Lbl_Comp),Lbl_NA),INDEX(Checker!J$6:J$405,MATCH($D14,Checker!$A$6:$A$405,0))))</f>
        <v>Compliant</v>
      </c>
      <c r="N14" s="42" t="str">
        <f>IF($D14="","",IF($D14=Test_Synth,IF(F14=Lbl_Flight,IF(J14&lt;Min_Days_Booked,Lbl_Viol,Lbl_Comp),Lbl_NA),INDEX(Checker!K$6:K$405,MATCH($D14,Checker!$A$6:$A$405,0))))</f>
        <v>Compliant</v>
      </c>
      <c r="O14" s="42" t="str">
        <f>IF($D14="","",IF($D14=Test_Synth,IF(AND(F14=Lbl_Hotel,G14=Lbl_Metro),IF(H14&gt;INDEX(Caps_Metro,MATCH(E14,Caps_Grade,0)),Lbl_Viol,Lbl_Comp),Lbl_NA),INDEX(Checker!L$6:L$405,MATCH($D14,Checker!$A$6:$A$405,0))))</f>
        <v>n/a</v>
      </c>
      <c r="P14" s="42" t="str">
        <f>IF($D14="","",IF($D14=Test_Synth,IF(AND(F14=Lbl_Hotel,G14=Lbl_NonMetro),IF(H14&gt;INDEX(Caps_NonMetro,MATCH(E14,Caps_Grade,0)),Lbl_Viol,Lbl_Comp),Lbl_NA),INDEX(Checker!M$6:M$405,MATCH($D14,Checker!$A$6:$A$405,0))))</f>
        <v>n/a</v>
      </c>
      <c r="Q14" s="42" t="str">
        <f>IF($D14="","",IF($D14=Test_Synth,IF(F14=Lbl_Meals,IF(H14&gt;IF(G14=Lbl_Metro,Limit_Metro,Limit_NonMetro),Lbl_Viol,Lbl_Comp),Lbl_NA),INDEX(Checker!N$6:N$405,MATCH($D14,Checker!$A$6:$A$405,0))))</f>
        <v>n/a</v>
      </c>
      <c r="R14" s="42" t="str">
        <f>IF($D14="","",IF($D14=Test_Synth,IF(F14=Lbl_Alcohol,Lbl_Viol,Lbl_NA),INDEX(Checker!O$6:O$405,MATCH($D14,Checker!$A$6:$A$405,0))))</f>
        <v>n/a</v>
      </c>
      <c r="S14" s="42" t="str">
        <f>IF($D14="","",IF($D14=Test_Synth,IF(AND(I14=Lbl_NoReceipt,H14&gt;Receipt_Threshold),Lbl_Viol,Lbl_Comp),INDEX(Checker!P$6:P$405,MATCH($D14,Checker!$A$6:$A$405,0))))</f>
        <v>Compliant</v>
      </c>
      <c r="T14" s="42" t="str">
        <f>IF($D14="","",IF($D14=Test_Synth,IF(L14&gt;Late_Days,Lbl_Viol,Lbl_Comp),INDEX(Checker!Q$6:Q$405,MATCH($D14,Checker!$A$6:$A$405,0))))</f>
        <v>Compliant</v>
      </c>
      <c r="U14" s="36" t="str">
        <f>IF($D14="","",IF($D14=Test_Synth,IF(COUNTIF(M14:T14,Lbl_Viol)&gt;0,Lbl_Viol,Lbl_Comp),INDEX(Checker!$R$6:$R$405,MATCH($D14,Checker!$A$6:$A$405,0))))</f>
        <v>Compliant</v>
      </c>
      <c r="V14" s="36" t="str">
        <f>IF($D14="","",IF($D14=Test_Synth,_xlfn.TEXTJOIN(", ",TRUE(),IF(M14=Lbl_Viol,M$5,""),IF(N14=Lbl_Viol,N$5,""),IF(O14=Lbl_Viol,O$5,""),IF(P14=Lbl_Viol,P$5,""),IF(Q14=Lbl_Viol,Q$5,""),IF(R14=Lbl_Viol,R$5,""),IF(S14=Lbl_Viol,S$5,""),IF(T14=Lbl_Viol,T$5,"")),INDEX(Checker!$S$6:$S$405,MATCH($D14,Checker!$A$6:$A$405,0))))</f>
        <v/>
      </c>
      <c r="W14" s="36" t="str">
        <f>IF($D14="","",IF($D14=Test_Synth,IF(T14=Lbl_Viol,IF(L14&gt;Expired_Days,Lbl_Expired,Lbl_Late),""),INDEX(Checker!$T$6:$T$405,MATCH($D14,Checker!$A$6:$A$405,0))))</f>
        <v/>
      </c>
      <c r="X14" s="36" t="str">
        <f>IF($D14="","",IF($D14=Test_Synth,IF(U14=Lbl_Comp,"",IF(SUMPRODUCT((M14:T14=Lbl_Viol)*(M$4:T$4=Lbl_Definite))&gt;0,Lbl_Definite,Lbl_Assumption)),INDEX(Checker!$U$6:$U$405,MATCH($D14,Checker!$A$6:$A$405,0))))</f>
        <v/>
      </c>
      <c r="Y14" s="37" t="s">
        <v>813</v>
      </c>
      <c r="Z14" s="37"/>
      <c r="AA14" s="37"/>
      <c r="AB14" s="37"/>
      <c r="AC14" s="46" t="str">
        <f t="shared" si="0"/>
        <v>PASS</v>
      </c>
    </row>
    <row r="15" spans="1:29" ht="15" customHeight="1" x14ac:dyDescent="0.3">
      <c r="A15" s="35" t="s">
        <v>1092</v>
      </c>
      <c r="B15" s="35" t="s">
        <v>637</v>
      </c>
      <c r="C15" s="72" t="s">
        <v>1093</v>
      </c>
      <c r="D15" s="33" t="s">
        <v>228</v>
      </c>
      <c r="E15" s="36" t="str">
        <f>INDEX(Checker!$B$6:$B$405,MATCH($D15,Checker!$A$6:$A$405,0))</f>
        <v>M2</v>
      </c>
      <c r="F15" s="36" t="str">
        <f>INDEX(Checker!$C$6:$C$405,MATCH($D15,Checker!$A$6:$A$405,0))</f>
        <v>Meals/DA</v>
      </c>
      <c r="G15" s="36" t="str">
        <f>INDEX(Checker!$D$6:$D$405,MATCH($D15,Checker!$A$6:$A$405,0))</f>
        <v>Metro</v>
      </c>
      <c r="H15" s="40">
        <f>INDEX(Checker!$E$6:$E$405,MATCH($D15,Checker!$A$6:$A$405,0))</f>
        <v>878</v>
      </c>
      <c r="I15" s="36" t="str">
        <f>INDEX(Checker!$F$6:$F$405,MATCH($D15,Checker!$A$6:$A$405,0))</f>
        <v>Yes</v>
      </c>
      <c r="J15" s="36" t="str">
        <f>INDEX(Checker!$G$6:$G$405,MATCH($D15,Checker!$A$6:$A$405,0))</f>
        <v/>
      </c>
      <c r="K15" s="36" t="str">
        <f>INDEX(Checker!$H$6:$H$405,MATCH($D15,Checker!$A$6:$A$405,0))</f>
        <v/>
      </c>
      <c r="L15" s="41">
        <f>INDEX(Checker!$I$6:$I$405,MATCH($D15,Checker!$A$6:$A$405,0))</f>
        <v>5</v>
      </c>
      <c r="M15" s="42" t="str">
        <f>IF($D15="","",IF($D15=Test_Synth,IF(F15=Lbl_Flight,IF(AND(K15=Lbl_Business,INDEX(Biz_Permitted,MATCH(E15,Caps_Grade,0))=Lbl_BizNo),Lbl_Viol,Lbl_Comp),Lbl_NA),INDEX(Checker!J$6:J$405,MATCH($D15,Checker!$A$6:$A$405,0))))</f>
        <v>n/a</v>
      </c>
      <c r="N15" s="42" t="str">
        <f>IF($D15="","",IF($D15=Test_Synth,IF(F15=Lbl_Flight,IF(J15&lt;Min_Days_Booked,Lbl_Viol,Lbl_Comp),Lbl_NA),INDEX(Checker!K$6:K$405,MATCH($D15,Checker!$A$6:$A$405,0))))</f>
        <v>n/a</v>
      </c>
      <c r="O15" s="42" t="str">
        <f>IF($D15="","",IF($D15=Test_Synth,IF(AND(F15=Lbl_Hotel,G15=Lbl_Metro),IF(H15&gt;INDEX(Caps_Metro,MATCH(E15,Caps_Grade,0)),Lbl_Viol,Lbl_Comp),Lbl_NA),INDEX(Checker!L$6:L$405,MATCH($D15,Checker!$A$6:$A$405,0))))</f>
        <v>n/a</v>
      </c>
      <c r="P15" s="42" t="str">
        <f>IF($D15="","",IF($D15=Test_Synth,IF(AND(F15=Lbl_Hotel,G15=Lbl_NonMetro),IF(H15&gt;INDEX(Caps_NonMetro,MATCH(E15,Caps_Grade,0)),Lbl_Viol,Lbl_Comp),Lbl_NA),INDEX(Checker!M$6:M$405,MATCH($D15,Checker!$A$6:$A$405,0))))</f>
        <v>n/a</v>
      </c>
      <c r="Q15" s="42" t="str">
        <f>IF($D15="","",IF($D15=Test_Synth,IF(F15=Lbl_Meals,IF(H15&gt;IF(G15=Lbl_Metro,Limit_Metro,Limit_NonMetro),Lbl_Viol,Lbl_Comp),Lbl_NA),INDEX(Checker!N$6:N$405,MATCH($D15,Checker!$A$6:$A$405,0))))</f>
        <v>Compliant</v>
      </c>
      <c r="R15" s="42" t="str">
        <f>IF($D15="","",IF($D15=Test_Synth,IF(F15=Lbl_Alcohol,Lbl_Viol,Lbl_NA),INDEX(Checker!O$6:O$405,MATCH($D15,Checker!$A$6:$A$405,0))))</f>
        <v>n/a</v>
      </c>
      <c r="S15" s="42" t="str">
        <f>IF($D15="","",IF($D15=Test_Synth,IF(AND(I15=Lbl_NoReceipt,H15&gt;Receipt_Threshold),Lbl_Viol,Lbl_Comp),INDEX(Checker!P$6:P$405,MATCH($D15,Checker!$A$6:$A$405,0))))</f>
        <v>Compliant</v>
      </c>
      <c r="T15" s="42" t="str">
        <f>IF($D15="","",IF($D15=Test_Synth,IF(L15&gt;Late_Days,Lbl_Viol,Lbl_Comp),INDEX(Checker!Q$6:Q$405,MATCH($D15,Checker!$A$6:$A$405,0))))</f>
        <v>Compliant</v>
      </c>
      <c r="U15" s="36" t="str">
        <f>IF($D15="","",IF($D15=Test_Synth,IF(COUNTIF(M15:T15,Lbl_Viol)&gt;0,Lbl_Viol,Lbl_Comp),INDEX(Checker!$R$6:$R$405,MATCH($D15,Checker!$A$6:$A$405,0))))</f>
        <v>Compliant</v>
      </c>
      <c r="V15" s="36" t="str">
        <f>IF($D15="","",IF($D15=Test_Synth,_xlfn.TEXTJOIN(", ",TRUE(),IF(M15=Lbl_Viol,M$5,""),IF(N15=Lbl_Viol,N$5,""),IF(O15=Lbl_Viol,O$5,""),IF(P15=Lbl_Viol,P$5,""),IF(Q15=Lbl_Viol,Q$5,""),IF(R15=Lbl_Viol,R$5,""),IF(S15=Lbl_Viol,S$5,""),IF(T15=Lbl_Viol,T$5,"")),INDEX(Checker!$S$6:$S$405,MATCH($D15,Checker!$A$6:$A$405,0))))</f>
        <v/>
      </c>
      <c r="W15" s="36" t="str">
        <f>IF($D15="","",IF($D15=Test_Synth,IF(T15=Lbl_Viol,IF(L15&gt;Expired_Days,Lbl_Expired,Lbl_Late),""),INDEX(Checker!$T$6:$T$405,MATCH($D15,Checker!$A$6:$A$405,0))))</f>
        <v/>
      </c>
      <c r="X15" s="36" t="str">
        <f>IF($D15="","",IF($D15=Test_Synth,IF(U15=Lbl_Comp,"",IF(SUMPRODUCT((M15:T15=Lbl_Viol)*(M$4:T$4=Lbl_Definite))&gt;0,Lbl_Definite,Lbl_Assumption)),INDEX(Checker!$U$6:$U$405,MATCH($D15,Checker!$A$6:$A$405,0))))</f>
        <v/>
      </c>
      <c r="Y15" s="37" t="s">
        <v>813</v>
      </c>
      <c r="Z15" s="37"/>
      <c r="AA15" s="37"/>
      <c r="AB15" s="37"/>
      <c r="AC15" s="46" t="str">
        <f t="shared" si="0"/>
        <v>PASS</v>
      </c>
    </row>
    <row r="16" spans="1:29" ht="15" customHeight="1" x14ac:dyDescent="0.3">
      <c r="A16" s="35" t="s">
        <v>1094</v>
      </c>
      <c r="B16" s="35" t="s">
        <v>643</v>
      </c>
      <c r="C16" s="72" t="s">
        <v>1095</v>
      </c>
      <c r="D16" s="33" t="s">
        <v>99</v>
      </c>
      <c r="E16" s="36" t="str">
        <f>INDEX(Checker!$B$6:$B$405,MATCH($D16,Checker!$A$6:$A$405,0))</f>
        <v>M1</v>
      </c>
      <c r="F16" s="36" t="str">
        <f>INDEX(Checker!$C$6:$C$405,MATCH($D16,Checker!$A$6:$A$405,0))</f>
        <v>Hotel</v>
      </c>
      <c r="G16" s="36" t="str">
        <f>INDEX(Checker!$D$6:$D$405,MATCH($D16,Checker!$A$6:$A$405,0))</f>
        <v>Metro</v>
      </c>
      <c r="H16" s="40">
        <f>INDEX(Checker!$E$6:$E$405,MATCH($D16,Checker!$A$6:$A$405,0))</f>
        <v>8155</v>
      </c>
      <c r="I16" s="36" t="str">
        <f>INDEX(Checker!$F$6:$F$405,MATCH($D16,Checker!$A$6:$A$405,0))</f>
        <v>Yes</v>
      </c>
      <c r="J16" s="36" t="str">
        <f>INDEX(Checker!$G$6:$G$405,MATCH($D16,Checker!$A$6:$A$405,0))</f>
        <v/>
      </c>
      <c r="K16" s="36" t="str">
        <f>INDEX(Checker!$H$6:$H$405,MATCH($D16,Checker!$A$6:$A$405,0))</f>
        <v/>
      </c>
      <c r="L16" s="41">
        <f>INDEX(Checker!$I$6:$I$405,MATCH($D16,Checker!$A$6:$A$405,0))</f>
        <v>9</v>
      </c>
      <c r="M16" s="42" t="str">
        <f>IF($D16="","",IF($D16=Test_Synth,IF(F16=Lbl_Flight,IF(AND(K16=Lbl_Business,INDEX(Biz_Permitted,MATCH(E16,Caps_Grade,0))=Lbl_BizNo),Lbl_Viol,Lbl_Comp),Lbl_NA),INDEX(Checker!J$6:J$405,MATCH($D16,Checker!$A$6:$A$405,0))))</f>
        <v>n/a</v>
      </c>
      <c r="N16" s="42" t="str">
        <f>IF($D16="","",IF($D16=Test_Synth,IF(F16=Lbl_Flight,IF(J16&lt;Min_Days_Booked,Lbl_Viol,Lbl_Comp),Lbl_NA),INDEX(Checker!K$6:K$405,MATCH($D16,Checker!$A$6:$A$405,0))))</f>
        <v>n/a</v>
      </c>
      <c r="O16" s="42" t="str">
        <f>IF($D16="","",IF($D16=Test_Synth,IF(AND(F16=Lbl_Hotel,G16=Lbl_Metro),IF(H16&gt;INDEX(Caps_Metro,MATCH(E16,Caps_Grade,0)),Lbl_Viol,Lbl_Comp),Lbl_NA),INDEX(Checker!L$6:L$405,MATCH($D16,Checker!$A$6:$A$405,0))))</f>
        <v>Violation</v>
      </c>
      <c r="P16" s="42" t="str">
        <f>IF($D16="","",IF($D16=Test_Synth,IF(AND(F16=Lbl_Hotel,G16=Lbl_NonMetro),IF(H16&gt;INDEX(Caps_NonMetro,MATCH(E16,Caps_Grade,0)),Lbl_Viol,Lbl_Comp),Lbl_NA),INDEX(Checker!M$6:M$405,MATCH($D16,Checker!$A$6:$A$405,0))))</f>
        <v>n/a</v>
      </c>
      <c r="Q16" s="42" t="str">
        <f>IF($D16="","",IF($D16=Test_Synth,IF(F16=Lbl_Meals,IF(H16&gt;IF(G16=Lbl_Metro,Limit_Metro,Limit_NonMetro),Lbl_Viol,Lbl_Comp),Lbl_NA),INDEX(Checker!N$6:N$405,MATCH($D16,Checker!$A$6:$A$405,0))))</f>
        <v>n/a</v>
      </c>
      <c r="R16" s="42" t="str">
        <f>IF($D16="","",IF($D16=Test_Synth,IF(F16=Lbl_Alcohol,Lbl_Viol,Lbl_NA),INDEX(Checker!O$6:O$405,MATCH($D16,Checker!$A$6:$A$405,0))))</f>
        <v>n/a</v>
      </c>
      <c r="S16" s="42" t="str">
        <f>IF($D16="","",IF($D16=Test_Synth,IF(AND(I16=Lbl_NoReceipt,H16&gt;Receipt_Threshold),Lbl_Viol,Lbl_Comp),INDEX(Checker!P$6:P$405,MATCH($D16,Checker!$A$6:$A$405,0))))</f>
        <v>Compliant</v>
      </c>
      <c r="T16" s="42" t="str">
        <f>IF($D16="","",IF($D16=Test_Synth,IF(L16&gt;Late_Days,Lbl_Viol,Lbl_Comp),INDEX(Checker!Q$6:Q$405,MATCH($D16,Checker!$A$6:$A$405,0))))</f>
        <v>Compliant</v>
      </c>
      <c r="U16" s="36" t="str">
        <f>IF($D16="","",IF($D16=Test_Synth,IF(COUNTIF(M16:T16,Lbl_Viol)&gt;0,Lbl_Viol,Lbl_Comp),INDEX(Checker!$R$6:$R$405,MATCH($D16,Checker!$A$6:$A$405,0))))</f>
        <v>Violation</v>
      </c>
      <c r="V16" s="36" t="str">
        <f>IF($D16="","",IF($D16=Test_Synth,_xlfn.TEXTJOIN(", ",TRUE(),IF(M16=Lbl_Viol,M$5,""),IF(N16=Lbl_Viol,N$5,""),IF(O16=Lbl_Viol,O$5,""),IF(P16=Lbl_Viol,P$5,""),IF(Q16=Lbl_Viol,Q$5,""),IF(R16=Lbl_Viol,R$5,""),IF(S16=Lbl_Viol,S$5,""),IF(T16=Lbl_Viol,T$5,"")),INDEX(Checker!$S$6:$S$405,MATCH($D16,Checker!$A$6:$A$405,0))))</f>
        <v>TP-04</v>
      </c>
      <c r="W16" s="36" t="str">
        <f>IF($D16="","",IF($D16=Test_Synth,IF(T16=Lbl_Viol,IF(L16&gt;Expired_Days,Lbl_Expired,Lbl_Late),""),INDEX(Checker!$T$6:$T$405,MATCH($D16,Checker!$A$6:$A$405,0))))</f>
        <v/>
      </c>
      <c r="X16" s="36" t="str">
        <f>IF($D16="","",IF($D16=Test_Synth,IF(U16=Lbl_Comp,"",IF(SUMPRODUCT((M16:T16=Lbl_Viol)*(M$4:T$4=Lbl_Definite))&gt;0,Lbl_Definite,Lbl_Assumption)),INDEX(Checker!$U$6:$U$405,MATCH($D16,Checker!$A$6:$A$405,0))))</f>
        <v>Assumption-based</v>
      </c>
      <c r="Y16" s="37" t="s">
        <v>812</v>
      </c>
      <c r="Z16" s="37" t="s">
        <v>643</v>
      </c>
      <c r="AA16" s="37"/>
      <c r="AB16" s="37" t="s">
        <v>823</v>
      </c>
      <c r="AC16" s="46" t="str">
        <f t="shared" si="0"/>
        <v>PASS</v>
      </c>
    </row>
    <row r="17" spans="1:29" ht="15" customHeight="1" x14ac:dyDescent="0.3">
      <c r="A17" s="35" t="s">
        <v>1096</v>
      </c>
      <c r="B17" s="35" t="s">
        <v>643</v>
      </c>
      <c r="C17" s="72" t="s">
        <v>1097</v>
      </c>
      <c r="D17" s="33" t="s">
        <v>431</v>
      </c>
      <c r="E17" s="36" t="str">
        <f>INDEX(Checker!$B$6:$B$405,MATCH($D17,Checker!$A$6:$A$405,0))</f>
        <v>M3</v>
      </c>
      <c r="F17" s="36" t="str">
        <f>INDEX(Checker!$C$6:$C$405,MATCH($D17,Checker!$A$6:$A$405,0))</f>
        <v>Hotel</v>
      </c>
      <c r="G17" s="36" t="str">
        <f>INDEX(Checker!$D$6:$D$405,MATCH($D17,Checker!$A$6:$A$405,0))</f>
        <v>Metro</v>
      </c>
      <c r="H17" s="40">
        <f>INDEX(Checker!$E$6:$E$405,MATCH($D17,Checker!$A$6:$A$405,0))</f>
        <v>12326</v>
      </c>
      <c r="I17" s="36" t="str">
        <f>INDEX(Checker!$F$6:$F$405,MATCH($D17,Checker!$A$6:$A$405,0))</f>
        <v>Yes</v>
      </c>
      <c r="J17" s="36" t="str">
        <f>INDEX(Checker!$G$6:$G$405,MATCH($D17,Checker!$A$6:$A$405,0))</f>
        <v/>
      </c>
      <c r="K17" s="36" t="str">
        <f>INDEX(Checker!$H$6:$H$405,MATCH($D17,Checker!$A$6:$A$405,0))</f>
        <v/>
      </c>
      <c r="L17" s="41">
        <f>INDEX(Checker!$I$6:$I$405,MATCH($D17,Checker!$A$6:$A$405,0))</f>
        <v>2</v>
      </c>
      <c r="M17" s="42" t="str">
        <f>IF($D17="","",IF($D17=Test_Synth,IF(F17=Lbl_Flight,IF(AND(K17=Lbl_Business,INDEX(Biz_Permitted,MATCH(E17,Caps_Grade,0))=Lbl_BizNo),Lbl_Viol,Lbl_Comp),Lbl_NA),INDEX(Checker!J$6:J$405,MATCH($D17,Checker!$A$6:$A$405,0))))</f>
        <v>n/a</v>
      </c>
      <c r="N17" s="42" t="str">
        <f>IF($D17="","",IF($D17=Test_Synth,IF(F17=Lbl_Flight,IF(J17&lt;Min_Days_Booked,Lbl_Viol,Lbl_Comp),Lbl_NA),INDEX(Checker!K$6:K$405,MATCH($D17,Checker!$A$6:$A$405,0))))</f>
        <v>n/a</v>
      </c>
      <c r="O17" s="42" t="str">
        <f>IF($D17="","",IF($D17=Test_Synth,IF(AND(F17=Lbl_Hotel,G17=Lbl_Metro),IF(H17&gt;INDEX(Caps_Metro,MATCH(E17,Caps_Grade,0)),Lbl_Viol,Lbl_Comp),Lbl_NA),INDEX(Checker!L$6:L$405,MATCH($D17,Checker!$A$6:$A$405,0))))</f>
        <v>Violation</v>
      </c>
      <c r="P17" s="42" t="str">
        <f>IF($D17="","",IF($D17=Test_Synth,IF(AND(F17=Lbl_Hotel,G17=Lbl_NonMetro),IF(H17&gt;INDEX(Caps_NonMetro,MATCH(E17,Caps_Grade,0)),Lbl_Viol,Lbl_Comp),Lbl_NA),INDEX(Checker!M$6:M$405,MATCH($D17,Checker!$A$6:$A$405,0))))</f>
        <v>n/a</v>
      </c>
      <c r="Q17" s="42" t="str">
        <f>IF($D17="","",IF($D17=Test_Synth,IF(F17=Lbl_Meals,IF(H17&gt;IF(G17=Lbl_Metro,Limit_Metro,Limit_NonMetro),Lbl_Viol,Lbl_Comp),Lbl_NA),INDEX(Checker!N$6:N$405,MATCH($D17,Checker!$A$6:$A$405,0))))</f>
        <v>n/a</v>
      </c>
      <c r="R17" s="42" t="str">
        <f>IF($D17="","",IF($D17=Test_Synth,IF(F17=Lbl_Alcohol,Lbl_Viol,Lbl_NA),INDEX(Checker!O$6:O$405,MATCH($D17,Checker!$A$6:$A$405,0))))</f>
        <v>n/a</v>
      </c>
      <c r="S17" s="42" t="str">
        <f>IF($D17="","",IF($D17=Test_Synth,IF(AND(I17=Lbl_NoReceipt,H17&gt;Receipt_Threshold),Lbl_Viol,Lbl_Comp),INDEX(Checker!P$6:P$405,MATCH($D17,Checker!$A$6:$A$405,0))))</f>
        <v>Compliant</v>
      </c>
      <c r="T17" s="42" t="str">
        <f>IF($D17="","",IF($D17=Test_Synth,IF(L17&gt;Late_Days,Lbl_Viol,Lbl_Comp),INDEX(Checker!Q$6:Q$405,MATCH($D17,Checker!$A$6:$A$405,0))))</f>
        <v>Compliant</v>
      </c>
      <c r="U17" s="36" t="str">
        <f>IF($D17="","",IF($D17=Test_Synth,IF(COUNTIF(M17:T17,Lbl_Viol)&gt;0,Lbl_Viol,Lbl_Comp),INDEX(Checker!$R$6:$R$405,MATCH($D17,Checker!$A$6:$A$405,0))))</f>
        <v>Violation</v>
      </c>
      <c r="V17" s="36" t="str">
        <f>IF($D17="","",IF($D17=Test_Synth,_xlfn.TEXTJOIN(", ",TRUE(),IF(M17=Lbl_Viol,M$5,""),IF(N17=Lbl_Viol,N$5,""),IF(O17=Lbl_Viol,O$5,""),IF(P17=Lbl_Viol,P$5,""),IF(Q17=Lbl_Viol,Q$5,""),IF(R17=Lbl_Viol,R$5,""),IF(S17=Lbl_Viol,S$5,""),IF(T17=Lbl_Viol,T$5,"")),INDEX(Checker!$S$6:$S$405,MATCH($D17,Checker!$A$6:$A$405,0))))</f>
        <v>TP-04</v>
      </c>
      <c r="W17" s="36" t="str">
        <f>IF($D17="","",IF($D17=Test_Synth,IF(T17=Lbl_Viol,IF(L17&gt;Expired_Days,Lbl_Expired,Lbl_Late),""),INDEX(Checker!$T$6:$T$405,MATCH($D17,Checker!$A$6:$A$405,0))))</f>
        <v/>
      </c>
      <c r="X17" s="36" t="str">
        <f>IF($D17="","",IF($D17=Test_Synth,IF(U17=Lbl_Comp,"",IF(SUMPRODUCT((M17:T17=Lbl_Viol)*(M$4:T$4=Lbl_Definite))&gt;0,Lbl_Definite,Lbl_Assumption)),INDEX(Checker!$U$6:$U$405,MATCH($D17,Checker!$A$6:$A$405,0))))</f>
        <v>Assumption-based</v>
      </c>
      <c r="Y17" s="37" t="s">
        <v>812</v>
      </c>
      <c r="Z17" s="37" t="s">
        <v>643</v>
      </c>
      <c r="AA17" s="37"/>
      <c r="AB17" s="37" t="s">
        <v>823</v>
      </c>
      <c r="AC17" s="46" t="str">
        <f t="shared" si="0"/>
        <v>PASS</v>
      </c>
    </row>
    <row r="18" spans="1:29" ht="15" customHeight="1" x14ac:dyDescent="0.3">
      <c r="A18" s="35" t="s">
        <v>1098</v>
      </c>
      <c r="B18" s="35" t="s">
        <v>643</v>
      </c>
      <c r="C18" s="72" t="s">
        <v>1099</v>
      </c>
      <c r="D18" s="33" t="s">
        <v>235</v>
      </c>
      <c r="E18" s="36" t="str">
        <f>INDEX(Checker!$B$6:$B$405,MATCH($D18,Checker!$A$6:$A$405,0))</f>
        <v>M5</v>
      </c>
      <c r="F18" s="36" t="str">
        <f>INDEX(Checker!$C$6:$C$405,MATCH($D18,Checker!$A$6:$A$405,0))</f>
        <v>Hotel</v>
      </c>
      <c r="G18" s="36" t="str">
        <f>INDEX(Checker!$D$6:$D$405,MATCH($D18,Checker!$A$6:$A$405,0))</f>
        <v>Metro</v>
      </c>
      <c r="H18" s="40">
        <f>INDEX(Checker!$E$6:$E$405,MATCH($D18,Checker!$A$6:$A$405,0))</f>
        <v>14858</v>
      </c>
      <c r="I18" s="36" t="str">
        <f>INDEX(Checker!$F$6:$F$405,MATCH($D18,Checker!$A$6:$A$405,0))</f>
        <v>Yes</v>
      </c>
      <c r="J18" s="36" t="str">
        <f>INDEX(Checker!$G$6:$G$405,MATCH($D18,Checker!$A$6:$A$405,0))</f>
        <v/>
      </c>
      <c r="K18" s="36" t="str">
        <f>INDEX(Checker!$H$6:$H$405,MATCH($D18,Checker!$A$6:$A$405,0))</f>
        <v/>
      </c>
      <c r="L18" s="41">
        <f>INDEX(Checker!$I$6:$I$405,MATCH($D18,Checker!$A$6:$A$405,0))</f>
        <v>5</v>
      </c>
      <c r="M18" s="42" t="str">
        <f>IF($D18="","",IF($D18=Test_Synth,IF(F18=Lbl_Flight,IF(AND(K18=Lbl_Business,INDEX(Biz_Permitted,MATCH(E18,Caps_Grade,0))=Lbl_BizNo),Lbl_Viol,Lbl_Comp),Lbl_NA),INDEX(Checker!J$6:J$405,MATCH($D18,Checker!$A$6:$A$405,0))))</f>
        <v>n/a</v>
      </c>
      <c r="N18" s="42" t="str">
        <f>IF($D18="","",IF($D18=Test_Synth,IF(F18=Lbl_Flight,IF(J18&lt;Min_Days_Booked,Lbl_Viol,Lbl_Comp),Lbl_NA),INDEX(Checker!K$6:K$405,MATCH($D18,Checker!$A$6:$A$405,0))))</f>
        <v>n/a</v>
      </c>
      <c r="O18" s="42" t="str">
        <f>IF($D18="","",IF($D18=Test_Synth,IF(AND(F18=Lbl_Hotel,G18=Lbl_Metro),IF(H18&gt;INDEX(Caps_Metro,MATCH(E18,Caps_Grade,0)),Lbl_Viol,Lbl_Comp),Lbl_NA),INDEX(Checker!L$6:L$405,MATCH($D18,Checker!$A$6:$A$405,0))))</f>
        <v>Violation</v>
      </c>
      <c r="P18" s="42" t="str">
        <f>IF($D18="","",IF($D18=Test_Synth,IF(AND(F18=Lbl_Hotel,G18=Lbl_NonMetro),IF(H18&gt;INDEX(Caps_NonMetro,MATCH(E18,Caps_Grade,0)),Lbl_Viol,Lbl_Comp),Lbl_NA),INDEX(Checker!M$6:M$405,MATCH($D18,Checker!$A$6:$A$405,0))))</f>
        <v>n/a</v>
      </c>
      <c r="Q18" s="42" t="str">
        <f>IF($D18="","",IF($D18=Test_Synth,IF(F18=Lbl_Meals,IF(H18&gt;IF(G18=Lbl_Metro,Limit_Metro,Limit_NonMetro),Lbl_Viol,Lbl_Comp),Lbl_NA),INDEX(Checker!N$6:N$405,MATCH($D18,Checker!$A$6:$A$405,0))))</f>
        <v>n/a</v>
      </c>
      <c r="R18" s="42" t="str">
        <f>IF($D18="","",IF($D18=Test_Synth,IF(F18=Lbl_Alcohol,Lbl_Viol,Lbl_NA),INDEX(Checker!O$6:O$405,MATCH($D18,Checker!$A$6:$A$405,0))))</f>
        <v>n/a</v>
      </c>
      <c r="S18" s="42" t="str">
        <f>IF($D18="","",IF($D18=Test_Synth,IF(AND(I18=Lbl_NoReceipt,H18&gt;Receipt_Threshold),Lbl_Viol,Lbl_Comp),INDEX(Checker!P$6:P$405,MATCH($D18,Checker!$A$6:$A$405,0))))</f>
        <v>Compliant</v>
      </c>
      <c r="T18" s="42" t="str">
        <f>IF($D18="","",IF($D18=Test_Synth,IF(L18&gt;Late_Days,Lbl_Viol,Lbl_Comp),INDEX(Checker!Q$6:Q$405,MATCH($D18,Checker!$A$6:$A$405,0))))</f>
        <v>Compliant</v>
      </c>
      <c r="U18" s="36" t="str">
        <f>IF($D18="","",IF($D18=Test_Synth,IF(COUNTIF(M18:T18,Lbl_Viol)&gt;0,Lbl_Viol,Lbl_Comp),INDEX(Checker!$R$6:$R$405,MATCH($D18,Checker!$A$6:$A$405,0))))</f>
        <v>Violation</v>
      </c>
      <c r="V18" s="36" t="str">
        <f>IF($D18="","",IF($D18=Test_Synth,_xlfn.TEXTJOIN(", ",TRUE(),IF(M18=Lbl_Viol,M$5,""),IF(N18=Lbl_Viol,N$5,""),IF(O18=Lbl_Viol,O$5,""),IF(P18=Lbl_Viol,P$5,""),IF(Q18=Lbl_Viol,Q$5,""),IF(R18=Lbl_Viol,R$5,""),IF(S18=Lbl_Viol,S$5,""),IF(T18=Lbl_Viol,T$5,"")),INDEX(Checker!$S$6:$S$405,MATCH($D18,Checker!$A$6:$A$405,0))))</f>
        <v>TP-04</v>
      </c>
      <c r="W18" s="36" t="str">
        <f>IF($D18="","",IF($D18=Test_Synth,IF(T18=Lbl_Viol,IF(L18&gt;Expired_Days,Lbl_Expired,Lbl_Late),""),INDEX(Checker!$T$6:$T$405,MATCH($D18,Checker!$A$6:$A$405,0))))</f>
        <v/>
      </c>
      <c r="X18" s="36" t="str">
        <f>IF($D18="","",IF($D18=Test_Synth,IF(U18=Lbl_Comp,"",IF(SUMPRODUCT((M18:T18=Lbl_Viol)*(M$4:T$4=Lbl_Definite))&gt;0,Lbl_Definite,Lbl_Assumption)),INDEX(Checker!$U$6:$U$405,MATCH($D18,Checker!$A$6:$A$405,0))))</f>
        <v>Assumption-based</v>
      </c>
      <c r="Y18" s="37" t="s">
        <v>812</v>
      </c>
      <c r="Z18" s="37" t="s">
        <v>643</v>
      </c>
      <c r="AA18" s="37"/>
      <c r="AB18" s="37" t="s">
        <v>823</v>
      </c>
      <c r="AC18" s="46" t="str">
        <f t="shared" si="0"/>
        <v>PASS</v>
      </c>
    </row>
    <row r="19" spans="1:29" ht="15" customHeight="1" x14ac:dyDescent="0.3">
      <c r="A19" s="35" t="s">
        <v>1100</v>
      </c>
      <c r="B19" s="35" t="s">
        <v>643</v>
      </c>
      <c r="C19" s="72" t="s">
        <v>1101</v>
      </c>
      <c r="D19" s="33" t="s">
        <v>339</v>
      </c>
      <c r="E19" s="36" t="str">
        <f>INDEX(Checker!$B$6:$B$405,MATCH($D19,Checker!$A$6:$A$405,0))</f>
        <v>M4</v>
      </c>
      <c r="F19" s="36" t="str">
        <f>INDEX(Checker!$C$6:$C$405,MATCH($D19,Checker!$A$6:$A$405,0))</f>
        <v>Hotel</v>
      </c>
      <c r="G19" s="36" t="str">
        <f>INDEX(Checker!$D$6:$D$405,MATCH($D19,Checker!$A$6:$A$405,0))</f>
        <v>Metro</v>
      </c>
      <c r="H19" s="40">
        <f>INDEX(Checker!$E$6:$E$405,MATCH($D19,Checker!$A$6:$A$405,0))</f>
        <v>9697</v>
      </c>
      <c r="I19" s="36" t="str">
        <f>INDEX(Checker!$F$6:$F$405,MATCH($D19,Checker!$A$6:$A$405,0))</f>
        <v>Yes</v>
      </c>
      <c r="J19" s="36" t="str">
        <f>INDEX(Checker!$G$6:$G$405,MATCH($D19,Checker!$A$6:$A$405,0))</f>
        <v/>
      </c>
      <c r="K19" s="36" t="str">
        <f>INDEX(Checker!$H$6:$H$405,MATCH($D19,Checker!$A$6:$A$405,0))</f>
        <v/>
      </c>
      <c r="L19" s="41">
        <f>INDEX(Checker!$I$6:$I$405,MATCH($D19,Checker!$A$6:$A$405,0))</f>
        <v>9</v>
      </c>
      <c r="M19" s="42" t="str">
        <f>IF($D19="","",IF($D19=Test_Synth,IF(F19=Lbl_Flight,IF(AND(K19=Lbl_Business,INDEX(Biz_Permitted,MATCH(E19,Caps_Grade,0))=Lbl_BizNo),Lbl_Viol,Lbl_Comp),Lbl_NA),INDEX(Checker!J$6:J$405,MATCH($D19,Checker!$A$6:$A$405,0))))</f>
        <v>n/a</v>
      </c>
      <c r="N19" s="42" t="str">
        <f>IF($D19="","",IF($D19=Test_Synth,IF(F19=Lbl_Flight,IF(J19&lt;Min_Days_Booked,Lbl_Viol,Lbl_Comp),Lbl_NA),INDEX(Checker!K$6:K$405,MATCH($D19,Checker!$A$6:$A$405,0))))</f>
        <v>n/a</v>
      </c>
      <c r="O19" s="42" t="str">
        <f>IF($D19="","",IF($D19=Test_Synth,IF(AND(F19=Lbl_Hotel,G19=Lbl_Metro),IF(H19&gt;INDEX(Caps_Metro,MATCH(E19,Caps_Grade,0)),Lbl_Viol,Lbl_Comp),Lbl_NA),INDEX(Checker!L$6:L$405,MATCH($D19,Checker!$A$6:$A$405,0))))</f>
        <v>Compliant</v>
      </c>
      <c r="P19" s="42" t="str">
        <f>IF($D19="","",IF($D19=Test_Synth,IF(AND(F19=Lbl_Hotel,G19=Lbl_NonMetro),IF(H19&gt;INDEX(Caps_NonMetro,MATCH(E19,Caps_Grade,0)),Lbl_Viol,Lbl_Comp),Lbl_NA),INDEX(Checker!M$6:M$405,MATCH($D19,Checker!$A$6:$A$405,0))))</f>
        <v>n/a</v>
      </c>
      <c r="Q19" s="42" t="str">
        <f>IF($D19="","",IF($D19=Test_Synth,IF(F19=Lbl_Meals,IF(H19&gt;IF(G19=Lbl_Metro,Limit_Metro,Limit_NonMetro),Lbl_Viol,Lbl_Comp),Lbl_NA),INDEX(Checker!N$6:N$405,MATCH($D19,Checker!$A$6:$A$405,0))))</f>
        <v>n/a</v>
      </c>
      <c r="R19" s="42" t="str">
        <f>IF($D19="","",IF($D19=Test_Synth,IF(F19=Lbl_Alcohol,Lbl_Viol,Lbl_NA),INDEX(Checker!O$6:O$405,MATCH($D19,Checker!$A$6:$A$405,0))))</f>
        <v>n/a</v>
      </c>
      <c r="S19" s="42" t="str">
        <f>IF($D19="","",IF($D19=Test_Synth,IF(AND(I19=Lbl_NoReceipt,H19&gt;Receipt_Threshold),Lbl_Viol,Lbl_Comp),INDEX(Checker!P$6:P$405,MATCH($D19,Checker!$A$6:$A$405,0))))</f>
        <v>Compliant</v>
      </c>
      <c r="T19" s="42" t="str">
        <f>IF($D19="","",IF($D19=Test_Synth,IF(L19&gt;Late_Days,Lbl_Viol,Lbl_Comp),INDEX(Checker!Q$6:Q$405,MATCH($D19,Checker!$A$6:$A$405,0))))</f>
        <v>Compliant</v>
      </c>
      <c r="U19" s="36" t="str">
        <f>IF($D19="","",IF($D19=Test_Synth,IF(COUNTIF(M19:T19,Lbl_Viol)&gt;0,Lbl_Viol,Lbl_Comp),INDEX(Checker!$R$6:$R$405,MATCH($D19,Checker!$A$6:$A$405,0))))</f>
        <v>Compliant</v>
      </c>
      <c r="V19" s="36" t="str">
        <f>IF($D19="","",IF($D19=Test_Synth,_xlfn.TEXTJOIN(", ",TRUE(),IF(M19=Lbl_Viol,M$5,""),IF(N19=Lbl_Viol,N$5,""),IF(O19=Lbl_Viol,O$5,""),IF(P19=Lbl_Viol,P$5,""),IF(Q19=Lbl_Viol,Q$5,""),IF(R19=Lbl_Viol,R$5,""),IF(S19=Lbl_Viol,S$5,""),IF(T19=Lbl_Viol,T$5,"")),INDEX(Checker!$S$6:$S$405,MATCH($D19,Checker!$A$6:$A$405,0))))</f>
        <v/>
      </c>
      <c r="W19" s="36" t="str">
        <f>IF($D19="","",IF($D19=Test_Synth,IF(T19=Lbl_Viol,IF(L19&gt;Expired_Days,Lbl_Expired,Lbl_Late),""),INDEX(Checker!$T$6:$T$405,MATCH($D19,Checker!$A$6:$A$405,0))))</f>
        <v/>
      </c>
      <c r="X19" s="36" t="str">
        <f>IF($D19="","",IF($D19=Test_Synth,IF(U19=Lbl_Comp,"",IF(SUMPRODUCT((M19:T19=Lbl_Viol)*(M$4:T$4=Lbl_Definite))&gt;0,Lbl_Definite,Lbl_Assumption)),INDEX(Checker!$U$6:$U$405,MATCH($D19,Checker!$A$6:$A$405,0))))</f>
        <v/>
      </c>
      <c r="Y19" s="37" t="s">
        <v>813</v>
      </c>
      <c r="Z19" s="37"/>
      <c r="AA19" s="37"/>
      <c r="AB19" s="37"/>
      <c r="AC19" s="46" t="str">
        <f t="shared" si="0"/>
        <v>PASS</v>
      </c>
    </row>
    <row r="20" spans="1:29" ht="15" customHeight="1" x14ac:dyDescent="0.3">
      <c r="A20" s="35" t="s">
        <v>1102</v>
      </c>
      <c r="B20" s="35" t="s">
        <v>643</v>
      </c>
      <c r="C20" s="72" t="s">
        <v>1103</v>
      </c>
      <c r="D20" s="33" t="s">
        <v>1057</v>
      </c>
      <c r="E20" s="37" t="s">
        <v>88</v>
      </c>
      <c r="F20" s="37" t="s">
        <v>89</v>
      </c>
      <c r="G20" s="37" t="s">
        <v>97</v>
      </c>
      <c r="H20" s="78">
        <v>7000</v>
      </c>
      <c r="I20" s="37" t="s">
        <v>90</v>
      </c>
      <c r="J20" s="37"/>
      <c r="K20" s="37"/>
      <c r="L20" s="37">
        <v>5</v>
      </c>
      <c r="M20" s="42" t="str">
        <f>IF($D20="","",IF($D20=Test_Synth,IF(F20=Lbl_Flight,IF(AND(K20=Lbl_Business,INDEX(Biz_Permitted,MATCH(E20,Caps_Grade,0))=Lbl_BizNo),Lbl_Viol,Lbl_Comp),Lbl_NA),INDEX(Checker!J$6:J$405,MATCH($D20,Checker!$A$6:$A$405,0))))</f>
        <v>n/a</v>
      </c>
      <c r="N20" s="42" t="str">
        <f>IF($D20="","",IF($D20=Test_Synth,IF(F20=Lbl_Flight,IF(J20&lt;Min_Days_Booked,Lbl_Viol,Lbl_Comp),Lbl_NA),INDEX(Checker!K$6:K$405,MATCH($D20,Checker!$A$6:$A$405,0))))</f>
        <v>n/a</v>
      </c>
      <c r="O20" s="42" t="str">
        <f>IF($D20="","",IF($D20=Test_Synth,IF(AND(F20=Lbl_Hotel,G20=Lbl_Metro),IF(H20&gt;INDEX(Caps_Metro,MATCH(E20,Caps_Grade,0)),Lbl_Viol,Lbl_Comp),Lbl_NA),INDEX(Checker!L$6:L$405,MATCH($D20,Checker!$A$6:$A$405,0))))</f>
        <v>Compliant</v>
      </c>
      <c r="P20" s="42" t="str">
        <f>IF($D20="","",IF($D20=Test_Synth,IF(AND(F20=Lbl_Hotel,G20=Lbl_NonMetro),IF(H20&gt;INDEX(Caps_NonMetro,MATCH(E20,Caps_Grade,0)),Lbl_Viol,Lbl_Comp),Lbl_NA),INDEX(Checker!M$6:M$405,MATCH($D20,Checker!$A$6:$A$405,0))))</f>
        <v>n/a</v>
      </c>
      <c r="Q20" s="42" t="str">
        <f>IF($D20="","",IF($D20=Test_Synth,IF(F20=Lbl_Meals,IF(H20&gt;IF(G20=Lbl_Metro,Limit_Metro,Limit_NonMetro),Lbl_Viol,Lbl_Comp),Lbl_NA),INDEX(Checker!N$6:N$405,MATCH($D20,Checker!$A$6:$A$405,0))))</f>
        <v>n/a</v>
      </c>
      <c r="R20" s="42" t="str">
        <f>IF($D20="","",IF($D20=Test_Synth,IF(F20=Lbl_Alcohol,Lbl_Viol,Lbl_NA),INDEX(Checker!O$6:O$405,MATCH($D20,Checker!$A$6:$A$405,0))))</f>
        <v>n/a</v>
      </c>
      <c r="S20" s="42" t="str">
        <f>IF($D20="","",IF($D20=Test_Synth,IF(AND(I20=Lbl_NoReceipt,H20&gt;Receipt_Threshold),Lbl_Viol,Lbl_Comp),INDEX(Checker!P$6:P$405,MATCH($D20,Checker!$A$6:$A$405,0))))</f>
        <v>Compliant</v>
      </c>
      <c r="T20" s="42" t="str">
        <f>IF($D20="","",IF($D20=Test_Synth,IF(L20&gt;Late_Days,Lbl_Viol,Lbl_Comp),INDEX(Checker!Q$6:Q$405,MATCH($D20,Checker!$A$6:$A$405,0))))</f>
        <v>Compliant</v>
      </c>
      <c r="U20" s="36" t="str">
        <f>IF($D20="","",IF($D20=Test_Synth,IF(COUNTIF(M20:T20,Lbl_Viol)&gt;0,Lbl_Viol,Lbl_Comp),INDEX(Checker!$R$6:$R$405,MATCH($D20,Checker!$A$6:$A$405,0))))</f>
        <v>Compliant</v>
      </c>
      <c r="V20" s="36" t="str">
        <f>IF($D20="","",IF($D20=Test_Synth,_xlfn.TEXTJOIN(", ",TRUE(),IF(M20=Lbl_Viol,M$5,""),IF(N20=Lbl_Viol,N$5,""),IF(O20=Lbl_Viol,O$5,""),IF(P20=Lbl_Viol,P$5,""),IF(Q20=Lbl_Viol,Q$5,""),IF(R20=Lbl_Viol,R$5,""),IF(S20=Lbl_Viol,S$5,""),IF(T20=Lbl_Viol,T$5,"")),INDEX(Checker!$S$6:$S$405,MATCH($D20,Checker!$A$6:$A$405,0))))</f>
        <v/>
      </c>
      <c r="W20" s="36" t="str">
        <f>IF($D20="","",IF($D20=Test_Synth,IF(T20=Lbl_Viol,IF(L20&gt;Expired_Days,Lbl_Expired,Lbl_Late),""),INDEX(Checker!$T$6:$T$405,MATCH($D20,Checker!$A$6:$A$405,0))))</f>
        <v/>
      </c>
      <c r="X20" s="36" t="str">
        <f>IF($D20="","",IF($D20=Test_Synth,IF(U20=Lbl_Comp,"",IF(SUMPRODUCT((M20:T20=Lbl_Viol)*(M$4:T$4=Lbl_Definite))&gt;0,Lbl_Definite,Lbl_Assumption)),INDEX(Checker!$U$6:$U$405,MATCH($D20,Checker!$A$6:$A$405,0))))</f>
        <v/>
      </c>
      <c r="Y20" s="37" t="s">
        <v>813</v>
      </c>
      <c r="Z20" s="37"/>
      <c r="AA20" s="37"/>
      <c r="AB20" s="37"/>
      <c r="AC20" s="46" t="str">
        <f t="shared" si="0"/>
        <v>PASS</v>
      </c>
    </row>
    <row r="21" spans="1:29" ht="15" customHeight="1" x14ac:dyDescent="0.3">
      <c r="A21" s="35" t="s">
        <v>1104</v>
      </c>
      <c r="B21" s="35" t="s">
        <v>643</v>
      </c>
      <c r="C21" s="72" t="s">
        <v>1105</v>
      </c>
      <c r="D21" s="33" t="s">
        <v>1057</v>
      </c>
      <c r="E21" s="37" t="s">
        <v>94</v>
      </c>
      <c r="F21" s="37" t="s">
        <v>89</v>
      </c>
      <c r="G21" s="37" t="s">
        <v>97</v>
      </c>
      <c r="H21" s="78">
        <v>7001</v>
      </c>
      <c r="I21" s="37" t="s">
        <v>90</v>
      </c>
      <c r="J21" s="37"/>
      <c r="K21" s="37"/>
      <c r="L21" s="37">
        <v>5</v>
      </c>
      <c r="M21" s="42" t="str">
        <f>IF($D21="","",IF($D21=Test_Synth,IF(F21=Lbl_Flight,IF(AND(K21=Lbl_Business,INDEX(Biz_Permitted,MATCH(E21,Caps_Grade,0))=Lbl_BizNo),Lbl_Viol,Lbl_Comp),Lbl_NA),INDEX(Checker!J$6:J$405,MATCH($D21,Checker!$A$6:$A$405,0))))</f>
        <v>n/a</v>
      </c>
      <c r="N21" s="42" t="str">
        <f>IF($D21="","",IF($D21=Test_Synth,IF(F21=Lbl_Flight,IF(J21&lt;Min_Days_Booked,Lbl_Viol,Lbl_Comp),Lbl_NA),INDEX(Checker!K$6:K$405,MATCH($D21,Checker!$A$6:$A$405,0))))</f>
        <v>n/a</v>
      </c>
      <c r="O21" s="42" t="str">
        <f>IF($D21="","",IF($D21=Test_Synth,IF(AND(F21=Lbl_Hotel,G21=Lbl_Metro),IF(H21&gt;INDEX(Caps_Metro,MATCH(E21,Caps_Grade,0)),Lbl_Viol,Lbl_Comp),Lbl_NA),INDEX(Checker!L$6:L$405,MATCH($D21,Checker!$A$6:$A$405,0))))</f>
        <v>Violation</v>
      </c>
      <c r="P21" s="42" t="str">
        <f>IF($D21="","",IF($D21=Test_Synth,IF(AND(F21=Lbl_Hotel,G21=Lbl_NonMetro),IF(H21&gt;INDEX(Caps_NonMetro,MATCH(E21,Caps_Grade,0)),Lbl_Viol,Lbl_Comp),Lbl_NA),INDEX(Checker!M$6:M$405,MATCH($D21,Checker!$A$6:$A$405,0))))</f>
        <v>n/a</v>
      </c>
      <c r="Q21" s="42" t="str">
        <f>IF($D21="","",IF($D21=Test_Synth,IF(F21=Lbl_Meals,IF(H21&gt;IF(G21=Lbl_Metro,Limit_Metro,Limit_NonMetro),Lbl_Viol,Lbl_Comp),Lbl_NA),INDEX(Checker!N$6:N$405,MATCH($D21,Checker!$A$6:$A$405,0))))</f>
        <v>n/a</v>
      </c>
      <c r="R21" s="42" t="str">
        <f>IF($D21="","",IF($D21=Test_Synth,IF(F21=Lbl_Alcohol,Lbl_Viol,Lbl_NA),INDEX(Checker!O$6:O$405,MATCH($D21,Checker!$A$6:$A$405,0))))</f>
        <v>n/a</v>
      </c>
      <c r="S21" s="42" t="str">
        <f>IF($D21="","",IF($D21=Test_Synth,IF(AND(I21=Lbl_NoReceipt,H21&gt;Receipt_Threshold),Lbl_Viol,Lbl_Comp),INDEX(Checker!P$6:P$405,MATCH($D21,Checker!$A$6:$A$405,0))))</f>
        <v>Compliant</v>
      </c>
      <c r="T21" s="42" t="str">
        <f>IF($D21="","",IF($D21=Test_Synth,IF(L21&gt;Late_Days,Lbl_Viol,Lbl_Comp),INDEX(Checker!Q$6:Q$405,MATCH($D21,Checker!$A$6:$A$405,0))))</f>
        <v>Compliant</v>
      </c>
      <c r="U21" s="36" t="str">
        <f>IF($D21="","",IF($D21=Test_Synth,IF(COUNTIF(M21:T21,Lbl_Viol)&gt;0,Lbl_Viol,Lbl_Comp),INDEX(Checker!$R$6:$R$405,MATCH($D21,Checker!$A$6:$A$405,0))))</f>
        <v>Violation</v>
      </c>
      <c r="V21" s="36" t="str">
        <f>IF($D21="","",IF($D21=Test_Synth,_xlfn.TEXTJOIN(", ",TRUE(),IF(M21=Lbl_Viol,M$5,""),IF(N21=Lbl_Viol,N$5,""),IF(O21=Lbl_Viol,O$5,""),IF(P21=Lbl_Viol,P$5,""),IF(Q21=Lbl_Viol,Q$5,""),IF(R21=Lbl_Viol,R$5,""),IF(S21=Lbl_Viol,S$5,""),IF(T21=Lbl_Viol,T$5,"")),INDEX(Checker!$S$6:$S$405,MATCH($D21,Checker!$A$6:$A$405,0))))</f>
        <v>TP-04</v>
      </c>
      <c r="W21" s="36" t="str">
        <f>IF($D21="","",IF($D21=Test_Synth,IF(T21=Lbl_Viol,IF(L21&gt;Expired_Days,Lbl_Expired,Lbl_Late),""),INDEX(Checker!$T$6:$T$405,MATCH($D21,Checker!$A$6:$A$405,0))))</f>
        <v/>
      </c>
      <c r="X21" s="36" t="str">
        <f>IF($D21="","",IF($D21=Test_Synth,IF(U21=Lbl_Comp,"",IF(SUMPRODUCT((M21:T21=Lbl_Viol)*(M$4:T$4=Lbl_Definite))&gt;0,Lbl_Definite,Lbl_Assumption)),INDEX(Checker!$U$6:$U$405,MATCH($D21,Checker!$A$6:$A$405,0))))</f>
        <v>Assumption-based</v>
      </c>
      <c r="Y21" s="37" t="s">
        <v>812</v>
      </c>
      <c r="Z21" s="37" t="s">
        <v>643</v>
      </c>
      <c r="AA21" s="37"/>
      <c r="AB21" s="37" t="s">
        <v>823</v>
      </c>
      <c r="AC21" s="46" t="str">
        <f t="shared" si="0"/>
        <v>PASS</v>
      </c>
    </row>
    <row r="22" spans="1:29" ht="15" customHeight="1" x14ac:dyDescent="0.3">
      <c r="A22" s="35" t="s">
        <v>1106</v>
      </c>
      <c r="B22" s="35" t="s">
        <v>646</v>
      </c>
      <c r="C22" s="72" t="s">
        <v>1107</v>
      </c>
      <c r="D22" s="33" t="s">
        <v>85</v>
      </c>
      <c r="E22" s="36" t="str">
        <f>INDEX(Checker!$B$6:$B$405,MATCH($D22,Checker!$A$6:$A$405,0))</f>
        <v>M1</v>
      </c>
      <c r="F22" s="36" t="str">
        <f>INDEX(Checker!$C$6:$C$405,MATCH($D22,Checker!$A$6:$A$405,0))</f>
        <v>Hotel</v>
      </c>
      <c r="G22" s="36" t="str">
        <f>INDEX(Checker!$D$6:$D$405,MATCH($D22,Checker!$A$6:$A$405,0))</f>
        <v>Non-metro</v>
      </c>
      <c r="H22" s="40">
        <f>INDEX(Checker!$E$6:$E$405,MATCH($D22,Checker!$A$6:$A$405,0))</f>
        <v>8815</v>
      </c>
      <c r="I22" s="36" t="str">
        <f>INDEX(Checker!$F$6:$F$405,MATCH($D22,Checker!$A$6:$A$405,0))</f>
        <v>Yes</v>
      </c>
      <c r="J22" s="36" t="str">
        <f>INDEX(Checker!$G$6:$G$405,MATCH($D22,Checker!$A$6:$A$405,0))</f>
        <v/>
      </c>
      <c r="K22" s="36" t="str">
        <f>INDEX(Checker!$H$6:$H$405,MATCH($D22,Checker!$A$6:$A$405,0))</f>
        <v/>
      </c>
      <c r="L22" s="41">
        <f>INDEX(Checker!$I$6:$I$405,MATCH($D22,Checker!$A$6:$A$405,0))</f>
        <v>5</v>
      </c>
      <c r="M22" s="42" t="str">
        <f>IF($D22="","",IF($D22=Test_Synth,IF(F22=Lbl_Flight,IF(AND(K22=Lbl_Business,INDEX(Biz_Permitted,MATCH(E22,Caps_Grade,0))=Lbl_BizNo),Lbl_Viol,Lbl_Comp),Lbl_NA),INDEX(Checker!J$6:J$405,MATCH($D22,Checker!$A$6:$A$405,0))))</f>
        <v>n/a</v>
      </c>
      <c r="N22" s="42" t="str">
        <f>IF($D22="","",IF($D22=Test_Synth,IF(F22=Lbl_Flight,IF(J22&lt;Min_Days_Booked,Lbl_Viol,Lbl_Comp),Lbl_NA),INDEX(Checker!K$6:K$405,MATCH($D22,Checker!$A$6:$A$405,0))))</f>
        <v>n/a</v>
      </c>
      <c r="O22" s="42" t="str">
        <f>IF($D22="","",IF($D22=Test_Synth,IF(AND(F22=Lbl_Hotel,G22=Lbl_Metro),IF(H22&gt;INDEX(Caps_Metro,MATCH(E22,Caps_Grade,0)),Lbl_Viol,Lbl_Comp),Lbl_NA),INDEX(Checker!L$6:L$405,MATCH($D22,Checker!$A$6:$A$405,0))))</f>
        <v>n/a</v>
      </c>
      <c r="P22" s="42" t="str">
        <f>IF($D22="","",IF($D22=Test_Synth,IF(AND(F22=Lbl_Hotel,G22=Lbl_NonMetro),IF(H22&gt;INDEX(Caps_NonMetro,MATCH(E22,Caps_Grade,0)),Lbl_Viol,Lbl_Comp),Lbl_NA),INDEX(Checker!M$6:M$405,MATCH($D22,Checker!$A$6:$A$405,0))))</f>
        <v>Violation</v>
      </c>
      <c r="Q22" s="42" t="str">
        <f>IF($D22="","",IF($D22=Test_Synth,IF(F22=Lbl_Meals,IF(H22&gt;IF(G22=Lbl_Metro,Limit_Metro,Limit_NonMetro),Lbl_Viol,Lbl_Comp),Lbl_NA),INDEX(Checker!N$6:N$405,MATCH($D22,Checker!$A$6:$A$405,0))))</f>
        <v>n/a</v>
      </c>
      <c r="R22" s="42" t="str">
        <f>IF($D22="","",IF($D22=Test_Synth,IF(F22=Lbl_Alcohol,Lbl_Viol,Lbl_NA),INDEX(Checker!O$6:O$405,MATCH($D22,Checker!$A$6:$A$405,0))))</f>
        <v>n/a</v>
      </c>
      <c r="S22" s="42" t="str">
        <f>IF($D22="","",IF($D22=Test_Synth,IF(AND(I22=Lbl_NoReceipt,H22&gt;Receipt_Threshold),Lbl_Viol,Lbl_Comp),INDEX(Checker!P$6:P$405,MATCH($D22,Checker!$A$6:$A$405,0))))</f>
        <v>Compliant</v>
      </c>
      <c r="T22" s="42" t="str">
        <f>IF($D22="","",IF($D22=Test_Synth,IF(L22&gt;Late_Days,Lbl_Viol,Lbl_Comp),INDEX(Checker!Q$6:Q$405,MATCH($D22,Checker!$A$6:$A$405,0))))</f>
        <v>Compliant</v>
      </c>
      <c r="U22" s="36" t="str">
        <f>IF($D22="","",IF($D22=Test_Synth,IF(COUNTIF(M22:T22,Lbl_Viol)&gt;0,Lbl_Viol,Lbl_Comp),INDEX(Checker!$R$6:$R$405,MATCH($D22,Checker!$A$6:$A$405,0))))</f>
        <v>Violation</v>
      </c>
      <c r="V22" s="36" t="str">
        <f>IF($D22="","",IF($D22=Test_Synth,_xlfn.TEXTJOIN(", ",TRUE(),IF(M22=Lbl_Viol,M$5,""),IF(N22=Lbl_Viol,N$5,""),IF(O22=Lbl_Viol,O$5,""),IF(P22=Lbl_Viol,P$5,""),IF(Q22=Lbl_Viol,Q$5,""),IF(R22=Lbl_Viol,R$5,""),IF(S22=Lbl_Viol,S$5,""),IF(T22=Lbl_Viol,T$5,"")),INDEX(Checker!$S$6:$S$405,MATCH($D22,Checker!$A$6:$A$405,0))))</f>
        <v>TP-05</v>
      </c>
      <c r="W22" s="36" t="str">
        <f>IF($D22="","",IF($D22=Test_Synth,IF(T22=Lbl_Viol,IF(L22&gt;Expired_Days,Lbl_Expired,Lbl_Late),""),INDEX(Checker!$T$6:$T$405,MATCH($D22,Checker!$A$6:$A$405,0))))</f>
        <v/>
      </c>
      <c r="X22" s="36" t="str">
        <f>IF($D22="","",IF($D22=Test_Synth,IF(U22=Lbl_Comp,"",IF(SUMPRODUCT((M22:T22=Lbl_Viol)*(M$4:T$4=Lbl_Definite))&gt;0,Lbl_Definite,Lbl_Assumption)),INDEX(Checker!$U$6:$U$405,MATCH($D22,Checker!$A$6:$A$405,0))))</f>
        <v>Assumption-based</v>
      </c>
      <c r="Y22" s="37" t="s">
        <v>812</v>
      </c>
      <c r="Z22" s="37" t="s">
        <v>646</v>
      </c>
      <c r="AA22" s="37"/>
      <c r="AB22" s="37" t="s">
        <v>823</v>
      </c>
      <c r="AC22" s="46" t="str">
        <f t="shared" si="0"/>
        <v>PASS</v>
      </c>
    </row>
    <row r="23" spans="1:29" ht="15" customHeight="1" x14ac:dyDescent="0.3">
      <c r="A23" s="35" t="s">
        <v>1108</v>
      </c>
      <c r="B23" s="35" t="s">
        <v>646</v>
      </c>
      <c r="C23" s="72" t="s">
        <v>1109</v>
      </c>
      <c r="D23" s="33" t="s">
        <v>563</v>
      </c>
      <c r="E23" s="36" t="str">
        <f>INDEX(Checker!$B$6:$B$405,MATCH($D23,Checker!$A$6:$A$405,0))</f>
        <v>M4</v>
      </c>
      <c r="F23" s="36" t="str">
        <f>INDEX(Checker!$C$6:$C$405,MATCH($D23,Checker!$A$6:$A$405,0))</f>
        <v>Hotel</v>
      </c>
      <c r="G23" s="36" t="str">
        <f>INDEX(Checker!$D$6:$D$405,MATCH($D23,Checker!$A$6:$A$405,0))</f>
        <v>Non-metro</v>
      </c>
      <c r="H23" s="40">
        <f>INDEX(Checker!$E$6:$E$405,MATCH($D23,Checker!$A$6:$A$405,0))</f>
        <v>13836</v>
      </c>
      <c r="I23" s="36" t="str">
        <f>INDEX(Checker!$F$6:$F$405,MATCH($D23,Checker!$A$6:$A$405,0))</f>
        <v>Yes</v>
      </c>
      <c r="J23" s="36" t="str">
        <f>INDEX(Checker!$G$6:$G$405,MATCH($D23,Checker!$A$6:$A$405,0))</f>
        <v/>
      </c>
      <c r="K23" s="36" t="str">
        <f>INDEX(Checker!$H$6:$H$405,MATCH($D23,Checker!$A$6:$A$405,0))</f>
        <v/>
      </c>
      <c r="L23" s="41">
        <f>INDEX(Checker!$I$6:$I$405,MATCH($D23,Checker!$A$6:$A$405,0))</f>
        <v>9</v>
      </c>
      <c r="M23" s="42" t="str">
        <f>IF($D23="","",IF($D23=Test_Synth,IF(F23=Lbl_Flight,IF(AND(K23=Lbl_Business,INDEX(Biz_Permitted,MATCH(E23,Caps_Grade,0))=Lbl_BizNo),Lbl_Viol,Lbl_Comp),Lbl_NA),INDEX(Checker!J$6:J$405,MATCH($D23,Checker!$A$6:$A$405,0))))</f>
        <v>n/a</v>
      </c>
      <c r="N23" s="42" t="str">
        <f>IF($D23="","",IF($D23=Test_Synth,IF(F23=Lbl_Flight,IF(J23&lt;Min_Days_Booked,Lbl_Viol,Lbl_Comp),Lbl_NA),INDEX(Checker!K$6:K$405,MATCH($D23,Checker!$A$6:$A$405,0))))</f>
        <v>n/a</v>
      </c>
      <c r="O23" s="42" t="str">
        <f>IF($D23="","",IF($D23=Test_Synth,IF(AND(F23=Lbl_Hotel,G23=Lbl_Metro),IF(H23&gt;INDEX(Caps_Metro,MATCH(E23,Caps_Grade,0)),Lbl_Viol,Lbl_Comp),Lbl_NA),INDEX(Checker!L$6:L$405,MATCH($D23,Checker!$A$6:$A$405,0))))</f>
        <v>n/a</v>
      </c>
      <c r="P23" s="42" t="str">
        <f>IF($D23="","",IF($D23=Test_Synth,IF(AND(F23=Lbl_Hotel,G23=Lbl_NonMetro),IF(H23&gt;INDEX(Caps_NonMetro,MATCH(E23,Caps_Grade,0)),Lbl_Viol,Lbl_Comp),Lbl_NA),INDEX(Checker!M$6:M$405,MATCH($D23,Checker!$A$6:$A$405,0))))</f>
        <v>Violation</v>
      </c>
      <c r="Q23" s="42" t="str">
        <f>IF($D23="","",IF($D23=Test_Synth,IF(F23=Lbl_Meals,IF(H23&gt;IF(G23=Lbl_Metro,Limit_Metro,Limit_NonMetro),Lbl_Viol,Lbl_Comp),Lbl_NA),INDEX(Checker!N$6:N$405,MATCH($D23,Checker!$A$6:$A$405,0))))</f>
        <v>n/a</v>
      </c>
      <c r="R23" s="42" t="str">
        <f>IF($D23="","",IF($D23=Test_Synth,IF(F23=Lbl_Alcohol,Lbl_Viol,Lbl_NA),INDEX(Checker!O$6:O$405,MATCH($D23,Checker!$A$6:$A$405,0))))</f>
        <v>n/a</v>
      </c>
      <c r="S23" s="42" t="str">
        <f>IF($D23="","",IF($D23=Test_Synth,IF(AND(I23=Lbl_NoReceipt,H23&gt;Receipt_Threshold),Lbl_Viol,Lbl_Comp),INDEX(Checker!P$6:P$405,MATCH($D23,Checker!$A$6:$A$405,0))))</f>
        <v>Compliant</v>
      </c>
      <c r="T23" s="42" t="str">
        <f>IF($D23="","",IF($D23=Test_Synth,IF(L23&gt;Late_Days,Lbl_Viol,Lbl_Comp),INDEX(Checker!Q$6:Q$405,MATCH($D23,Checker!$A$6:$A$405,0))))</f>
        <v>Compliant</v>
      </c>
      <c r="U23" s="36" t="str">
        <f>IF($D23="","",IF($D23=Test_Synth,IF(COUNTIF(M23:T23,Lbl_Viol)&gt;0,Lbl_Viol,Lbl_Comp),INDEX(Checker!$R$6:$R$405,MATCH($D23,Checker!$A$6:$A$405,0))))</f>
        <v>Violation</v>
      </c>
      <c r="V23" s="36" t="str">
        <f>IF($D23="","",IF($D23=Test_Synth,_xlfn.TEXTJOIN(", ",TRUE(),IF(M23=Lbl_Viol,M$5,""),IF(N23=Lbl_Viol,N$5,""),IF(O23=Lbl_Viol,O$5,""),IF(P23=Lbl_Viol,P$5,""),IF(Q23=Lbl_Viol,Q$5,""),IF(R23=Lbl_Viol,R$5,""),IF(S23=Lbl_Viol,S$5,""),IF(T23=Lbl_Viol,T$5,"")),INDEX(Checker!$S$6:$S$405,MATCH($D23,Checker!$A$6:$A$405,0))))</f>
        <v>TP-05</v>
      </c>
      <c r="W23" s="36" t="str">
        <f>IF($D23="","",IF($D23=Test_Synth,IF(T23=Lbl_Viol,IF(L23&gt;Expired_Days,Lbl_Expired,Lbl_Late),""),INDEX(Checker!$T$6:$T$405,MATCH($D23,Checker!$A$6:$A$405,0))))</f>
        <v/>
      </c>
      <c r="X23" s="36" t="str">
        <f>IF($D23="","",IF($D23=Test_Synth,IF(U23=Lbl_Comp,"",IF(SUMPRODUCT((M23:T23=Lbl_Viol)*(M$4:T$4=Lbl_Definite))&gt;0,Lbl_Definite,Lbl_Assumption)),INDEX(Checker!$U$6:$U$405,MATCH($D23,Checker!$A$6:$A$405,0))))</f>
        <v>Assumption-based</v>
      </c>
      <c r="Y23" s="37" t="s">
        <v>812</v>
      </c>
      <c r="Z23" s="37" t="s">
        <v>646</v>
      </c>
      <c r="AA23" s="37"/>
      <c r="AB23" s="37" t="s">
        <v>823</v>
      </c>
      <c r="AC23" s="46" t="str">
        <f t="shared" si="0"/>
        <v>PASS</v>
      </c>
    </row>
    <row r="24" spans="1:29" ht="15" customHeight="1" x14ac:dyDescent="0.3">
      <c r="A24" s="35" t="s">
        <v>1110</v>
      </c>
      <c r="B24" s="35" t="s">
        <v>646</v>
      </c>
      <c r="C24" s="72" t="s">
        <v>1111</v>
      </c>
      <c r="D24" s="33" t="s">
        <v>423</v>
      </c>
      <c r="E24" s="36" t="str">
        <f>INDEX(Checker!$B$6:$B$405,MATCH($D24,Checker!$A$6:$A$405,0))</f>
        <v>M3</v>
      </c>
      <c r="F24" s="36" t="str">
        <f>INDEX(Checker!$C$6:$C$405,MATCH($D24,Checker!$A$6:$A$405,0))</f>
        <v>Hotel</v>
      </c>
      <c r="G24" s="36" t="str">
        <f>INDEX(Checker!$D$6:$D$405,MATCH($D24,Checker!$A$6:$A$405,0))</f>
        <v>Non-metro</v>
      </c>
      <c r="H24" s="40">
        <f>INDEX(Checker!$E$6:$E$405,MATCH($D24,Checker!$A$6:$A$405,0))</f>
        <v>3644</v>
      </c>
      <c r="I24" s="36" t="str">
        <f>INDEX(Checker!$F$6:$F$405,MATCH($D24,Checker!$A$6:$A$405,0))</f>
        <v>Yes</v>
      </c>
      <c r="J24" s="36" t="str">
        <f>INDEX(Checker!$G$6:$G$405,MATCH($D24,Checker!$A$6:$A$405,0))</f>
        <v/>
      </c>
      <c r="K24" s="36" t="str">
        <f>INDEX(Checker!$H$6:$H$405,MATCH($D24,Checker!$A$6:$A$405,0))</f>
        <v/>
      </c>
      <c r="L24" s="41">
        <f>INDEX(Checker!$I$6:$I$405,MATCH($D24,Checker!$A$6:$A$405,0))</f>
        <v>2</v>
      </c>
      <c r="M24" s="42" t="str">
        <f>IF($D24="","",IF($D24=Test_Synth,IF(F24=Lbl_Flight,IF(AND(K24=Lbl_Business,INDEX(Biz_Permitted,MATCH(E24,Caps_Grade,0))=Lbl_BizNo),Lbl_Viol,Lbl_Comp),Lbl_NA),INDEX(Checker!J$6:J$405,MATCH($D24,Checker!$A$6:$A$405,0))))</f>
        <v>n/a</v>
      </c>
      <c r="N24" s="42" t="str">
        <f>IF($D24="","",IF($D24=Test_Synth,IF(F24=Lbl_Flight,IF(J24&lt;Min_Days_Booked,Lbl_Viol,Lbl_Comp),Lbl_NA),INDEX(Checker!K$6:K$405,MATCH($D24,Checker!$A$6:$A$405,0))))</f>
        <v>n/a</v>
      </c>
      <c r="O24" s="42" t="str">
        <f>IF($D24="","",IF($D24=Test_Synth,IF(AND(F24=Lbl_Hotel,G24=Lbl_Metro),IF(H24&gt;INDEX(Caps_Metro,MATCH(E24,Caps_Grade,0)),Lbl_Viol,Lbl_Comp),Lbl_NA),INDEX(Checker!L$6:L$405,MATCH($D24,Checker!$A$6:$A$405,0))))</f>
        <v>n/a</v>
      </c>
      <c r="P24" s="42" t="str">
        <f>IF($D24="","",IF($D24=Test_Synth,IF(AND(F24=Lbl_Hotel,G24=Lbl_NonMetro),IF(H24&gt;INDEX(Caps_NonMetro,MATCH(E24,Caps_Grade,0)),Lbl_Viol,Lbl_Comp),Lbl_NA),INDEX(Checker!M$6:M$405,MATCH($D24,Checker!$A$6:$A$405,0))))</f>
        <v>Compliant</v>
      </c>
      <c r="Q24" s="42" t="str">
        <f>IF($D24="","",IF($D24=Test_Synth,IF(F24=Lbl_Meals,IF(H24&gt;IF(G24=Lbl_Metro,Limit_Metro,Limit_NonMetro),Lbl_Viol,Lbl_Comp),Lbl_NA),INDEX(Checker!N$6:N$405,MATCH($D24,Checker!$A$6:$A$405,0))))</f>
        <v>n/a</v>
      </c>
      <c r="R24" s="42" t="str">
        <f>IF($D24="","",IF($D24=Test_Synth,IF(F24=Lbl_Alcohol,Lbl_Viol,Lbl_NA),INDEX(Checker!O$6:O$405,MATCH($D24,Checker!$A$6:$A$405,0))))</f>
        <v>n/a</v>
      </c>
      <c r="S24" s="42" t="str">
        <f>IF($D24="","",IF($D24=Test_Synth,IF(AND(I24=Lbl_NoReceipt,H24&gt;Receipt_Threshold),Lbl_Viol,Lbl_Comp),INDEX(Checker!P$6:P$405,MATCH($D24,Checker!$A$6:$A$405,0))))</f>
        <v>Compliant</v>
      </c>
      <c r="T24" s="42" t="str">
        <f>IF($D24="","",IF($D24=Test_Synth,IF(L24&gt;Late_Days,Lbl_Viol,Lbl_Comp),INDEX(Checker!Q$6:Q$405,MATCH($D24,Checker!$A$6:$A$405,0))))</f>
        <v>Compliant</v>
      </c>
      <c r="U24" s="36" t="str">
        <f>IF($D24="","",IF($D24=Test_Synth,IF(COUNTIF(M24:T24,Lbl_Viol)&gt;0,Lbl_Viol,Lbl_Comp),INDEX(Checker!$R$6:$R$405,MATCH($D24,Checker!$A$6:$A$405,0))))</f>
        <v>Compliant</v>
      </c>
      <c r="V24" s="36" t="str">
        <f>IF($D24="","",IF($D24=Test_Synth,_xlfn.TEXTJOIN(", ",TRUE(),IF(M24=Lbl_Viol,M$5,""),IF(N24=Lbl_Viol,N$5,""),IF(O24=Lbl_Viol,O$5,""),IF(P24=Lbl_Viol,P$5,""),IF(Q24=Lbl_Viol,Q$5,""),IF(R24=Lbl_Viol,R$5,""),IF(S24=Lbl_Viol,S$5,""),IF(T24=Lbl_Viol,T$5,"")),INDEX(Checker!$S$6:$S$405,MATCH($D24,Checker!$A$6:$A$405,0))))</f>
        <v/>
      </c>
      <c r="W24" s="36" t="str">
        <f>IF($D24="","",IF($D24=Test_Synth,IF(T24=Lbl_Viol,IF(L24&gt;Expired_Days,Lbl_Expired,Lbl_Late),""),INDEX(Checker!$T$6:$T$405,MATCH($D24,Checker!$A$6:$A$405,0))))</f>
        <v/>
      </c>
      <c r="X24" s="36" t="str">
        <f>IF($D24="","",IF($D24=Test_Synth,IF(U24=Lbl_Comp,"",IF(SUMPRODUCT((M24:T24=Lbl_Viol)*(M$4:T$4=Lbl_Definite))&gt;0,Lbl_Definite,Lbl_Assumption)),INDEX(Checker!$U$6:$U$405,MATCH($D24,Checker!$A$6:$A$405,0))))</f>
        <v/>
      </c>
      <c r="Y24" s="37" t="s">
        <v>813</v>
      </c>
      <c r="Z24" s="37"/>
      <c r="AA24" s="37"/>
      <c r="AB24" s="37"/>
      <c r="AC24" s="46" t="str">
        <f t="shared" si="0"/>
        <v>PASS</v>
      </c>
    </row>
    <row r="25" spans="1:29" ht="15" customHeight="1" x14ac:dyDescent="0.3">
      <c r="A25" s="35" t="s">
        <v>1112</v>
      </c>
      <c r="B25" s="35" t="s">
        <v>646</v>
      </c>
      <c r="C25" s="72" t="s">
        <v>1113</v>
      </c>
      <c r="D25" s="33" t="s">
        <v>1057</v>
      </c>
      <c r="E25" s="37" t="s">
        <v>88</v>
      </c>
      <c r="F25" s="37" t="s">
        <v>89</v>
      </c>
      <c r="G25" s="37" t="s">
        <v>82</v>
      </c>
      <c r="H25" s="78">
        <v>4500</v>
      </c>
      <c r="I25" s="37" t="s">
        <v>90</v>
      </c>
      <c r="J25" s="37"/>
      <c r="K25" s="37"/>
      <c r="L25" s="37">
        <v>5</v>
      </c>
      <c r="M25" s="42" t="str">
        <f>IF($D25="","",IF($D25=Test_Synth,IF(F25=Lbl_Flight,IF(AND(K25=Lbl_Business,INDEX(Biz_Permitted,MATCH(E25,Caps_Grade,0))=Lbl_BizNo),Lbl_Viol,Lbl_Comp),Lbl_NA),INDEX(Checker!J$6:J$405,MATCH($D25,Checker!$A$6:$A$405,0))))</f>
        <v>n/a</v>
      </c>
      <c r="N25" s="42" t="str">
        <f>IF($D25="","",IF($D25=Test_Synth,IF(F25=Lbl_Flight,IF(J25&lt;Min_Days_Booked,Lbl_Viol,Lbl_Comp),Lbl_NA),INDEX(Checker!K$6:K$405,MATCH($D25,Checker!$A$6:$A$405,0))))</f>
        <v>n/a</v>
      </c>
      <c r="O25" s="42" t="str">
        <f>IF($D25="","",IF($D25=Test_Synth,IF(AND(F25=Lbl_Hotel,G25=Lbl_Metro),IF(H25&gt;INDEX(Caps_Metro,MATCH(E25,Caps_Grade,0)),Lbl_Viol,Lbl_Comp),Lbl_NA),INDEX(Checker!L$6:L$405,MATCH($D25,Checker!$A$6:$A$405,0))))</f>
        <v>n/a</v>
      </c>
      <c r="P25" s="42" t="str">
        <f>IF($D25="","",IF($D25=Test_Synth,IF(AND(F25=Lbl_Hotel,G25=Lbl_NonMetro),IF(H25&gt;INDEX(Caps_NonMetro,MATCH(E25,Caps_Grade,0)),Lbl_Viol,Lbl_Comp),Lbl_NA),INDEX(Checker!M$6:M$405,MATCH($D25,Checker!$A$6:$A$405,0))))</f>
        <v>Compliant</v>
      </c>
      <c r="Q25" s="42" t="str">
        <f>IF($D25="","",IF($D25=Test_Synth,IF(F25=Lbl_Meals,IF(H25&gt;IF(G25=Lbl_Metro,Limit_Metro,Limit_NonMetro),Lbl_Viol,Lbl_Comp),Lbl_NA),INDEX(Checker!N$6:N$405,MATCH($D25,Checker!$A$6:$A$405,0))))</f>
        <v>n/a</v>
      </c>
      <c r="R25" s="42" t="str">
        <f>IF($D25="","",IF($D25=Test_Synth,IF(F25=Lbl_Alcohol,Lbl_Viol,Lbl_NA),INDEX(Checker!O$6:O$405,MATCH($D25,Checker!$A$6:$A$405,0))))</f>
        <v>n/a</v>
      </c>
      <c r="S25" s="42" t="str">
        <f>IF($D25="","",IF($D25=Test_Synth,IF(AND(I25=Lbl_NoReceipt,H25&gt;Receipt_Threshold),Lbl_Viol,Lbl_Comp),INDEX(Checker!P$6:P$405,MATCH($D25,Checker!$A$6:$A$405,0))))</f>
        <v>Compliant</v>
      </c>
      <c r="T25" s="42" t="str">
        <f>IF($D25="","",IF($D25=Test_Synth,IF(L25&gt;Late_Days,Lbl_Viol,Lbl_Comp),INDEX(Checker!Q$6:Q$405,MATCH($D25,Checker!$A$6:$A$405,0))))</f>
        <v>Compliant</v>
      </c>
      <c r="U25" s="36" t="str">
        <f>IF($D25="","",IF($D25=Test_Synth,IF(COUNTIF(M25:T25,Lbl_Viol)&gt;0,Lbl_Viol,Lbl_Comp),INDEX(Checker!$R$6:$R$405,MATCH($D25,Checker!$A$6:$A$405,0))))</f>
        <v>Compliant</v>
      </c>
      <c r="V25" s="36" t="str">
        <f>IF($D25="","",IF($D25=Test_Synth,_xlfn.TEXTJOIN(", ",TRUE(),IF(M25=Lbl_Viol,M$5,""),IF(N25=Lbl_Viol,N$5,""),IF(O25=Lbl_Viol,O$5,""),IF(P25=Lbl_Viol,P$5,""),IF(Q25=Lbl_Viol,Q$5,""),IF(R25=Lbl_Viol,R$5,""),IF(S25=Lbl_Viol,S$5,""),IF(T25=Lbl_Viol,T$5,"")),INDEX(Checker!$S$6:$S$405,MATCH($D25,Checker!$A$6:$A$405,0))))</f>
        <v/>
      </c>
      <c r="W25" s="36" t="str">
        <f>IF($D25="","",IF($D25=Test_Synth,IF(T25=Lbl_Viol,IF(L25&gt;Expired_Days,Lbl_Expired,Lbl_Late),""),INDEX(Checker!$T$6:$T$405,MATCH($D25,Checker!$A$6:$A$405,0))))</f>
        <v/>
      </c>
      <c r="X25" s="36" t="str">
        <f>IF($D25="","",IF($D25=Test_Synth,IF(U25=Lbl_Comp,"",IF(SUMPRODUCT((M25:T25=Lbl_Viol)*(M$4:T$4=Lbl_Definite))&gt;0,Lbl_Definite,Lbl_Assumption)),INDEX(Checker!$U$6:$U$405,MATCH($D25,Checker!$A$6:$A$405,0))))</f>
        <v/>
      </c>
      <c r="Y25" s="37" t="s">
        <v>813</v>
      </c>
      <c r="Z25" s="37"/>
      <c r="AA25" s="37"/>
      <c r="AB25" s="37"/>
      <c r="AC25" s="46" t="str">
        <f t="shared" si="0"/>
        <v>PASS</v>
      </c>
    </row>
    <row r="26" spans="1:29" ht="15" customHeight="1" x14ac:dyDescent="0.3">
      <c r="A26" s="35" t="s">
        <v>1114</v>
      </c>
      <c r="B26" s="35" t="s">
        <v>646</v>
      </c>
      <c r="C26" s="72" t="s">
        <v>1115</v>
      </c>
      <c r="D26" s="33" t="s">
        <v>1057</v>
      </c>
      <c r="E26" s="37" t="s">
        <v>94</v>
      </c>
      <c r="F26" s="37" t="s">
        <v>89</v>
      </c>
      <c r="G26" s="37" t="s">
        <v>82</v>
      </c>
      <c r="H26" s="78">
        <v>4501</v>
      </c>
      <c r="I26" s="37" t="s">
        <v>90</v>
      </c>
      <c r="J26" s="37"/>
      <c r="K26" s="37"/>
      <c r="L26" s="37">
        <v>5</v>
      </c>
      <c r="M26" s="42" t="str">
        <f>IF($D26="","",IF($D26=Test_Synth,IF(F26=Lbl_Flight,IF(AND(K26=Lbl_Business,INDEX(Biz_Permitted,MATCH(E26,Caps_Grade,0))=Lbl_BizNo),Lbl_Viol,Lbl_Comp),Lbl_NA),INDEX(Checker!J$6:J$405,MATCH($D26,Checker!$A$6:$A$405,0))))</f>
        <v>n/a</v>
      </c>
      <c r="N26" s="42" t="str">
        <f>IF($D26="","",IF($D26=Test_Synth,IF(F26=Lbl_Flight,IF(J26&lt;Min_Days_Booked,Lbl_Viol,Lbl_Comp),Lbl_NA),INDEX(Checker!K$6:K$405,MATCH($D26,Checker!$A$6:$A$405,0))))</f>
        <v>n/a</v>
      </c>
      <c r="O26" s="42" t="str">
        <f>IF($D26="","",IF($D26=Test_Synth,IF(AND(F26=Lbl_Hotel,G26=Lbl_Metro),IF(H26&gt;INDEX(Caps_Metro,MATCH(E26,Caps_Grade,0)),Lbl_Viol,Lbl_Comp),Lbl_NA),INDEX(Checker!L$6:L$405,MATCH($D26,Checker!$A$6:$A$405,0))))</f>
        <v>n/a</v>
      </c>
      <c r="P26" s="42" t="str">
        <f>IF($D26="","",IF($D26=Test_Synth,IF(AND(F26=Lbl_Hotel,G26=Lbl_NonMetro),IF(H26&gt;INDEX(Caps_NonMetro,MATCH(E26,Caps_Grade,0)),Lbl_Viol,Lbl_Comp),Lbl_NA),INDEX(Checker!M$6:M$405,MATCH($D26,Checker!$A$6:$A$405,0))))</f>
        <v>Violation</v>
      </c>
      <c r="Q26" s="42" t="str">
        <f>IF($D26="","",IF($D26=Test_Synth,IF(F26=Lbl_Meals,IF(H26&gt;IF(G26=Lbl_Metro,Limit_Metro,Limit_NonMetro),Lbl_Viol,Lbl_Comp),Lbl_NA),INDEX(Checker!N$6:N$405,MATCH($D26,Checker!$A$6:$A$405,0))))</f>
        <v>n/a</v>
      </c>
      <c r="R26" s="42" t="str">
        <f>IF($D26="","",IF($D26=Test_Synth,IF(F26=Lbl_Alcohol,Lbl_Viol,Lbl_NA),INDEX(Checker!O$6:O$405,MATCH($D26,Checker!$A$6:$A$405,0))))</f>
        <v>n/a</v>
      </c>
      <c r="S26" s="42" t="str">
        <f>IF($D26="","",IF($D26=Test_Synth,IF(AND(I26=Lbl_NoReceipt,H26&gt;Receipt_Threshold),Lbl_Viol,Lbl_Comp),INDEX(Checker!P$6:P$405,MATCH($D26,Checker!$A$6:$A$405,0))))</f>
        <v>Compliant</v>
      </c>
      <c r="T26" s="42" t="str">
        <f>IF($D26="","",IF($D26=Test_Synth,IF(L26&gt;Late_Days,Lbl_Viol,Lbl_Comp),INDEX(Checker!Q$6:Q$405,MATCH($D26,Checker!$A$6:$A$405,0))))</f>
        <v>Compliant</v>
      </c>
      <c r="U26" s="36" t="str">
        <f>IF($D26="","",IF($D26=Test_Synth,IF(COUNTIF(M26:T26,Lbl_Viol)&gt;0,Lbl_Viol,Lbl_Comp),INDEX(Checker!$R$6:$R$405,MATCH($D26,Checker!$A$6:$A$405,0))))</f>
        <v>Violation</v>
      </c>
      <c r="V26" s="36" t="str">
        <f>IF($D26="","",IF($D26=Test_Synth,_xlfn.TEXTJOIN(", ",TRUE(),IF(M26=Lbl_Viol,M$5,""),IF(N26=Lbl_Viol,N$5,""),IF(O26=Lbl_Viol,O$5,""),IF(P26=Lbl_Viol,P$5,""),IF(Q26=Lbl_Viol,Q$5,""),IF(R26=Lbl_Viol,R$5,""),IF(S26=Lbl_Viol,S$5,""),IF(T26=Lbl_Viol,T$5,"")),INDEX(Checker!$S$6:$S$405,MATCH($D26,Checker!$A$6:$A$405,0))))</f>
        <v>TP-05</v>
      </c>
      <c r="W26" s="36" t="str">
        <f>IF($D26="","",IF($D26=Test_Synth,IF(T26=Lbl_Viol,IF(L26&gt;Expired_Days,Lbl_Expired,Lbl_Late),""),INDEX(Checker!$T$6:$T$405,MATCH($D26,Checker!$A$6:$A$405,0))))</f>
        <v/>
      </c>
      <c r="X26" s="36" t="str">
        <f>IF($D26="","",IF($D26=Test_Synth,IF(U26=Lbl_Comp,"",IF(SUMPRODUCT((M26:T26=Lbl_Viol)*(M$4:T$4=Lbl_Definite))&gt;0,Lbl_Definite,Lbl_Assumption)),INDEX(Checker!$U$6:$U$405,MATCH($D26,Checker!$A$6:$A$405,0))))</f>
        <v>Assumption-based</v>
      </c>
      <c r="Y26" s="37" t="s">
        <v>812</v>
      </c>
      <c r="Z26" s="37" t="s">
        <v>646</v>
      </c>
      <c r="AA26" s="37"/>
      <c r="AB26" s="37" t="s">
        <v>823</v>
      </c>
      <c r="AC26" s="46" t="str">
        <f t="shared" si="0"/>
        <v>PASS</v>
      </c>
    </row>
    <row r="27" spans="1:29" ht="15" customHeight="1" x14ac:dyDescent="0.3">
      <c r="A27" s="35" t="s">
        <v>1116</v>
      </c>
      <c r="B27" s="35" t="s">
        <v>646</v>
      </c>
      <c r="C27" s="72" t="s">
        <v>1117</v>
      </c>
      <c r="D27" s="33" t="s">
        <v>1057</v>
      </c>
      <c r="E27" s="37" t="s">
        <v>105</v>
      </c>
      <c r="F27" s="37" t="s">
        <v>89</v>
      </c>
      <c r="G27" s="37" t="s">
        <v>82</v>
      </c>
      <c r="H27" s="78">
        <v>9000</v>
      </c>
      <c r="I27" s="37" t="s">
        <v>90</v>
      </c>
      <c r="J27" s="37"/>
      <c r="K27" s="37"/>
      <c r="L27" s="37">
        <v>5</v>
      </c>
      <c r="M27" s="42" t="str">
        <f>IF($D27="","",IF($D27=Test_Synth,IF(F27=Lbl_Flight,IF(AND(K27=Lbl_Business,INDEX(Biz_Permitted,MATCH(E27,Caps_Grade,0))=Lbl_BizNo),Lbl_Viol,Lbl_Comp),Lbl_NA),INDEX(Checker!J$6:J$405,MATCH($D27,Checker!$A$6:$A$405,0))))</f>
        <v>n/a</v>
      </c>
      <c r="N27" s="42" t="str">
        <f>IF($D27="","",IF($D27=Test_Synth,IF(F27=Lbl_Flight,IF(J27&lt;Min_Days_Booked,Lbl_Viol,Lbl_Comp),Lbl_NA),INDEX(Checker!K$6:K$405,MATCH($D27,Checker!$A$6:$A$405,0))))</f>
        <v>n/a</v>
      </c>
      <c r="O27" s="42" t="str">
        <f>IF($D27="","",IF($D27=Test_Synth,IF(AND(F27=Lbl_Hotel,G27=Lbl_Metro),IF(H27&gt;INDEX(Caps_Metro,MATCH(E27,Caps_Grade,0)),Lbl_Viol,Lbl_Comp),Lbl_NA),INDEX(Checker!L$6:L$405,MATCH($D27,Checker!$A$6:$A$405,0))))</f>
        <v>n/a</v>
      </c>
      <c r="P27" s="42" t="str">
        <f>IF($D27="","",IF($D27=Test_Synth,IF(AND(F27=Lbl_Hotel,G27=Lbl_NonMetro),IF(H27&gt;INDEX(Caps_NonMetro,MATCH(E27,Caps_Grade,0)),Lbl_Viol,Lbl_Comp),Lbl_NA),INDEX(Checker!M$6:M$405,MATCH($D27,Checker!$A$6:$A$405,0))))</f>
        <v>Compliant</v>
      </c>
      <c r="Q27" s="42" t="str">
        <f>IF($D27="","",IF($D27=Test_Synth,IF(F27=Lbl_Meals,IF(H27&gt;IF(G27=Lbl_Metro,Limit_Metro,Limit_NonMetro),Lbl_Viol,Lbl_Comp),Lbl_NA),INDEX(Checker!N$6:N$405,MATCH($D27,Checker!$A$6:$A$405,0))))</f>
        <v>n/a</v>
      </c>
      <c r="R27" s="42" t="str">
        <f>IF($D27="","",IF($D27=Test_Synth,IF(F27=Lbl_Alcohol,Lbl_Viol,Lbl_NA),INDEX(Checker!O$6:O$405,MATCH($D27,Checker!$A$6:$A$405,0))))</f>
        <v>n/a</v>
      </c>
      <c r="S27" s="42" t="str">
        <f>IF($D27="","",IF($D27=Test_Synth,IF(AND(I27=Lbl_NoReceipt,H27&gt;Receipt_Threshold),Lbl_Viol,Lbl_Comp),INDEX(Checker!P$6:P$405,MATCH($D27,Checker!$A$6:$A$405,0))))</f>
        <v>Compliant</v>
      </c>
      <c r="T27" s="42" t="str">
        <f>IF($D27="","",IF($D27=Test_Synth,IF(L27&gt;Late_Days,Lbl_Viol,Lbl_Comp),INDEX(Checker!Q$6:Q$405,MATCH($D27,Checker!$A$6:$A$405,0))))</f>
        <v>Compliant</v>
      </c>
      <c r="U27" s="36" t="str">
        <f>IF($D27="","",IF($D27=Test_Synth,IF(COUNTIF(M27:T27,Lbl_Viol)&gt;0,Lbl_Viol,Lbl_Comp),INDEX(Checker!$R$6:$R$405,MATCH($D27,Checker!$A$6:$A$405,0))))</f>
        <v>Compliant</v>
      </c>
      <c r="V27" s="36" t="str">
        <f>IF($D27="","",IF($D27=Test_Synth,_xlfn.TEXTJOIN(", ",TRUE(),IF(M27=Lbl_Viol,M$5,""),IF(N27=Lbl_Viol,N$5,""),IF(O27=Lbl_Viol,O$5,""),IF(P27=Lbl_Viol,P$5,""),IF(Q27=Lbl_Viol,Q$5,""),IF(R27=Lbl_Viol,R$5,""),IF(S27=Lbl_Viol,S$5,""),IF(T27=Lbl_Viol,T$5,"")),INDEX(Checker!$S$6:$S$405,MATCH($D27,Checker!$A$6:$A$405,0))))</f>
        <v/>
      </c>
      <c r="W27" s="36" t="str">
        <f>IF($D27="","",IF($D27=Test_Synth,IF(T27=Lbl_Viol,IF(L27&gt;Expired_Days,Lbl_Expired,Lbl_Late),""),INDEX(Checker!$T$6:$T$405,MATCH($D27,Checker!$A$6:$A$405,0))))</f>
        <v/>
      </c>
      <c r="X27" s="36" t="str">
        <f>IF($D27="","",IF($D27=Test_Synth,IF(U27=Lbl_Comp,"",IF(SUMPRODUCT((M27:T27=Lbl_Viol)*(M$4:T$4=Lbl_Definite))&gt;0,Lbl_Definite,Lbl_Assumption)),INDEX(Checker!$U$6:$U$405,MATCH($D27,Checker!$A$6:$A$405,0))))</f>
        <v/>
      </c>
      <c r="Y27" s="37" t="s">
        <v>813</v>
      </c>
      <c r="Z27" s="37"/>
      <c r="AA27" s="37"/>
      <c r="AB27" s="37"/>
      <c r="AC27" s="46" t="str">
        <f t="shared" si="0"/>
        <v>PASS</v>
      </c>
    </row>
    <row r="28" spans="1:29" ht="15" customHeight="1" x14ac:dyDescent="0.3">
      <c r="A28" s="35" t="s">
        <v>1118</v>
      </c>
      <c r="B28" s="35" t="s">
        <v>649</v>
      </c>
      <c r="C28" s="72" t="s">
        <v>1119</v>
      </c>
      <c r="D28" s="33" t="s">
        <v>208</v>
      </c>
      <c r="E28" s="36" t="str">
        <f>INDEX(Checker!$B$6:$B$405,MATCH($D28,Checker!$A$6:$A$405,0))</f>
        <v>M2</v>
      </c>
      <c r="F28" s="36" t="str">
        <f>INDEX(Checker!$C$6:$C$405,MATCH($D28,Checker!$A$6:$A$405,0))</f>
        <v>Meals/DA</v>
      </c>
      <c r="G28" s="36" t="str">
        <f>INDEX(Checker!$D$6:$D$405,MATCH($D28,Checker!$A$6:$A$405,0))</f>
        <v>Metro</v>
      </c>
      <c r="H28" s="40">
        <f>INDEX(Checker!$E$6:$E$405,MATCH($D28,Checker!$A$6:$A$405,0))</f>
        <v>1694</v>
      </c>
      <c r="I28" s="36" t="str">
        <f>INDEX(Checker!$F$6:$F$405,MATCH($D28,Checker!$A$6:$A$405,0))</f>
        <v>Yes</v>
      </c>
      <c r="J28" s="36" t="str">
        <f>INDEX(Checker!$G$6:$G$405,MATCH($D28,Checker!$A$6:$A$405,0))</f>
        <v/>
      </c>
      <c r="K28" s="36" t="str">
        <f>INDEX(Checker!$H$6:$H$405,MATCH($D28,Checker!$A$6:$A$405,0))</f>
        <v/>
      </c>
      <c r="L28" s="41">
        <f>INDEX(Checker!$I$6:$I$405,MATCH($D28,Checker!$A$6:$A$405,0))</f>
        <v>5</v>
      </c>
      <c r="M28" s="42" t="str">
        <f>IF($D28="","",IF($D28=Test_Synth,IF(F28=Lbl_Flight,IF(AND(K28=Lbl_Business,INDEX(Biz_Permitted,MATCH(E28,Caps_Grade,0))=Lbl_BizNo),Lbl_Viol,Lbl_Comp),Lbl_NA),INDEX(Checker!J$6:J$405,MATCH($D28,Checker!$A$6:$A$405,0))))</f>
        <v>n/a</v>
      </c>
      <c r="N28" s="42" t="str">
        <f>IF($D28="","",IF($D28=Test_Synth,IF(F28=Lbl_Flight,IF(J28&lt;Min_Days_Booked,Lbl_Viol,Lbl_Comp),Lbl_NA),INDEX(Checker!K$6:K$405,MATCH($D28,Checker!$A$6:$A$405,0))))</f>
        <v>n/a</v>
      </c>
      <c r="O28" s="42" t="str">
        <f>IF($D28="","",IF($D28=Test_Synth,IF(AND(F28=Lbl_Hotel,G28=Lbl_Metro),IF(H28&gt;INDEX(Caps_Metro,MATCH(E28,Caps_Grade,0)),Lbl_Viol,Lbl_Comp),Lbl_NA),INDEX(Checker!L$6:L$405,MATCH($D28,Checker!$A$6:$A$405,0))))</f>
        <v>n/a</v>
      </c>
      <c r="P28" s="42" t="str">
        <f>IF($D28="","",IF($D28=Test_Synth,IF(AND(F28=Lbl_Hotel,G28=Lbl_NonMetro),IF(H28&gt;INDEX(Caps_NonMetro,MATCH(E28,Caps_Grade,0)),Lbl_Viol,Lbl_Comp),Lbl_NA),INDEX(Checker!M$6:M$405,MATCH($D28,Checker!$A$6:$A$405,0))))</f>
        <v>n/a</v>
      </c>
      <c r="Q28" s="42" t="str">
        <f>IF($D28="","",IF($D28=Test_Synth,IF(F28=Lbl_Meals,IF(H28&gt;IF(G28=Lbl_Metro,Limit_Metro,Limit_NonMetro),Lbl_Viol,Lbl_Comp),Lbl_NA),INDEX(Checker!N$6:N$405,MATCH($D28,Checker!$A$6:$A$405,0))))</f>
        <v>Violation</v>
      </c>
      <c r="R28" s="42" t="str">
        <f>IF($D28="","",IF($D28=Test_Synth,IF(F28=Lbl_Alcohol,Lbl_Viol,Lbl_NA),INDEX(Checker!O$6:O$405,MATCH($D28,Checker!$A$6:$A$405,0))))</f>
        <v>n/a</v>
      </c>
      <c r="S28" s="42" t="str">
        <f>IF($D28="","",IF($D28=Test_Synth,IF(AND(I28=Lbl_NoReceipt,H28&gt;Receipt_Threshold),Lbl_Viol,Lbl_Comp),INDEX(Checker!P$6:P$405,MATCH($D28,Checker!$A$6:$A$405,0))))</f>
        <v>Compliant</v>
      </c>
      <c r="T28" s="42" t="str">
        <f>IF($D28="","",IF($D28=Test_Synth,IF(L28&gt;Late_Days,Lbl_Viol,Lbl_Comp),INDEX(Checker!Q$6:Q$405,MATCH($D28,Checker!$A$6:$A$405,0))))</f>
        <v>Compliant</v>
      </c>
      <c r="U28" s="36" t="str">
        <f>IF($D28="","",IF($D28=Test_Synth,IF(COUNTIF(M28:T28,Lbl_Viol)&gt;0,Lbl_Viol,Lbl_Comp),INDEX(Checker!$R$6:$R$405,MATCH($D28,Checker!$A$6:$A$405,0))))</f>
        <v>Violation</v>
      </c>
      <c r="V28" s="36" t="str">
        <f>IF($D28="","",IF($D28=Test_Synth,_xlfn.TEXTJOIN(", ",TRUE(),IF(M28=Lbl_Viol,M$5,""),IF(N28=Lbl_Viol,N$5,""),IF(O28=Lbl_Viol,O$5,""),IF(P28=Lbl_Viol,P$5,""),IF(Q28=Lbl_Viol,Q$5,""),IF(R28=Lbl_Viol,R$5,""),IF(S28=Lbl_Viol,S$5,""),IF(T28=Lbl_Viol,T$5,"")),INDEX(Checker!$S$6:$S$405,MATCH($D28,Checker!$A$6:$A$405,0))))</f>
        <v>TP-06</v>
      </c>
      <c r="W28" s="36" t="str">
        <f>IF($D28="","",IF($D28=Test_Synth,IF(T28=Lbl_Viol,IF(L28&gt;Expired_Days,Lbl_Expired,Lbl_Late),""),INDEX(Checker!$T$6:$T$405,MATCH($D28,Checker!$A$6:$A$405,0))))</f>
        <v/>
      </c>
      <c r="X28" s="36" t="str">
        <f>IF($D28="","",IF($D28=Test_Synth,IF(U28=Lbl_Comp,"",IF(SUMPRODUCT((M28:T28=Lbl_Viol)*(M$4:T$4=Lbl_Definite))&gt;0,Lbl_Definite,Lbl_Assumption)),INDEX(Checker!$U$6:$U$405,MATCH($D28,Checker!$A$6:$A$405,0))))</f>
        <v>Assumption-based</v>
      </c>
      <c r="Y28" s="37" t="s">
        <v>812</v>
      </c>
      <c r="Z28" s="37" t="s">
        <v>649</v>
      </c>
      <c r="AA28" s="37"/>
      <c r="AB28" s="37" t="s">
        <v>823</v>
      </c>
      <c r="AC28" s="46" t="str">
        <f t="shared" si="0"/>
        <v>PASS</v>
      </c>
    </row>
    <row r="29" spans="1:29" ht="15" customHeight="1" x14ac:dyDescent="0.3">
      <c r="A29" s="35" t="s">
        <v>1120</v>
      </c>
      <c r="B29" s="35" t="s">
        <v>649</v>
      </c>
      <c r="C29" s="72" t="s">
        <v>1121</v>
      </c>
      <c r="D29" s="33" t="s">
        <v>153</v>
      </c>
      <c r="E29" s="36" t="str">
        <f>INDEX(Checker!$B$6:$B$405,MATCH($D29,Checker!$A$6:$A$405,0))</f>
        <v>M2</v>
      </c>
      <c r="F29" s="36" t="str">
        <f>INDEX(Checker!$C$6:$C$405,MATCH($D29,Checker!$A$6:$A$405,0))</f>
        <v>Meals/DA</v>
      </c>
      <c r="G29" s="36" t="str">
        <f>INDEX(Checker!$D$6:$D$405,MATCH($D29,Checker!$A$6:$A$405,0))</f>
        <v>Non-metro</v>
      </c>
      <c r="H29" s="40">
        <f>INDEX(Checker!$E$6:$E$405,MATCH($D29,Checker!$A$6:$A$405,0))</f>
        <v>944</v>
      </c>
      <c r="I29" s="36" t="str">
        <f>INDEX(Checker!$F$6:$F$405,MATCH($D29,Checker!$A$6:$A$405,0))</f>
        <v>Yes</v>
      </c>
      <c r="J29" s="36" t="str">
        <f>INDEX(Checker!$G$6:$G$405,MATCH($D29,Checker!$A$6:$A$405,0))</f>
        <v/>
      </c>
      <c r="K29" s="36" t="str">
        <f>INDEX(Checker!$H$6:$H$405,MATCH($D29,Checker!$A$6:$A$405,0))</f>
        <v/>
      </c>
      <c r="L29" s="41">
        <f>INDEX(Checker!$I$6:$I$405,MATCH($D29,Checker!$A$6:$A$405,0))</f>
        <v>14</v>
      </c>
      <c r="M29" s="42" t="str">
        <f>IF($D29="","",IF($D29=Test_Synth,IF(F29=Lbl_Flight,IF(AND(K29=Lbl_Business,INDEX(Biz_Permitted,MATCH(E29,Caps_Grade,0))=Lbl_BizNo),Lbl_Viol,Lbl_Comp),Lbl_NA),INDEX(Checker!J$6:J$405,MATCH($D29,Checker!$A$6:$A$405,0))))</f>
        <v>n/a</v>
      </c>
      <c r="N29" s="42" t="str">
        <f>IF($D29="","",IF($D29=Test_Synth,IF(F29=Lbl_Flight,IF(J29&lt;Min_Days_Booked,Lbl_Viol,Lbl_Comp),Lbl_NA),INDEX(Checker!K$6:K$405,MATCH($D29,Checker!$A$6:$A$405,0))))</f>
        <v>n/a</v>
      </c>
      <c r="O29" s="42" t="str">
        <f>IF($D29="","",IF($D29=Test_Synth,IF(AND(F29=Lbl_Hotel,G29=Lbl_Metro),IF(H29&gt;INDEX(Caps_Metro,MATCH(E29,Caps_Grade,0)),Lbl_Viol,Lbl_Comp),Lbl_NA),INDEX(Checker!L$6:L$405,MATCH($D29,Checker!$A$6:$A$405,0))))</f>
        <v>n/a</v>
      </c>
      <c r="P29" s="42" t="str">
        <f>IF($D29="","",IF($D29=Test_Synth,IF(AND(F29=Lbl_Hotel,G29=Lbl_NonMetro),IF(H29&gt;INDEX(Caps_NonMetro,MATCH(E29,Caps_Grade,0)),Lbl_Viol,Lbl_Comp),Lbl_NA),INDEX(Checker!M$6:M$405,MATCH($D29,Checker!$A$6:$A$405,0))))</f>
        <v>n/a</v>
      </c>
      <c r="Q29" s="42" t="str">
        <f>IF($D29="","",IF($D29=Test_Synth,IF(F29=Lbl_Meals,IF(H29&gt;IF(G29=Lbl_Metro,Limit_Metro,Limit_NonMetro),Lbl_Viol,Lbl_Comp),Lbl_NA),INDEX(Checker!N$6:N$405,MATCH($D29,Checker!$A$6:$A$405,0))))</f>
        <v>Violation</v>
      </c>
      <c r="R29" s="42" t="str">
        <f>IF($D29="","",IF($D29=Test_Synth,IF(F29=Lbl_Alcohol,Lbl_Viol,Lbl_NA),INDEX(Checker!O$6:O$405,MATCH($D29,Checker!$A$6:$A$405,0))))</f>
        <v>n/a</v>
      </c>
      <c r="S29" s="42" t="str">
        <f>IF($D29="","",IF($D29=Test_Synth,IF(AND(I29=Lbl_NoReceipt,H29&gt;Receipt_Threshold),Lbl_Viol,Lbl_Comp),INDEX(Checker!P$6:P$405,MATCH($D29,Checker!$A$6:$A$405,0))))</f>
        <v>Compliant</v>
      </c>
      <c r="T29" s="42" t="str">
        <f>IF($D29="","",IF($D29=Test_Synth,IF(L29&gt;Late_Days,Lbl_Viol,Lbl_Comp),INDEX(Checker!Q$6:Q$405,MATCH($D29,Checker!$A$6:$A$405,0))))</f>
        <v>Compliant</v>
      </c>
      <c r="U29" s="36" t="str">
        <f>IF($D29="","",IF($D29=Test_Synth,IF(COUNTIF(M29:T29,Lbl_Viol)&gt;0,Lbl_Viol,Lbl_Comp),INDEX(Checker!$R$6:$R$405,MATCH($D29,Checker!$A$6:$A$405,0))))</f>
        <v>Violation</v>
      </c>
      <c r="V29" s="36" t="str">
        <f>IF($D29="","",IF($D29=Test_Synth,_xlfn.TEXTJOIN(", ",TRUE(),IF(M29=Lbl_Viol,M$5,""),IF(N29=Lbl_Viol,N$5,""),IF(O29=Lbl_Viol,O$5,""),IF(P29=Lbl_Viol,P$5,""),IF(Q29=Lbl_Viol,Q$5,""),IF(R29=Lbl_Viol,R$5,""),IF(S29=Lbl_Viol,S$5,""),IF(T29=Lbl_Viol,T$5,"")),INDEX(Checker!$S$6:$S$405,MATCH($D29,Checker!$A$6:$A$405,0))))</f>
        <v>TP-06</v>
      </c>
      <c r="W29" s="36" t="str">
        <f>IF($D29="","",IF($D29=Test_Synth,IF(T29=Lbl_Viol,IF(L29&gt;Expired_Days,Lbl_Expired,Lbl_Late),""),INDEX(Checker!$T$6:$T$405,MATCH($D29,Checker!$A$6:$A$405,0))))</f>
        <v/>
      </c>
      <c r="X29" s="36" t="str">
        <f>IF($D29="","",IF($D29=Test_Synth,IF(U29=Lbl_Comp,"",IF(SUMPRODUCT((M29:T29=Lbl_Viol)*(M$4:T$4=Lbl_Definite))&gt;0,Lbl_Definite,Lbl_Assumption)),INDEX(Checker!$U$6:$U$405,MATCH($D29,Checker!$A$6:$A$405,0))))</f>
        <v>Assumption-based</v>
      </c>
      <c r="Y29" s="37" t="s">
        <v>812</v>
      </c>
      <c r="Z29" s="37" t="s">
        <v>649</v>
      </c>
      <c r="AA29" s="37"/>
      <c r="AB29" s="37" t="s">
        <v>823</v>
      </c>
      <c r="AC29" s="46" t="str">
        <f t="shared" si="0"/>
        <v>PASS</v>
      </c>
    </row>
    <row r="30" spans="1:29" ht="15" customHeight="1" x14ac:dyDescent="0.3">
      <c r="A30" s="35" t="s">
        <v>1122</v>
      </c>
      <c r="B30" s="35" t="s">
        <v>649</v>
      </c>
      <c r="C30" s="72" t="s">
        <v>1123</v>
      </c>
      <c r="D30" s="33" t="s">
        <v>281</v>
      </c>
      <c r="E30" s="36" t="str">
        <f>INDEX(Checker!$B$6:$B$405,MATCH($D30,Checker!$A$6:$A$405,0))</f>
        <v>M4</v>
      </c>
      <c r="F30" s="36" t="str">
        <f>INDEX(Checker!$C$6:$C$405,MATCH($D30,Checker!$A$6:$A$405,0))</f>
        <v>Meals/DA</v>
      </c>
      <c r="G30" s="36" t="str">
        <f>INDEX(Checker!$D$6:$D$405,MATCH($D30,Checker!$A$6:$A$405,0))</f>
        <v>Non-metro</v>
      </c>
      <c r="H30" s="40">
        <f>INDEX(Checker!$E$6:$E$405,MATCH($D30,Checker!$A$6:$A$405,0))</f>
        <v>439</v>
      </c>
      <c r="I30" s="36" t="str">
        <f>INDEX(Checker!$F$6:$F$405,MATCH($D30,Checker!$A$6:$A$405,0))</f>
        <v>No</v>
      </c>
      <c r="J30" s="36" t="str">
        <f>INDEX(Checker!$G$6:$G$405,MATCH($D30,Checker!$A$6:$A$405,0))</f>
        <v/>
      </c>
      <c r="K30" s="36" t="str">
        <f>INDEX(Checker!$H$6:$H$405,MATCH($D30,Checker!$A$6:$A$405,0))</f>
        <v/>
      </c>
      <c r="L30" s="41">
        <f>INDEX(Checker!$I$6:$I$405,MATCH($D30,Checker!$A$6:$A$405,0))</f>
        <v>5</v>
      </c>
      <c r="M30" s="42" t="str">
        <f>IF($D30="","",IF($D30=Test_Synth,IF(F30=Lbl_Flight,IF(AND(K30=Lbl_Business,INDEX(Biz_Permitted,MATCH(E30,Caps_Grade,0))=Lbl_BizNo),Lbl_Viol,Lbl_Comp),Lbl_NA),INDEX(Checker!J$6:J$405,MATCH($D30,Checker!$A$6:$A$405,0))))</f>
        <v>n/a</v>
      </c>
      <c r="N30" s="42" t="str">
        <f>IF($D30="","",IF($D30=Test_Synth,IF(F30=Lbl_Flight,IF(J30&lt;Min_Days_Booked,Lbl_Viol,Lbl_Comp),Lbl_NA),INDEX(Checker!K$6:K$405,MATCH($D30,Checker!$A$6:$A$405,0))))</f>
        <v>n/a</v>
      </c>
      <c r="O30" s="42" t="str">
        <f>IF($D30="","",IF($D30=Test_Synth,IF(AND(F30=Lbl_Hotel,G30=Lbl_Metro),IF(H30&gt;INDEX(Caps_Metro,MATCH(E30,Caps_Grade,0)),Lbl_Viol,Lbl_Comp),Lbl_NA),INDEX(Checker!L$6:L$405,MATCH($D30,Checker!$A$6:$A$405,0))))</f>
        <v>n/a</v>
      </c>
      <c r="P30" s="42" t="str">
        <f>IF($D30="","",IF($D30=Test_Synth,IF(AND(F30=Lbl_Hotel,G30=Lbl_NonMetro),IF(H30&gt;INDEX(Caps_NonMetro,MATCH(E30,Caps_Grade,0)),Lbl_Viol,Lbl_Comp),Lbl_NA),INDEX(Checker!M$6:M$405,MATCH($D30,Checker!$A$6:$A$405,0))))</f>
        <v>n/a</v>
      </c>
      <c r="Q30" s="42" t="str">
        <f>IF($D30="","",IF($D30=Test_Synth,IF(F30=Lbl_Meals,IF(H30&gt;IF(G30=Lbl_Metro,Limit_Metro,Limit_NonMetro),Lbl_Viol,Lbl_Comp),Lbl_NA),INDEX(Checker!N$6:N$405,MATCH($D30,Checker!$A$6:$A$405,0))))</f>
        <v>Compliant</v>
      </c>
      <c r="R30" s="42" t="str">
        <f>IF($D30="","",IF($D30=Test_Synth,IF(F30=Lbl_Alcohol,Lbl_Viol,Lbl_NA),INDEX(Checker!O$6:O$405,MATCH($D30,Checker!$A$6:$A$405,0))))</f>
        <v>n/a</v>
      </c>
      <c r="S30" s="42" t="str">
        <f>IF($D30="","",IF($D30=Test_Synth,IF(AND(I30=Lbl_NoReceipt,H30&gt;Receipt_Threshold),Lbl_Viol,Lbl_Comp),INDEX(Checker!P$6:P$405,MATCH($D30,Checker!$A$6:$A$405,0))))</f>
        <v>Compliant</v>
      </c>
      <c r="T30" s="42" t="str">
        <f>IF($D30="","",IF($D30=Test_Synth,IF(L30&gt;Late_Days,Lbl_Viol,Lbl_Comp),INDEX(Checker!Q$6:Q$405,MATCH($D30,Checker!$A$6:$A$405,0))))</f>
        <v>Compliant</v>
      </c>
      <c r="U30" s="36" t="str">
        <f>IF($D30="","",IF($D30=Test_Synth,IF(COUNTIF(M30:T30,Lbl_Viol)&gt;0,Lbl_Viol,Lbl_Comp),INDEX(Checker!$R$6:$R$405,MATCH($D30,Checker!$A$6:$A$405,0))))</f>
        <v>Compliant</v>
      </c>
      <c r="V30" s="36" t="str">
        <f>IF($D30="","",IF($D30=Test_Synth,_xlfn.TEXTJOIN(", ",TRUE(),IF(M30=Lbl_Viol,M$5,""),IF(N30=Lbl_Viol,N$5,""),IF(O30=Lbl_Viol,O$5,""),IF(P30=Lbl_Viol,P$5,""),IF(Q30=Lbl_Viol,Q$5,""),IF(R30=Lbl_Viol,R$5,""),IF(S30=Lbl_Viol,S$5,""),IF(T30=Lbl_Viol,T$5,"")),INDEX(Checker!$S$6:$S$405,MATCH($D30,Checker!$A$6:$A$405,0))))</f>
        <v/>
      </c>
      <c r="W30" s="36" t="str">
        <f>IF($D30="","",IF($D30=Test_Synth,IF(T30=Lbl_Viol,IF(L30&gt;Expired_Days,Lbl_Expired,Lbl_Late),""),INDEX(Checker!$T$6:$T$405,MATCH($D30,Checker!$A$6:$A$405,0))))</f>
        <v/>
      </c>
      <c r="X30" s="36" t="str">
        <f>IF($D30="","",IF($D30=Test_Synth,IF(U30=Lbl_Comp,"",IF(SUMPRODUCT((M30:T30=Lbl_Viol)*(M$4:T$4=Lbl_Definite))&gt;0,Lbl_Definite,Lbl_Assumption)),INDEX(Checker!$U$6:$U$405,MATCH($D30,Checker!$A$6:$A$405,0))))</f>
        <v/>
      </c>
      <c r="Y30" s="37" t="s">
        <v>813</v>
      </c>
      <c r="Z30" s="37"/>
      <c r="AA30" s="37"/>
      <c r="AB30" s="37"/>
      <c r="AC30" s="46" t="str">
        <f t="shared" si="0"/>
        <v>PASS</v>
      </c>
    </row>
    <row r="31" spans="1:29" ht="15" customHeight="1" x14ac:dyDescent="0.3">
      <c r="A31" s="35" t="s">
        <v>1124</v>
      </c>
      <c r="B31" s="35" t="s">
        <v>649</v>
      </c>
      <c r="C31" s="72" t="s">
        <v>1125</v>
      </c>
      <c r="D31" s="33" t="s">
        <v>1057</v>
      </c>
      <c r="E31" s="37" t="s">
        <v>94</v>
      </c>
      <c r="F31" s="37" t="s">
        <v>80</v>
      </c>
      <c r="G31" s="37" t="s">
        <v>97</v>
      </c>
      <c r="H31" s="78">
        <v>1200</v>
      </c>
      <c r="I31" s="37" t="s">
        <v>90</v>
      </c>
      <c r="J31" s="37"/>
      <c r="K31" s="37"/>
      <c r="L31" s="37">
        <v>5</v>
      </c>
      <c r="M31" s="42" t="str">
        <f>IF($D31="","",IF($D31=Test_Synth,IF(F31=Lbl_Flight,IF(AND(K31=Lbl_Business,INDEX(Biz_Permitted,MATCH(E31,Caps_Grade,0))=Lbl_BizNo),Lbl_Viol,Lbl_Comp),Lbl_NA),INDEX(Checker!J$6:J$405,MATCH($D31,Checker!$A$6:$A$405,0))))</f>
        <v>n/a</v>
      </c>
      <c r="N31" s="42" t="str">
        <f>IF($D31="","",IF($D31=Test_Synth,IF(F31=Lbl_Flight,IF(J31&lt;Min_Days_Booked,Lbl_Viol,Lbl_Comp),Lbl_NA),INDEX(Checker!K$6:K$405,MATCH($D31,Checker!$A$6:$A$405,0))))</f>
        <v>n/a</v>
      </c>
      <c r="O31" s="42" t="str">
        <f>IF($D31="","",IF($D31=Test_Synth,IF(AND(F31=Lbl_Hotel,G31=Lbl_Metro),IF(H31&gt;INDEX(Caps_Metro,MATCH(E31,Caps_Grade,0)),Lbl_Viol,Lbl_Comp),Lbl_NA),INDEX(Checker!L$6:L$405,MATCH($D31,Checker!$A$6:$A$405,0))))</f>
        <v>n/a</v>
      </c>
      <c r="P31" s="42" t="str">
        <f>IF($D31="","",IF($D31=Test_Synth,IF(AND(F31=Lbl_Hotel,G31=Lbl_NonMetro),IF(H31&gt;INDEX(Caps_NonMetro,MATCH(E31,Caps_Grade,0)),Lbl_Viol,Lbl_Comp),Lbl_NA),INDEX(Checker!M$6:M$405,MATCH($D31,Checker!$A$6:$A$405,0))))</f>
        <v>n/a</v>
      </c>
      <c r="Q31" s="42" t="str">
        <f>IF($D31="","",IF($D31=Test_Synth,IF(F31=Lbl_Meals,IF(H31&gt;IF(G31=Lbl_Metro,Limit_Metro,Limit_NonMetro),Lbl_Viol,Lbl_Comp),Lbl_NA),INDEX(Checker!N$6:N$405,MATCH($D31,Checker!$A$6:$A$405,0))))</f>
        <v>Compliant</v>
      </c>
      <c r="R31" s="42" t="str">
        <f>IF($D31="","",IF($D31=Test_Synth,IF(F31=Lbl_Alcohol,Lbl_Viol,Lbl_NA),INDEX(Checker!O$6:O$405,MATCH($D31,Checker!$A$6:$A$405,0))))</f>
        <v>n/a</v>
      </c>
      <c r="S31" s="42" t="str">
        <f>IF($D31="","",IF($D31=Test_Synth,IF(AND(I31=Lbl_NoReceipt,H31&gt;Receipt_Threshold),Lbl_Viol,Lbl_Comp),INDEX(Checker!P$6:P$405,MATCH($D31,Checker!$A$6:$A$405,0))))</f>
        <v>Compliant</v>
      </c>
      <c r="T31" s="42" t="str">
        <f>IF($D31="","",IF($D31=Test_Synth,IF(L31&gt;Late_Days,Lbl_Viol,Lbl_Comp),INDEX(Checker!Q$6:Q$405,MATCH($D31,Checker!$A$6:$A$405,0))))</f>
        <v>Compliant</v>
      </c>
      <c r="U31" s="36" t="str">
        <f>IF($D31="","",IF($D31=Test_Synth,IF(COUNTIF(M31:T31,Lbl_Viol)&gt;0,Lbl_Viol,Lbl_Comp),INDEX(Checker!$R$6:$R$405,MATCH($D31,Checker!$A$6:$A$405,0))))</f>
        <v>Compliant</v>
      </c>
      <c r="V31" s="36" t="str">
        <f>IF($D31="","",IF($D31=Test_Synth,_xlfn.TEXTJOIN(", ",TRUE(),IF(M31=Lbl_Viol,M$5,""),IF(N31=Lbl_Viol,N$5,""),IF(O31=Lbl_Viol,O$5,""),IF(P31=Lbl_Viol,P$5,""),IF(Q31=Lbl_Viol,Q$5,""),IF(R31=Lbl_Viol,R$5,""),IF(S31=Lbl_Viol,S$5,""),IF(T31=Lbl_Viol,T$5,"")),INDEX(Checker!$S$6:$S$405,MATCH($D31,Checker!$A$6:$A$405,0))))</f>
        <v/>
      </c>
      <c r="W31" s="36" t="str">
        <f>IF($D31="","",IF($D31=Test_Synth,IF(T31=Lbl_Viol,IF(L31&gt;Expired_Days,Lbl_Expired,Lbl_Late),""),INDEX(Checker!$T$6:$T$405,MATCH($D31,Checker!$A$6:$A$405,0))))</f>
        <v/>
      </c>
      <c r="X31" s="36" t="str">
        <f>IF($D31="","",IF($D31=Test_Synth,IF(U31=Lbl_Comp,"",IF(SUMPRODUCT((M31:T31=Lbl_Viol)*(M$4:T$4=Lbl_Definite))&gt;0,Lbl_Definite,Lbl_Assumption)),INDEX(Checker!$U$6:$U$405,MATCH($D31,Checker!$A$6:$A$405,0))))</f>
        <v/>
      </c>
      <c r="Y31" s="37" t="s">
        <v>813</v>
      </c>
      <c r="Z31" s="37"/>
      <c r="AA31" s="37"/>
      <c r="AB31" s="37"/>
      <c r="AC31" s="46" t="str">
        <f t="shared" si="0"/>
        <v>PASS</v>
      </c>
    </row>
    <row r="32" spans="1:29" ht="15" customHeight="1" x14ac:dyDescent="0.3">
      <c r="A32" s="35" t="s">
        <v>1126</v>
      </c>
      <c r="B32" s="35" t="s">
        <v>649</v>
      </c>
      <c r="C32" s="72" t="s">
        <v>1127</v>
      </c>
      <c r="D32" s="33" t="s">
        <v>1057</v>
      </c>
      <c r="E32" s="37" t="s">
        <v>94</v>
      </c>
      <c r="F32" s="37" t="s">
        <v>80</v>
      </c>
      <c r="G32" s="37" t="s">
        <v>97</v>
      </c>
      <c r="H32" s="78">
        <v>1201</v>
      </c>
      <c r="I32" s="37" t="s">
        <v>90</v>
      </c>
      <c r="J32" s="37"/>
      <c r="K32" s="37"/>
      <c r="L32" s="37">
        <v>5</v>
      </c>
      <c r="M32" s="42" t="str">
        <f>IF($D32="","",IF($D32=Test_Synth,IF(F32=Lbl_Flight,IF(AND(K32=Lbl_Business,INDEX(Biz_Permitted,MATCH(E32,Caps_Grade,0))=Lbl_BizNo),Lbl_Viol,Lbl_Comp),Lbl_NA),INDEX(Checker!J$6:J$405,MATCH($D32,Checker!$A$6:$A$405,0))))</f>
        <v>n/a</v>
      </c>
      <c r="N32" s="42" t="str">
        <f>IF($D32="","",IF($D32=Test_Synth,IF(F32=Lbl_Flight,IF(J32&lt;Min_Days_Booked,Lbl_Viol,Lbl_Comp),Lbl_NA),INDEX(Checker!K$6:K$405,MATCH($D32,Checker!$A$6:$A$405,0))))</f>
        <v>n/a</v>
      </c>
      <c r="O32" s="42" t="str">
        <f>IF($D32="","",IF($D32=Test_Synth,IF(AND(F32=Lbl_Hotel,G32=Lbl_Metro),IF(H32&gt;INDEX(Caps_Metro,MATCH(E32,Caps_Grade,0)),Lbl_Viol,Lbl_Comp),Lbl_NA),INDEX(Checker!L$6:L$405,MATCH($D32,Checker!$A$6:$A$405,0))))</f>
        <v>n/a</v>
      </c>
      <c r="P32" s="42" t="str">
        <f>IF($D32="","",IF($D32=Test_Synth,IF(AND(F32=Lbl_Hotel,G32=Lbl_NonMetro),IF(H32&gt;INDEX(Caps_NonMetro,MATCH(E32,Caps_Grade,0)),Lbl_Viol,Lbl_Comp),Lbl_NA),INDEX(Checker!M$6:M$405,MATCH($D32,Checker!$A$6:$A$405,0))))</f>
        <v>n/a</v>
      </c>
      <c r="Q32" s="42" t="str">
        <f>IF($D32="","",IF($D32=Test_Synth,IF(F32=Lbl_Meals,IF(H32&gt;IF(G32=Lbl_Metro,Limit_Metro,Limit_NonMetro),Lbl_Viol,Lbl_Comp),Lbl_NA),INDEX(Checker!N$6:N$405,MATCH($D32,Checker!$A$6:$A$405,0))))</f>
        <v>Violation</v>
      </c>
      <c r="R32" s="42" t="str">
        <f>IF($D32="","",IF($D32=Test_Synth,IF(F32=Lbl_Alcohol,Lbl_Viol,Lbl_NA),INDEX(Checker!O$6:O$405,MATCH($D32,Checker!$A$6:$A$405,0))))</f>
        <v>n/a</v>
      </c>
      <c r="S32" s="42" t="str">
        <f>IF($D32="","",IF($D32=Test_Synth,IF(AND(I32=Lbl_NoReceipt,H32&gt;Receipt_Threshold),Lbl_Viol,Lbl_Comp),INDEX(Checker!P$6:P$405,MATCH($D32,Checker!$A$6:$A$405,0))))</f>
        <v>Compliant</v>
      </c>
      <c r="T32" s="42" t="str">
        <f>IF($D32="","",IF($D32=Test_Synth,IF(L32&gt;Late_Days,Lbl_Viol,Lbl_Comp),INDEX(Checker!Q$6:Q$405,MATCH($D32,Checker!$A$6:$A$405,0))))</f>
        <v>Compliant</v>
      </c>
      <c r="U32" s="36" t="str">
        <f>IF($D32="","",IF($D32=Test_Synth,IF(COUNTIF(M32:T32,Lbl_Viol)&gt;0,Lbl_Viol,Lbl_Comp),INDEX(Checker!$R$6:$R$405,MATCH($D32,Checker!$A$6:$A$405,0))))</f>
        <v>Violation</v>
      </c>
      <c r="V32" s="36" t="str">
        <f>IF($D32="","",IF($D32=Test_Synth,_xlfn.TEXTJOIN(", ",TRUE(),IF(M32=Lbl_Viol,M$5,""),IF(N32=Lbl_Viol,N$5,""),IF(O32=Lbl_Viol,O$5,""),IF(P32=Lbl_Viol,P$5,""),IF(Q32=Lbl_Viol,Q$5,""),IF(R32=Lbl_Viol,R$5,""),IF(S32=Lbl_Viol,S$5,""),IF(T32=Lbl_Viol,T$5,"")),INDEX(Checker!$S$6:$S$405,MATCH($D32,Checker!$A$6:$A$405,0))))</f>
        <v>TP-06</v>
      </c>
      <c r="W32" s="36" t="str">
        <f>IF($D32="","",IF($D32=Test_Synth,IF(T32=Lbl_Viol,IF(L32&gt;Expired_Days,Lbl_Expired,Lbl_Late),""),INDEX(Checker!$T$6:$T$405,MATCH($D32,Checker!$A$6:$A$405,0))))</f>
        <v/>
      </c>
      <c r="X32" s="36" t="str">
        <f>IF($D32="","",IF($D32=Test_Synth,IF(U32=Lbl_Comp,"",IF(SUMPRODUCT((M32:T32=Lbl_Viol)*(M$4:T$4=Lbl_Definite))&gt;0,Lbl_Definite,Lbl_Assumption)),INDEX(Checker!$U$6:$U$405,MATCH($D32,Checker!$A$6:$A$405,0))))</f>
        <v>Assumption-based</v>
      </c>
      <c r="Y32" s="37" t="s">
        <v>812</v>
      </c>
      <c r="Z32" s="37" t="s">
        <v>649</v>
      </c>
      <c r="AA32" s="37"/>
      <c r="AB32" s="37" t="s">
        <v>823</v>
      </c>
      <c r="AC32" s="46" t="str">
        <f t="shared" si="0"/>
        <v>PASS</v>
      </c>
    </row>
    <row r="33" spans="1:29" ht="15" customHeight="1" x14ac:dyDescent="0.3">
      <c r="A33" s="35" t="s">
        <v>1128</v>
      </c>
      <c r="B33" s="35" t="s">
        <v>649</v>
      </c>
      <c r="C33" s="72" t="s">
        <v>1129</v>
      </c>
      <c r="D33" s="33" t="s">
        <v>1057</v>
      </c>
      <c r="E33" s="37" t="s">
        <v>94</v>
      </c>
      <c r="F33" s="37" t="s">
        <v>80</v>
      </c>
      <c r="G33" s="37" t="s">
        <v>82</v>
      </c>
      <c r="H33" s="78">
        <v>900</v>
      </c>
      <c r="I33" s="37" t="s">
        <v>90</v>
      </c>
      <c r="J33" s="37"/>
      <c r="K33" s="37"/>
      <c r="L33" s="37">
        <v>5</v>
      </c>
      <c r="M33" s="42" t="str">
        <f>IF($D33="","",IF($D33=Test_Synth,IF(F33=Lbl_Flight,IF(AND(K33=Lbl_Business,INDEX(Biz_Permitted,MATCH(E33,Caps_Grade,0))=Lbl_BizNo),Lbl_Viol,Lbl_Comp),Lbl_NA),INDEX(Checker!J$6:J$405,MATCH($D33,Checker!$A$6:$A$405,0))))</f>
        <v>n/a</v>
      </c>
      <c r="N33" s="42" t="str">
        <f>IF($D33="","",IF($D33=Test_Synth,IF(F33=Lbl_Flight,IF(J33&lt;Min_Days_Booked,Lbl_Viol,Lbl_Comp),Lbl_NA),INDEX(Checker!K$6:K$405,MATCH($D33,Checker!$A$6:$A$405,0))))</f>
        <v>n/a</v>
      </c>
      <c r="O33" s="42" t="str">
        <f>IF($D33="","",IF($D33=Test_Synth,IF(AND(F33=Lbl_Hotel,G33=Lbl_Metro),IF(H33&gt;INDEX(Caps_Metro,MATCH(E33,Caps_Grade,0)),Lbl_Viol,Lbl_Comp),Lbl_NA),INDEX(Checker!L$6:L$405,MATCH($D33,Checker!$A$6:$A$405,0))))</f>
        <v>n/a</v>
      </c>
      <c r="P33" s="42" t="str">
        <f>IF($D33="","",IF($D33=Test_Synth,IF(AND(F33=Lbl_Hotel,G33=Lbl_NonMetro),IF(H33&gt;INDEX(Caps_NonMetro,MATCH(E33,Caps_Grade,0)),Lbl_Viol,Lbl_Comp),Lbl_NA),INDEX(Checker!M$6:M$405,MATCH($D33,Checker!$A$6:$A$405,0))))</f>
        <v>n/a</v>
      </c>
      <c r="Q33" s="42" t="str">
        <f>IF($D33="","",IF($D33=Test_Synth,IF(F33=Lbl_Meals,IF(H33&gt;IF(G33=Lbl_Metro,Limit_Metro,Limit_NonMetro),Lbl_Viol,Lbl_Comp),Lbl_NA),INDEX(Checker!N$6:N$405,MATCH($D33,Checker!$A$6:$A$405,0))))</f>
        <v>Compliant</v>
      </c>
      <c r="R33" s="42" t="str">
        <f>IF($D33="","",IF($D33=Test_Synth,IF(F33=Lbl_Alcohol,Lbl_Viol,Lbl_NA),INDEX(Checker!O$6:O$405,MATCH($D33,Checker!$A$6:$A$405,0))))</f>
        <v>n/a</v>
      </c>
      <c r="S33" s="42" t="str">
        <f>IF($D33="","",IF($D33=Test_Synth,IF(AND(I33=Lbl_NoReceipt,H33&gt;Receipt_Threshold),Lbl_Viol,Lbl_Comp),INDEX(Checker!P$6:P$405,MATCH($D33,Checker!$A$6:$A$405,0))))</f>
        <v>Compliant</v>
      </c>
      <c r="T33" s="42" t="str">
        <f>IF($D33="","",IF($D33=Test_Synth,IF(L33&gt;Late_Days,Lbl_Viol,Lbl_Comp),INDEX(Checker!Q$6:Q$405,MATCH($D33,Checker!$A$6:$A$405,0))))</f>
        <v>Compliant</v>
      </c>
      <c r="U33" s="36" t="str">
        <f>IF($D33="","",IF($D33=Test_Synth,IF(COUNTIF(M33:T33,Lbl_Viol)&gt;0,Lbl_Viol,Lbl_Comp),INDEX(Checker!$R$6:$R$405,MATCH($D33,Checker!$A$6:$A$405,0))))</f>
        <v>Compliant</v>
      </c>
      <c r="V33" s="36" t="str">
        <f>IF($D33="","",IF($D33=Test_Synth,_xlfn.TEXTJOIN(", ",TRUE(),IF(M33=Lbl_Viol,M$5,""),IF(N33=Lbl_Viol,N$5,""),IF(O33=Lbl_Viol,O$5,""),IF(P33=Lbl_Viol,P$5,""),IF(Q33=Lbl_Viol,Q$5,""),IF(R33=Lbl_Viol,R$5,""),IF(S33=Lbl_Viol,S$5,""),IF(T33=Lbl_Viol,T$5,"")),INDEX(Checker!$S$6:$S$405,MATCH($D33,Checker!$A$6:$A$405,0))))</f>
        <v/>
      </c>
      <c r="W33" s="36" t="str">
        <f>IF($D33="","",IF($D33=Test_Synth,IF(T33=Lbl_Viol,IF(L33&gt;Expired_Days,Lbl_Expired,Lbl_Late),""),INDEX(Checker!$T$6:$T$405,MATCH($D33,Checker!$A$6:$A$405,0))))</f>
        <v/>
      </c>
      <c r="X33" s="36" t="str">
        <f>IF($D33="","",IF($D33=Test_Synth,IF(U33=Lbl_Comp,"",IF(SUMPRODUCT((M33:T33=Lbl_Viol)*(M$4:T$4=Lbl_Definite))&gt;0,Lbl_Definite,Lbl_Assumption)),INDEX(Checker!$U$6:$U$405,MATCH($D33,Checker!$A$6:$A$405,0))))</f>
        <v/>
      </c>
      <c r="Y33" s="37" t="s">
        <v>813</v>
      </c>
      <c r="Z33" s="37"/>
      <c r="AA33" s="37"/>
      <c r="AB33" s="37"/>
      <c r="AC33" s="46" t="str">
        <f t="shared" si="0"/>
        <v>PASS</v>
      </c>
    </row>
    <row r="34" spans="1:29" ht="15" customHeight="1" x14ac:dyDescent="0.3">
      <c r="A34" s="35" t="s">
        <v>1130</v>
      </c>
      <c r="B34" s="35" t="s">
        <v>655</v>
      </c>
      <c r="C34" s="72" t="s">
        <v>1131</v>
      </c>
      <c r="D34" s="33" t="s">
        <v>102</v>
      </c>
      <c r="E34" s="36" t="str">
        <f>INDEX(Checker!$B$6:$B$405,MATCH($D34,Checker!$A$6:$A$405,0))</f>
        <v>M5</v>
      </c>
      <c r="F34" s="36" t="str">
        <f>INDEX(Checker!$C$6:$C$405,MATCH($D34,Checker!$A$6:$A$405,0))</f>
        <v>Alcohol</v>
      </c>
      <c r="G34" s="36" t="str">
        <f>INDEX(Checker!$D$6:$D$405,MATCH($D34,Checker!$A$6:$A$405,0))</f>
        <v>Metro</v>
      </c>
      <c r="H34" s="40">
        <f>INDEX(Checker!$E$6:$E$405,MATCH($D34,Checker!$A$6:$A$405,0))</f>
        <v>2069</v>
      </c>
      <c r="I34" s="36" t="str">
        <f>INDEX(Checker!$F$6:$F$405,MATCH($D34,Checker!$A$6:$A$405,0))</f>
        <v>Yes</v>
      </c>
      <c r="J34" s="36" t="str">
        <f>INDEX(Checker!$G$6:$G$405,MATCH($D34,Checker!$A$6:$A$405,0))</f>
        <v/>
      </c>
      <c r="K34" s="36" t="str">
        <f>INDEX(Checker!$H$6:$H$405,MATCH($D34,Checker!$A$6:$A$405,0))</f>
        <v/>
      </c>
      <c r="L34" s="41">
        <f>INDEX(Checker!$I$6:$I$405,MATCH($D34,Checker!$A$6:$A$405,0))</f>
        <v>14</v>
      </c>
      <c r="M34" s="42" t="str">
        <f>IF($D34="","",IF($D34=Test_Synth,IF(F34=Lbl_Flight,IF(AND(K34=Lbl_Business,INDEX(Biz_Permitted,MATCH(E34,Caps_Grade,0))=Lbl_BizNo),Lbl_Viol,Lbl_Comp),Lbl_NA),INDEX(Checker!J$6:J$405,MATCH($D34,Checker!$A$6:$A$405,0))))</f>
        <v>n/a</v>
      </c>
      <c r="N34" s="42" t="str">
        <f>IF($D34="","",IF($D34=Test_Synth,IF(F34=Lbl_Flight,IF(J34&lt;Min_Days_Booked,Lbl_Viol,Lbl_Comp),Lbl_NA),INDEX(Checker!K$6:K$405,MATCH($D34,Checker!$A$6:$A$405,0))))</f>
        <v>n/a</v>
      </c>
      <c r="O34" s="42" t="str">
        <f>IF($D34="","",IF($D34=Test_Synth,IF(AND(F34=Lbl_Hotel,G34=Lbl_Metro),IF(H34&gt;INDEX(Caps_Metro,MATCH(E34,Caps_Grade,0)),Lbl_Viol,Lbl_Comp),Lbl_NA),INDEX(Checker!L$6:L$405,MATCH($D34,Checker!$A$6:$A$405,0))))</f>
        <v>n/a</v>
      </c>
      <c r="P34" s="42" t="str">
        <f>IF($D34="","",IF($D34=Test_Synth,IF(AND(F34=Lbl_Hotel,G34=Lbl_NonMetro),IF(H34&gt;INDEX(Caps_NonMetro,MATCH(E34,Caps_Grade,0)),Lbl_Viol,Lbl_Comp),Lbl_NA),INDEX(Checker!M$6:M$405,MATCH($D34,Checker!$A$6:$A$405,0))))</f>
        <v>n/a</v>
      </c>
      <c r="Q34" s="42" t="str">
        <f>IF($D34="","",IF($D34=Test_Synth,IF(F34=Lbl_Meals,IF(H34&gt;IF(G34=Lbl_Metro,Limit_Metro,Limit_NonMetro),Lbl_Viol,Lbl_Comp),Lbl_NA),INDEX(Checker!N$6:N$405,MATCH($D34,Checker!$A$6:$A$405,0))))</f>
        <v>n/a</v>
      </c>
      <c r="R34" s="42" t="str">
        <f>IF($D34="","",IF($D34=Test_Synth,IF(F34=Lbl_Alcohol,Lbl_Viol,Lbl_NA),INDEX(Checker!O$6:O$405,MATCH($D34,Checker!$A$6:$A$405,0))))</f>
        <v>Violation</v>
      </c>
      <c r="S34" s="42" t="str">
        <f>IF($D34="","",IF($D34=Test_Synth,IF(AND(I34=Lbl_NoReceipt,H34&gt;Receipt_Threshold),Lbl_Viol,Lbl_Comp),INDEX(Checker!P$6:P$405,MATCH($D34,Checker!$A$6:$A$405,0))))</f>
        <v>Compliant</v>
      </c>
      <c r="T34" s="42" t="str">
        <f>IF($D34="","",IF($D34=Test_Synth,IF(L34&gt;Late_Days,Lbl_Viol,Lbl_Comp),INDEX(Checker!Q$6:Q$405,MATCH($D34,Checker!$A$6:$A$405,0))))</f>
        <v>Compliant</v>
      </c>
      <c r="U34" s="36" t="str">
        <f>IF($D34="","",IF($D34=Test_Synth,IF(COUNTIF(M34:T34,Lbl_Viol)&gt;0,Lbl_Viol,Lbl_Comp),INDEX(Checker!$R$6:$R$405,MATCH($D34,Checker!$A$6:$A$405,0))))</f>
        <v>Violation</v>
      </c>
      <c r="V34" s="36" t="str">
        <f>IF($D34="","",IF($D34=Test_Synth,_xlfn.TEXTJOIN(", ",TRUE(),IF(M34=Lbl_Viol,M$5,""),IF(N34=Lbl_Viol,N$5,""),IF(O34=Lbl_Viol,O$5,""),IF(P34=Lbl_Viol,P$5,""),IF(Q34=Lbl_Viol,Q$5,""),IF(R34=Lbl_Viol,R$5,""),IF(S34=Lbl_Viol,S$5,""),IF(T34=Lbl_Viol,T$5,"")),INDEX(Checker!$S$6:$S$405,MATCH($D34,Checker!$A$6:$A$405,0))))</f>
        <v>TP-08</v>
      </c>
      <c r="W34" s="36" t="str">
        <f>IF($D34="","",IF($D34=Test_Synth,IF(T34=Lbl_Viol,IF(L34&gt;Expired_Days,Lbl_Expired,Lbl_Late),""),INDEX(Checker!$T$6:$T$405,MATCH($D34,Checker!$A$6:$A$405,0))))</f>
        <v/>
      </c>
      <c r="X34" s="36" t="str">
        <f>IF($D34="","",IF($D34=Test_Synth,IF(U34=Lbl_Comp,"",IF(SUMPRODUCT((M34:T34=Lbl_Viol)*(M$4:T$4=Lbl_Definite))&gt;0,Lbl_Definite,Lbl_Assumption)),INDEX(Checker!$U$6:$U$405,MATCH($D34,Checker!$A$6:$A$405,0))))</f>
        <v>Definite</v>
      </c>
      <c r="Y34" s="37" t="s">
        <v>812</v>
      </c>
      <c r="Z34" s="37" t="s">
        <v>655</v>
      </c>
      <c r="AA34" s="37"/>
      <c r="AB34" s="37" t="s">
        <v>821</v>
      </c>
      <c r="AC34" s="46" t="str">
        <f t="shared" si="0"/>
        <v>PASS</v>
      </c>
    </row>
    <row r="35" spans="1:29" ht="15" customHeight="1" x14ac:dyDescent="0.3">
      <c r="A35" s="35" t="s">
        <v>1132</v>
      </c>
      <c r="B35" s="35" t="s">
        <v>655</v>
      </c>
      <c r="C35" s="72" t="s">
        <v>1133</v>
      </c>
      <c r="D35" s="33" t="s">
        <v>388</v>
      </c>
      <c r="E35" s="36" t="str">
        <f>INDEX(Checker!$B$6:$B$405,MATCH($D35,Checker!$A$6:$A$405,0))</f>
        <v>M1</v>
      </c>
      <c r="F35" s="36" t="str">
        <f>INDEX(Checker!$C$6:$C$405,MATCH($D35,Checker!$A$6:$A$405,0))</f>
        <v>Alcohol</v>
      </c>
      <c r="G35" s="36" t="str">
        <f>INDEX(Checker!$D$6:$D$405,MATCH($D35,Checker!$A$6:$A$405,0))</f>
        <v>Non-metro</v>
      </c>
      <c r="H35" s="40">
        <f>INDEX(Checker!$E$6:$E$405,MATCH($D35,Checker!$A$6:$A$405,0))</f>
        <v>4330</v>
      </c>
      <c r="I35" s="36" t="str">
        <f>INDEX(Checker!$F$6:$F$405,MATCH($D35,Checker!$A$6:$A$405,0))</f>
        <v>No</v>
      </c>
      <c r="J35" s="36" t="str">
        <f>INDEX(Checker!$G$6:$G$405,MATCH($D35,Checker!$A$6:$A$405,0))</f>
        <v/>
      </c>
      <c r="K35" s="36" t="str">
        <f>INDEX(Checker!$H$6:$H$405,MATCH($D35,Checker!$A$6:$A$405,0))</f>
        <v/>
      </c>
      <c r="L35" s="41">
        <f>INDEX(Checker!$I$6:$I$405,MATCH($D35,Checker!$A$6:$A$405,0))</f>
        <v>2</v>
      </c>
      <c r="M35" s="42" t="str">
        <f>IF($D35="","",IF($D35=Test_Synth,IF(F35=Lbl_Flight,IF(AND(K35=Lbl_Business,INDEX(Biz_Permitted,MATCH(E35,Caps_Grade,0))=Lbl_BizNo),Lbl_Viol,Lbl_Comp),Lbl_NA),INDEX(Checker!J$6:J$405,MATCH($D35,Checker!$A$6:$A$405,0))))</f>
        <v>n/a</v>
      </c>
      <c r="N35" s="42" t="str">
        <f>IF($D35="","",IF($D35=Test_Synth,IF(F35=Lbl_Flight,IF(J35&lt;Min_Days_Booked,Lbl_Viol,Lbl_Comp),Lbl_NA),INDEX(Checker!K$6:K$405,MATCH($D35,Checker!$A$6:$A$405,0))))</f>
        <v>n/a</v>
      </c>
      <c r="O35" s="42" t="str">
        <f>IF($D35="","",IF($D35=Test_Synth,IF(AND(F35=Lbl_Hotel,G35=Lbl_Metro),IF(H35&gt;INDEX(Caps_Metro,MATCH(E35,Caps_Grade,0)),Lbl_Viol,Lbl_Comp),Lbl_NA),INDEX(Checker!L$6:L$405,MATCH($D35,Checker!$A$6:$A$405,0))))</f>
        <v>n/a</v>
      </c>
      <c r="P35" s="42" t="str">
        <f>IF($D35="","",IF($D35=Test_Synth,IF(AND(F35=Lbl_Hotel,G35=Lbl_NonMetro),IF(H35&gt;INDEX(Caps_NonMetro,MATCH(E35,Caps_Grade,0)),Lbl_Viol,Lbl_Comp),Lbl_NA),INDEX(Checker!M$6:M$405,MATCH($D35,Checker!$A$6:$A$405,0))))</f>
        <v>n/a</v>
      </c>
      <c r="Q35" s="42" t="str">
        <f>IF($D35="","",IF($D35=Test_Synth,IF(F35=Lbl_Meals,IF(H35&gt;IF(G35=Lbl_Metro,Limit_Metro,Limit_NonMetro),Lbl_Viol,Lbl_Comp),Lbl_NA),INDEX(Checker!N$6:N$405,MATCH($D35,Checker!$A$6:$A$405,0))))</f>
        <v>n/a</v>
      </c>
      <c r="R35" s="42" t="str">
        <f>IF($D35="","",IF($D35=Test_Synth,IF(F35=Lbl_Alcohol,Lbl_Viol,Lbl_NA),INDEX(Checker!O$6:O$405,MATCH($D35,Checker!$A$6:$A$405,0))))</f>
        <v>Violation</v>
      </c>
      <c r="S35" s="42" t="str">
        <f>IF($D35="","",IF($D35=Test_Synth,IF(AND(I35=Lbl_NoReceipt,H35&gt;Receipt_Threshold),Lbl_Viol,Lbl_Comp),INDEX(Checker!P$6:P$405,MATCH($D35,Checker!$A$6:$A$405,0))))</f>
        <v>Violation</v>
      </c>
      <c r="T35" s="42" t="str">
        <f>IF($D35="","",IF($D35=Test_Synth,IF(L35&gt;Late_Days,Lbl_Viol,Lbl_Comp),INDEX(Checker!Q$6:Q$405,MATCH($D35,Checker!$A$6:$A$405,0))))</f>
        <v>Compliant</v>
      </c>
      <c r="U35" s="36" t="str">
        <f>IF($D35="","",IF($D35=Test_Synth,IF(COUNTIF(M35:T35,Lbl_Viol)&gt;0,Lbl_Viol,Lbl_Comp),INDEX(Checker!$R$6:$R$405,MATCH($D35,Checker!$A$6:$A$405,0))))</f>
        <v>Violation</v>
      </c>
      <c r="V35" s="36" t="str">
        <f>IF($D35="","",IF($D35=Test_Synth,_xlfn.TEXTJOIN(", ",TRUE(),IF(M35=Lbl_Viol,M$5,""),IF(N35=Lbl_Viol,N$5,""),IF(O35=Lbl_Viol,O$5,""),IF(P35=Lbl_Viol,P$5,""),IF(Q35=Lbl_Viol,Q$5,""),IF(R35=Lbl_Viol,R$5,""),IF(S35=Lbl_Viol,S$5,""),IF(T35=Lbl_Viol,T$5,"")),INDEX(Checker!$S$6:$S$405,MATCH($D35,Checker!$A$6:$A$405,0))))</f>
        <v>TP-08, TP-09</v>
      </c>
      <c r="W35" s="36" t="str">
        <f>IF($D35="","",IF($D35=Test_Synth,IF(T35=Lbl_Viol,IF(L35&gt;Expired_Days,Lbl_Expired,Lbl_Late),""),INDEX(Checker!$T$6:$T$405,MATCH($D35,Checker!$A$6:$A$405,0))))</f>
        <v/>
      </c>
      <c r="X35" s="36" t="str">
        <f>IF($D35="","",IF($D35=Test_Synth,IF(U35=Lbl_Comp,"",IF(SUMPRODUCT((M35:T35=Lbl_Viol)*(M$4:T$4=Lbl_Definite))&gt;0,Lbl_Definite,Lbl_Assumption)),INDEX(Checker!$U$6:$U$405,MATCH($D35,Checker!$A$6:$A$405,0))))</f>
        <v>Definite</v>
      </c>
      <c r="Y35" s="37" t="s">
        <v>812</v>
      </c>
      <c r="Z35" s="37" t="s">
        <v>1048</v>
      </c>
      <c r="AA35" s="37"/>
      <c r="AB35" s="37" t="s">
        <v>821</v>
      </c>
      <c r="AC35" s="46" t="str">
        <f t="shared" si="0"/>
        <v>PASS</v>
      </c>
    </row>
    <row r="36" spans="1:29" ht="23.25" customHeight="1" x14ac:dyDescent="0.3">
      <c r="A36" s="35" t="s">
        <v>1134</v>
      </c>
      <c r="B36" s="35" t="s">
        <v>655</v>
      </c>
      <c r="C36" s="72" t="s">
        <v>1135</v>
      </c>
      <c r="D36" s="33" t="s">
        <v>1057</v>
      </c>
      <c r="E36" s="37" t="s">
        <v>94</v>
      </c>
      <c r="F36" s="37" t="s">
        <v>106</v>
      </c>
      <c r="G36" s="37" t="s">
        <v>97</v>
      </c>
      <c r="H36" s="78">
        <v>100</v>
      </c>
      <c r="I36" s="37" t="s">
        <v>90</v>
      </c>
      <c r="J36" s="37"/>
      <c r="K36" s="37"/>
      <c r="L36" s="37">
        <v>5</v>
      </c>
      <c r="M36" s="42" t="str">
        <f>IF($D36="","",IF($D36=Test_Synth,IF(F36=Lbl_Flight,IF(AND(K36=Lbl_Business,INDEX(Biz_Permitted,MATCH(E36,Caps_Grade,0))=Lbl_BizNo),Lbl_Viol,Lbl_Comp),Lbl_NA),INDEX(Checker!J$6:J$405,MATCH($D36,Checker!$A$6:$A$405,0))))</f>
        <v>n/a</v>
      </c>
      <c r="N36" s="42" t="str">
        <f>IF($D36="","",IF($D36=Test_Synth,IF(F36=Lbl_Flight,IF(J36&lt;Min_Days_Booked,Lbl_Viol,Lbl_Comp),Lbl_NA),INDEX(Checker!K$6:K$405,MATCH($D36,Checker!$A$6:$A$405,0))))</f>
        <v>n/a</v>
      </c>
      <c r="O36" s="42" t="str">
        <f>IF($D36="","",IF($D36=Test_Synth,IF(AND(F36=Lbl_Hotel,G36=Lbl_Metro),IF(H36&gt;INDEX(Caps_Metro,MATCH(E36,Caps_Grade,0)),Lbl_Viol,Lbl_Comp),Lbl_NA),INDEX(Checker!L$6:L$405,MATCH($D36,Checker!$A$6:$A$405,0))))</f>
        <v>n/a</v>
      </c>
      <c r="P36" s="42" t="str">
        <f>IF($D36="","",IF($D36=Test_Synth,IF(AND(F36=Lbl_Hotel,G36=Lbl_NonMetro),IF(H36&gt;INDEX(Caps_NonMetro,MATCH(E36,Caps_Grade,0)),Lbl_Viol,Lbl_Comp),Lbl_NA),INDEX(Checker!M$6:M$405,MATCH($D36,Checker!$A$6:$A$405,0))))</f>
        <v>n/a</v>
      </c>
      <c r="Q36" s="42" t="str">
        <f>IF($D36="","",IF($D36=Test_Synth,IF(F36=Lbl_Meals,IF(H36&gt;IF(G36=Lbl_Metro,Limit_Metro,Limit_NonMetro),Lbl_Viol,Lbl_Comp),Lbl_NA),INDEX(Checker!N$6:N$405,MATCH($D36,Checker!$A$6:$A$405,0))))</f>
        <v>n/a</v>
      </c>
      <c r="R36" s="42" t="str">
        <f>IF($D36="","",IF($D36=Test_Synth,IF(F36=Lbl_Alcohol,Lbl_Viol,Lbl_NA),INDEX(Checker!O$6:O$405,MATCH($D36,Checker!$A$6:$A$405,0))))</f>
        <v>Violation</v>
      </c>
      <c r="S36" s="42" t="str">
        <f>IF($D36="","",IF($D36=Test_Synth,IF(AND(I36=Lbl_NoReceipt,H36&gt;Receipt_Threshold),Lbl_Viol,Lbl_Comp),INDEX(Checker!P$6:P$405,MATCH($D36,Checker!$A$6:$A$405,0))))</f>
        <v>Compliant</v>
      </c>
      <c r="T36" s="42" t="str">
        <f>IF($D36="","",IF($D36=Test_Synth,IF(L36&gt;Late_Days,Lbl_Viol,Lbl_Comp),INDEX(Checker!Q$6:Q$405,MATCH($D36,Checker!$A$6:$A$405,0))))</f>
        <v>Compliant</v>
      </c>
      <c r="U36" s="36" t="str">
        <f>IF($D36="","",IF($D36=Test_Synth,IF(COUNTIF(M36:T36,Lbl_Viol)&gt;0,Lbl_Viol,Lbl_Comp),INDEX(Checker!$R$6:$R$405,MATCH($D36,Checker!$A$6:$A$405,0))))</f>
        <v>Violation</v>
      </c>
      <c r="V36" s="36" t="str">
        <f>IF($D36="","",IF($D36=Test_Synth,_xlfn.TEXTJOIN(", ",TRUE(),IF(M36=Lbl_Viol,M$5,""),IF(N36=Lbl_Viol,N$5,""),IF(O36=Lbl_Viol,O$5,""),IF(P36=Lbl_Viol,P$5,""),IF(Q36=Lbl_Viol,Q$5,""),IF(R36=Lbl_Viol,R$5,""),IF(S36=Lbl_Viol,S$5,""),IF(T36=Lbl_Viol,T$5,"")),INDEX(Checker!$S$6:$S$405,MATCH($D36,Checker!$A$6:$A$405,0))))</f>
        <v>TP-08</v>
      </c>
      <c r="W36" s="36" t="str">
        <f>IF($D36="","",IF($D36=Test_Synth,IF(T36=Lbl_Viol,IF(L36&gt;Expired_Days,Lbl_Expired,Lbl_Late),""),INDEX(Checker!$T$6:$T$405,MATCH($D36,Checker!$A$6:$A$405,0))))</f>
        <v/>
      </c>
      <c r="X36" s="36" t="str">
        <f>IF($D36="","",IF($D36=Test_Synth,IF(U36=Lbl_Comp,"",IF(SUMPRODUCT((M36:T36=Lbl_Viol)*(M$4:T$4=Lbl_Definite))&gt;0,Lbl_Definite,Lbl_Assumption)),INDEX(Checker!$U$6:$U$405,MATCH($D36,Checker!$A$6:$A$405,0))))</f>
        <v>Definite</v>
      </c>
      <c r="Y36" s="37" t="s">
        <v>812</v>
      </c>
      <c r="Z36" s="37" t="s">
        <v>655</v>
      </c>
      <c r="AA36" s="37"/>
      <c r="AB36" s="37" t="s">
        <v>821</v>
      </c>
      <c r="AC36" s="46" t="str">
        <f t="shared" si="0"/>
        <v>PASS</v>
      </c>
    </row>
    <row r="37" spans="1:29" ht="15" customHeight="1" x14ac:dyDescent="0.3">
      <c r="A37" s="35" t="s">
        <v>1136</v>
      </c>
      <c r="B37" s="35" t="s">
        <v>655</v>
      </c>
      <c r="C37" s="72" t="s">
        <v>1137</v>
      </c>
      <c r="D37" s="33" t="s">
        <v>160</v>
      </c>
      <c r="E37" s="36" t="str">
        <f>INDEX(Checker!$B$6:$B$405,MATCH($D37,Checker!$A$6:$A$405,0))</f>
        <v>M3</v>
      </c>
      <c r="F37" s="36" t="str">
        <f>INDEX(Checker!$C$6:$C$405,MATCH($D37,Checker!$A$6:$A$405,0))</f>
        <v>Client Entertainment</v>
      </c>
      <c r="G37" s="36" t="str">
        <f>INDEX(Checker!$D$6:$D$405,MATCH($D37,Checker!$A$6:$A$405,0))</f>
        <v>Non-metro</v>
      </c>
      <c r="H37" s="40">
        <f>INDEX(Checker!$E$6:$E$405,MATCH($D37,Checker!$A$6:$A$405,0))</f>
        <v>5918</v>
      </c>
      <c r="I37" s="36" t="str">
        <f>INDEX(Checker!$F$6:$F$405,MATCH($D37,Checker!$A$6:$A$405,0))</f>
        <v>Yes</v>
      </c>
      <c r="J37" s="36" t="str">
        <f>INDEX(Checker!$G$6:$G$405,MATCH($D37,Checker!$A$6:$A$405,0))</f>
        <v/>
      </c>
      <c r="K37" s="36" t="str">
        <f>INDEX(Checker!$H$6:$H$405,MATCH($D37,Checker!$A$6:$A$405,0))</f>
        <v/>
      </c>
      <c r="L37" s="41">
        <f>INDEX(Checker!$I$6:$I$405,MATCH($D37,Checker!$A$6:$A$405,0))</f>
        <v>5</v>
      </c>
      <c r="M37" s="42" t="str">
        <f>IF($D37="","",IF($D37=Test_Synth,IF(F37=Lbl_Flight,IF(AND(K37=Lbl_Business,INDEX(Biz_Permitted,MATCH(E37,Caps_Grade,0))=Lbl_BizNo),Lbl_Viol,Lbl_Comp),Lbl_NA),INDEX(Checker!J$6:J$405,MATCH($D37,Checker!$A$6:$A$405,0))))</f>
        <v>n/a</v>
      </c>
      <c r="N37" s="42" t="str">
        <f>IF($D37="","",IF($D37=Test_Synth,IF(F37=Lbl_Flight,IF(J37&lt;Min_Days_Booked,Lbl_Viol,Lbl_Comp),Lbl_NA),INDEX(Checker!K$6:K$405,MATCH($D37,Checker!$A$6:$A$405,0))))</f>
        <v>n/a</v>
      </c>
      <c r="O37" s="42" t="str">
        <f>IF($D37="","",IF($D37=Test_Synth,IF(AND(F37=Lbl_Hotel,G37=Lbl_Metro),IF(H37&gt;INDEX(Caps_Metro,MATCH(E37,Caps_Grade,0)),Lbl_Viol,Lbl_Comp),Lbl_NA),INDEX(Checker!L$6:L$405,MATCH($D37,Checker!$A$6:$A$405,0))))</f>
        <v>n/a</v>
      </c>
      <c r="P37" s="42" t="str">
        <f>IF($D37="","",IF($D37=Test_Synth,IF(AND(F37=Lbl_Hotel,G37=Lbl_NonMetro),IF(H37&gt;INDEX(Caps_NonMetro,MATCH(E37,Caps_Grade,0)),Lbl_Viol,Lbl_Comp),Lbl_NA),INDEX(Checker!M$6:M$405,MATCH($D37,Checker!$A$6:$A$405,0))))</f>
        <v>n/a</v>
      </c>
      <c r="Q37" s="42" t="str">
        <f>IF($D37="","",IF($D37=Test_Synth,IF(F37=Lbl_Meals,IF(H37&gt;IF(G37=Lbl_Metro,Limit_Metro,Limit_NonMetro),Lbl_Viol,Lbl_Comp),Lbl_NA),INDEX(Checker!N$6:N$405,MATCH($D37,Checker!$A$6:$A$405,0))))</f>
        <v>n/a</v>
      </c>
      <c r="R37" s="42" t="str">
        <f>IF($D37="","",IF($D37=Test_Synth,IF(F37=Lbl_Alcohol,Lbl_Viol,Lbl_NA),INDEX(Checker!O$6:O$405,MATCH($D37,Checker!$A$6:$A$405,0))))</f>
        <v>n/a</v>
      </c>
      <c r="S37" s="42" t="str">
        <f>IF($D37="","",IF($D37=Test_Synth,IF(AND(I37=Lbl_NoReceipt,H37&gt;Receipt_Threshold),Lbl_Viol,Lbl_Comp),INDEX(Checker!P$6:P$405,MATCH($D37,Checker!$A$6:$A$405,0))))</f>
        <v>Compliant</v>
      </c>
      <c r="T37" s="42" t="str">
        <f>IF($D37="","",IF($D37=Test_Synth,IF(L37&gt;Late_Days,Lbl_Viol,Lbl_Comp),INDEX(Checker!Q$6:Q$405,MATCH($D37,Checker!$A$6:$A$405,0))))</f>
        <v>Compliant</v>
      </c>
      <c r="U37" s="36" t="str">
        <f>IF($D37="","",IF($D37=Test_Synth,IF(COUNTIF(M37:T37,Lbl_Viol)&gt;0,Lbl_Viol,Lbl_Comp),INDEX(Checker!$R$6:$R$405,MATCH($D37,Checker!$A$6:$A$405,0))))</f>
        <v>Compliant</v>
      </c>
      <c r="V37" s="36" t="str">
        <f>IF($D37="","",IF($D37=Test_Synth,_xlfn.TEXTJOIN(", ",TRUE(),IF(M37=Lbl_Viol,M$5,""),IF(N37=Lbl_Viol,N$5,""),IF(O37=Lbl_Viol,O$5,""),IF(P37=Lbl_Viol,P$5,""),IF(Q37=Lbl_Viol,Q$5,""),IF(R37=Lbl_Viol,R$5,""),IF(S37=Lbl_Viol,S$5,""),IF(T37=Lbl_Viol,T$5,"")),INDEX(Checker!$S$6:$S$405,MATCH($D37,Checker!$A$6:$A$405,0))))</f>
        <v/>
      </c>
      <c r="W37" s="36" t="str">
        <f>IF($D37="","",IF($D37=Test_Synth,IF(T37=Lbl_Viol,IF(L37&gt;Expired_Days,Lbl_Expired,Lbl_Late),""),INDEX(Checker!$T$6:$T$405,MATCH($D37,Checker!$A$6:$A$405,0))))</f>
        <v/>
      </c>
      <c r="X37" s="36" t="str">
        <f>IF($D37="","",IF($D37=Test_Synth,IF(U37=Lbl_Comp,"",IF(SUMPRODUCT((M37:T37=Lbl_Viol)*(M$4:T$4=Lbl_Definite))&gt;0,Lbl_Definite,Lbl_Assumption)),INDEX(Checker!$U$6:$U$405,MATCH($D37,Checker!$A$6:$A$405,0))))</f>
        <v/>
      </c>
      <c r="Y37" s="37" t="s">
        <v>813</v>
      </c>
      <c r="Z37" s="37"/>
      <c r="AA37" s="37"/>
      <c r="AB37" s="37"/>
      <c r="AC37" s="46" t="str">
        <f t="shared" si="0"/>
        <v>PASS</v>
      </c>
    </row>
    <row r="38" spans="1:29" ht="15" customHeight="1" x14ac:dyDescent="0.3">
      <c r="A38" s="35" t="s">
        <v>1138</v>
      </c>
      <c r="B38" s="35" t="s">
        <v>657</v>
      </c>
      <c r="C38" s="72" t="s">
        <v>1139</v>
      </c>
      <c r="D38" s="33" t="s">
        <v>320</v>
      </c>
      <c r="E38" s="36" t="str">
        <f>INDEX(Checker!$B$6:$B$405,MATCH($D38,Checker!$A$6:$A$405,0))</f>
        <v>M2</v>
      </c>
      <c r="F38" s="36" t="str">
        <f>INDEX(Checker!$C$6:$C$405,MATCH($D38,Checker!$A$6:$A$405,0))</f>
        <v>Meals/DA</v>
      </c>
      <c r="G38" s="36" t="str">
        <f>INDEX(Checker!$D$6:$D$405,MATCH($D38,Checker!$A$6:$A$405,0))</f>
        <v>Metro</v>
      </c>
      <c r="H38" s="40">
        <f>INDEX(Checker!$E$6:$E$405,MATCH($D38,Checker!$A$6:$A$405,0))</f>
        <v>612</v>
      </c>
      <c r="I38" s="36" t="str">
        <f>INDEX(Checker!$F$6:$F$405,MATCH($D38,Checker!$A$6:$A$405,0))</f>
        <v>No</v>
      </c>
      <c r="J38" s="36" t="str">
        <f>INDEX(Checker!$G$6:$G$405,MATCH($D38,Checker!$A$6:$A$405,0))</f>
        <v/>
      </c>
      <c r="K38" s="36" t="str">
        <f>INDEX(Checker!$H$6:$H$405,MATCH($D38,Checker!$A$6:$A$405,0))</f>
        <v/>
      </c>
      <c r="L38" s="41">
        <f>INDEX(Checker!$I$6:$I$405,MATCH($D38,Checker!$A$6:$A$405,0))</f>
        <v>9</v>
      </c>
      <c r="M38" s="42" t="str">
        <f>IF($D38="","",IF($D38=Test_Synth,IF(F38=Lbl_Flight,IF(AND(K38=Lbl_Business,INDEX(Biz_Permitted,MATCH(E38,Caps_Grade,0))=Lbl_BizNo),Lbl_Viol,Lbl_Comp),Lbl_NA),INDEX(Checker!J$6:J$405,MATCH($D38,Checker!$A$6:$A$405,0))))</f>
        <v>n/a</v>
      </c>
      <c r="N38" s="42" t="str">
        <f>IF($D38="","",IF($D38=Test_Synth,IF(F38=Lbl_Flight,IF(J38&lt;Min_Days_Booked,Lbl_Viol,Lbl_Comp),Lbl_NA),INDEX(Checker!K$6:K$405,MATCH($D38,Checker!$A$6:$A$405,0))))</f>
        <v>n/a</v>
      </c>
      <c r="O38" s="42" t="str">
        <f>IF($D38="","",IF($D38=Test_Synth,IF(AND(F38=Lbl_Hotel,G38=Lbl_Metro),IF(H38&gt;INDEX(Caps_Metro,MATCH(E38,Caps_Grade,0)),Lbl_Viol,Lbl_Comp),Lbl_NA),INDEX(Checker!L$6:L$405,MATCH($D38,Checker!$A$6:$A$405,0))))</f>
        <v>n/a</v>
      </c>
      <c r="P38" s="42" t="str">
        <f>IF($D38="","",IF($D38=Test_Synth,IF(AND(F38=Lbl_Hotel,G38=Lbl_NonMetro),IF(H38&gt;INDEX(Caps_NonMetro,MATCH(E38,Caps_Grade,0)),Lbl_Viol,Lbl_Comp),Lbl_NA),INDEX(Checker!M$6:M$405,MATCH($D38,Checker!$A$6:$A$405,0))))</f>
        <v>n/a</v>
      </c>
      <c r="Q38" s="42" t="str">
        <f>IF($D38="","",IF($D38=Test_Synth,IF(F38=Lbl_Meals,IF(H38&gt;IF(G38=Lbl_Metro,Limit_Metro,Limit_NonMetro),Lbl_Viol,Lbl_Comp),Lbl_NA),INDEX(Checker!N$6:N$405,MATCH($D38,Checker!$A$6:$A$405,0))))</f>
        <v>Compliant</v>
      </c>
      <c r="R38" s="42" t="str">
        <f>IF($D38="","",IF($D38=Test_Synth,IF(F38=Lbl_Alcohol,Lbl_Viol,Lbl_NA),INDEX(Checker!O$6:O$405,MATCH($D38,Checker!$A$6:$A$405,0))))</f>
        <v>n/a</v>
      </c>
      <c r="S38" s="42" t="str">
        <f>IF($D38="","",IF($D38=Test_Synth,IF(AND(I38=Lbl_NoReceipt,H38&gt;Receipt_Threshold),Lbl_Viol,Lbl_Comp),INDEX(Checker!P$6:P$405,MATCH($D38,Checker!$A$6:$A$405,0))))</f>
        <v>Violation</v>
      </c>
      <c r="T38" s="42" t="str">
        <f>IF($D38="","",IF($D38=Test_Synth,IF(L38&gt;Late_Days,Lbl_Viol,Lbl_Comp),INDEX(Checker!Q$6:Q$405,MATCH($D38,Checker!$A$6:$A$405,0))))</f>
        <v>Compliant</v>
      </c>
      <c r="U38" s="36" t="str">
        <f>IF($D38="","",IF($D38=Test_Synth,IF(COUNTIF(M38:T38,Lbl_Viol)&gt;0,Lbl_Viol,Lbl_Comp),INDEX(Checker!$R$6:$R$405,MATCH($D38,Checker!$A$6:$A$405,0))))</f>
        <v>Violation</v>
      </c>
      <c r="V38" s="36" t="str">
        <f>IF($D38="","",IF($D38=Test_Synth,_xlfn.TEXTJOIN(", ",TRUE(),IF(M38=Lbl_Viol,M$5,""),IF(N38=Lbl_Viol,N$5,""),IF(O38=Lbl_Viol,O$5,""),IF(P38=Lbl_Viol,P$5,""),IF(Q38=Lbl_Viol,Q$5,""),IF(R38=Lbl_Viol,R$5,""),IF(S38=Lbl_Viol,S$5,""),IF(T38=Lbl_Viol,T$5,"")),INDEX(Checker!$S$6:$S$405,MATCH($D38,Checker!$A$6:$A$405,0))))</f>
        <v>TP-09</v>
      </c>
      <c r="W38" s="36" t="str">
        <f>IF($D38="","",IF($D38=Test_Synth,IF(T38=Lbl_Viol,IF(L38&gt;Expired_Days,Lbl_Expired,Lbl_Late),""),INDEX(Checker!$T$6:$T$405,MATCH($D38,Checker!$A$6:$A$405,0))))</f>
        <v/>
      </c>
      <c r="X38" s="36" t="str">
        <f>IF($D38="","",IF($D38=Test_Synth,IF(U38=Lbl_Comp,"",IF(SUMPRODUCT((M38:T38=Lbl_Viol)*(M$4:T$4=Lbl_Definite))&gt;0,Lbl_Definite,Lbl_Assumption)),INDEX(Checker!$U$6:$U$405,MATCH($D38,Checker!$A$6:$A$405,0))))</f>
        <v>Definite</v>
      </c>
      <c r="Y38" s="37" t="s">
        <v>812</v>
      </c>
      <c r="Z38" s="37" t="s">
        <v>657</v>
      </c>
      <c r="AA38" s="37"/>
      <c r="AB38" s="37" t="s">
        <v>821</v>
      </c>
      <c r="AC38" s="46" t="str">
        <f t="shared" ref="AC38:AC69" si="1">IF(Y38="","Awaiting input",IFERROR(IF(AND(U38=Y38,V38=Z38,W38=AA38,X38=AB38),"PASS","FAIL"),"FAIL"))</f>
        <v>PASS</v>
      </c>
    </row>
    <row r="39" spans="1:29" ht="15" customHeight="1" x14ac:dyDescent="0.3">
      <c r="A39" s="35" t="s">
        <v>1140</v>
      </c>
      <c r="B39" s="35" t="s">
        <v>657</v>
      </c>
      <c r="C39" s="72" t="s">
        <v>1141</v>
      </c>
      <c r="D39" s="33" t="s">
        <v>561</v>
      </c>
      <c r="E39" s="36" t="str">
        <f>INDEX(Checker!$B$6:$B$405,MATCH($D39,Checker!$A$6:$A$405,0))</f>
        <v>M2</v>
      </c>
      <c r="F39" s="36" t="str">
        <f>INDEX(Checker!$C$6:$C$405,MATCH($D39,Checker!$A$6:$A$405,0))</f>
        <v>Local Cab</v>
      </c>
      <c r="G39" s="36" t="str">
        <f>INDEX(Checker!$D$6:$D$405,MATCH($D39,Checker!$A$6:$A$405,0))</f>
        <v>Non-metro</v>
      </c>
      <c r="H39" s="40">
        <f>INDEX(Checker!$E$6:$E$405,MATCH($D39,Checker!$A$6:$A$405,0))</f>
        <v>429</v>
      </c>
      <c r="I39" s="36" t="str">
        <f>INDEX(Checker!$F$6:$F$405,MATCH($D39,Checker!$A$6:$A$405,0))</f>
        <v>No</v>
      </c>
      <c r="J39" s="36" t="str">
        <f>INDEX(Checker!$G$6:$G$405,MATCH($D39,Checker!$A$6:$A$405,0))</f>
        <v/>
      </c>
      <c r="K39" s="36" t="str">
        <f>INDEX(Checker!$H$6:$H$405,MATCH($D39,Checker!$A$6:$A$405,0))</f>
        <v/>
      </c>
      <c r="L39" s="41">
        <f>INDEX(Checker!$I$6:$I$405,MATCH($D39,Checker!$A$6:$A$405,0))</f>
        <v>2</v>
      </c>
      <c r="M39" s="42" t="str">
        <f>IF($D39="","",IF($D39=Test_Synth,IF(F39=Lbl_Flight,IF(AND(K39=Lbl_Business,INDEX(Biz_Permitted,MATCH(E39,Caps_Grade,0))=Lbl_BizNo),Lbl_Viol,Lbl_Comp),Lbl_NA),INDEX(Checker!J$6:J$405,MATCH($D39,Checker!$A$6:$A$405,0))))</f>
        <v>n/a</v>
      </c>
      <c r="N39" s="42" t="str">
        <f>IF($D39="","",IF($D39=Test_Synth,IF(F39=Lbl_Flight,IF(J39&lt;Min_Days_Booked,Lbl_Viol,Lbl_Comp),Lbl_NA),INDEX(Checker!K$6:K$405,MATCH($D39,Checker!$A$6:$A$405,0))))</f>
        <v>n/a</v>
      </c>
      <c r="O39" s="42" t="str">
        <f>IF($D39="","",IF($D39=Test_Synth,IF(AND(F39=Lbl_Hotel,G39=Lbl_Metro),IF(H39&gt;INDEX(Caps_Metro,MATCH(E39,Caps_Grade,0)),Lbl_Viol,Lbl_Comp),Lbl_NA),INDEX(Checker!L$6:L$405,MATCH($D39,Checker!$A$6:$A$405,0))))</f>
        <v>n/a</v>
      </c>
      <c r="P39" s="42" t="str">
        <f>IF($D39="","",IF($D39=Test_Synth,IF(AND(F39=Lbl_Hotel,G39=Lbl_NonMetro),IF(H39&gt;INDEX(Caps_NonMetro,MATCH(E39,Caps_Grade,0)),Lbl_Viol,Lbl_Comp),Lbl_NA),INDEX(Checker!M$6:M$405,MATCH($D39,Checker!$A$6:$A$405,0))))</f>
        <v>n/a</v>
      </c>
      <c r="Q39" s="42" t="str">
        <f>IF($D39="","",IF($D39=Test_Synth,IF(F39=Lbl_Meals,IF(H39&gt;IF(G39=Lbl_Metro,Limit_Metro,Limit_NonMetro),Lbl_Viol,Lbl_Comp),Lbl_NA),INDEX(Checker!N$6:N$405,MATCH($D39,Checker!$A$6:$A$405,0))))</f>
        <v>n/a</v>
      </c>
      <c r="R39" s="42" t="str">
        <f>IF($D39="","",IF($D39=Test_Synth,IF(F39=Lbl_Alcohol,Lbl_Viol,Lbl_NA),INDEX(Checker!O$6:O$405,MATCH($D39,Checker!$A$6:$A$405,0))))</f>
        <v>n/a</v>
      </c>
      <c r="S39" s="42" t="str">
        <f>IF($D39="","",IF($D39=Test_Synth,IF(AND(I39=Lbl_NoReceipt,H39&gt;Receipt_Threshold),Lbl_Viol,Lbl_Comp),INDEX(Checker!P$6:P$405,MATCH($D39,Checker!$A$6:$A$405,0))))</f>
        <v>Compliant</v>
      </c>
      <c r="T39" s="42" t="str">
        <f>IF($D39="","",IF($D39=Test_Synth,IF(L39&gt;Late_Days,Lbl_Viol,Lbl_Comp),INDEX(Checker!Q$6:Q$405,MATCH($D39,Checker!$A$6:$A$405,0))))</f>
        <v>Compliant</v>
      </c>
      <c r="U39" s="36" t="str">
        <f>IF($D39="","",IF($D39=Test_Synth,IF(COUNTIF(M39:T39,Lbl_Viol)&gt;0,Lbl_Viol,Lbl_Comp),INDEX(Checker!$R$6:$R$405,MATCH($D39,Checker!$A$6:$A$405,0))))</f>
        <v>Compliant</v>
      </c>
      <c r="V39" s="36" t="str">
        <f>IF($D39="","",IF($D39=Test_Synth,_xlfn.TEXTJOIN(", ",TRUE(),IF(M39=Lbl_Viol,M$5,""),IF(N39=Lbl_Viol,N$5,""),IF(O39=Lbl_Viol,O$5,""),IF(P39=Lbl_Viol,P$5,""),IF(Q39=Lbl_Viol,Q$5,""),IF(R39=Lbl_Viol,R$5,""),IF(S39=Lbl_Viol,S$5,""),IF(T39=Lbl_Viol,T$5,"")),INDEX(Checker!$S$6:$S$405,MATCH($D39,Checker!$A$6:$A$405,0))))</f>
        <v/>
      </c>
      <c r="W39" s="36" t="str">
        <f>IF($D39="","",IF($D39=Test_Synth,IF(T39=Lbl_Viol,IF(L39&gt;Expired_Days,Lbl_Expired,Lbl_Late),""),INDEX(Checker!$T$6:$T$405,MATCH($D39,Checker!$A$6:$A$405,0))))</f>
        <v/>
      </c>
      <c r="X39" s="36" t="str">
        <f>IF($D39="","",IF($D39=Test_Synth,IF(U39=Lbl_Comp,"",IF(SUMPRODUCT((M39:T39=Lbl_Viol)*(M$4:T$4=Lbl_Definite))&gt;0,Lbl_Definite,Lbl_Assumption)),INDEX(Checker!$U$6:$U$405,MATCH($D39,Checker!$A$6:$A$405,0))))</f>
        <v/>
      </c>
      <c r="Y39" s="37" t="s">
        <v>813</v>
      </c>
      <c r="Z39" s="37"/>
      <c r="AA39" s="37"/>
      <c r="AB39" s="37"/>
      <c r="AC39" s="46" t="str">
        <f t="shared" si="1"/>
        <v>PASS</v>
      </c>
    </row>
    <row r="40" spans="1:29" ht="15" customHeight="1" x14ac:dyDescent="0.3">
      <c r="A40" s="35" t="s">
        <v>1142</v>
      </c>
      <c r="B40" s="35" t="s">
        <v>657</v>
      </c>
      <c r="C40" s="72" t="s">
        <v>1143</v>
      </c>
      <c r="D40" s="33" t="s">
        <v>1057</v>
      </c>
      <c r="E40" s="37" t="s">
        <v>94</v>
      </c>
      <c r="F40" s="37" t="s">
        <v>95</v>
      </c>
      <c r="G40" s="37" t="s">
        <v>97</v>
      </c>
      <c r="H40" s="78">
        <v>500</v>
      </c>
      <c r="I40" s="37" t="s">
        <v>83</v>
      </c>
      <c r="J40" s="37"/>
      <c r="K40" s="37"/>
      <c r="L40" s="37">
        <v>5</v>
      </c>
      <c r="M40" s="42" t="str">
        <f>IF($D40="","",IF($D40=Test_Synth,IF(F40=Lbl_Flight,IF(AND(K40=Lbl_Business,INDEX(Biz_Permitted,MATCH(E40,Caps_Grade,0))=Lbl_BizNo),Lbl_Viol,Lbl_Comp),Lbl_NA),INDEX(Checker!J$6:J$405,MATCH($D40,Checker!$A$6:$A$405,0))))</f>
        <v>n/a</v>
      </c>
      <c r="N40" s="42" t="str">
        <f>IF($D40="","",IF($D40=Test_Synth,IF(F40=Lbl_Flight,IF(J40&lt;Min_Days_Booked,Lbl_Viol,Lbl_Comp),Lbl_NA),INDEX(Checker!K$6:K$405,MATCH($D40,Checker!$A$6:$A$405,0))))</f>
        <v>n/a</v>
      </c>
      <c r="O40" s="42" t="str">
        <f>IF($D40="","",IF($D40=Test_Synth,IF(AND(F40=Lbl_Hotel,G40=Lbl_Metro),IF(H40&gt;INDEX(Caps_Metro,MATCH(E40,Caps_Grade,0)),Lbl_Viol,Lbl_Comp),Lbl_NA),INDEX(Checker!L$6:L$405,MATCH($D40,Checker!$A$6:$A$405,0))))</f>
        <v>n/a</v>
      </c>
      <c r="P40" s="42" t="str">
        <f>IF($D40="","",IF($D40=Test_Synth,IF(AND(F40=Lbl_Hotel,G40=Lbl_NonMetro),IF(H40&gt;INDEX(Caps_NonMetro,MATCH(E40,Caps_Grade,0)),Lbl_Viol,Lbl_Comp),Lbl_NA),INDEX(Checker!M$6:M$405,MATCH($D40,Checker!$A$6:$A$405,0))))</f>
        <v>n/a</v>
      </c>
      <c r="Q40" s="42" t="str">
        <f>IF($D40="","",IF($D40=Test_Synth,IF(F40=Lbl_Meals,IF(H40&gt;IF(G40=Lbl_Metro,Limit_Metro,Limit_NonMetro),Lbl_Viol,Lbl_Comp),Lbl_NA),INDEX(Checker!N$6:N$405,MATCH($D40,Checker!$A$6:$A$405,0))))</f>
        <v>n/a</v>
      </c>
      <c r="R40" s="42" t="str">
        <f>IF($D40="","",IF($D40=Test_Synth,IF(F40=Lbl_Alcohol,Lbl_Viol,Lbl_NA),INDEX(Checker!O$6:O$405,MATCH($D40,Checker!$A$6:$A$405,0))))</f>
        <v>n/a</v>
      </c>
      <c r="S40" s="42" t="str">
        <f>IF($D40="","",IF($D40=Test_Synth,IF(AND(I40=Lbl_NoReceipt,H40&gt;Receipt_Threshold),Lbl_Viol,Lbl_Comp),INDEX(Checker!P$6:P$405,MATCH($D40,Checker!$A$6:$A$405,0))))</f>
        <v>Compliant</v>
      </c>
      <c r="T40" s="42" t="str">
        <f>IF($D40="","",IF($D40=Test_Synth,IF(L40&gt;Late_Days,Lbl_Viol,Lbl_Comp),INDEX(Checker!Q$6:Q$405,MATCH($D40,Checker!$A$6:$A$405,0))))</f>
        <v>Compliant</v>
      </c>
      <c r="U40" s="36" t="str">
        <f>IF($D40="","",IF($D40=Test_Synth,IF(COUNTIF(M40:T40,Lbl_Viol)&gt;0,Lbl_Viol,Lbl_Comp),INDEX(Checker!$R$6:$R$405,MATCH($D40,Checker!$A$6:$A$405,0))))</f>
        <v>Compliant</v>
      </c>
      <c r="V40" s="36" t="str">
        <f>IF($D40="","",IF($D40=Test_Synth,_xlfn.TEXTJOIN(", ",TRUE(),IF(M40=Lbl_Viol,M$5,""),IF(N40=Lbl_Viol,N$5,""),IF(O40=Lbl_Viol,O$5,""),IF(P40=Lbl_Viol,P$5,""),IF(Q40=Lbl_Viol,Q$5,""),IF(R40=Lbl_Viol,R$5,""),IF(S40=Lbl_Viol,S$5,""),IF(T40=Lbl_Viol,T$5,"")),INDEX(Checker!$S$6:$S$405,MATCH($D40,Checker!$A$6:$A$405,0))))</f>
        <v/>
      </c>
      <c r="W40" s="36" t="str">
        <f>IF($D40="","",IF($D40=Test_Synth,IF(T40=Lbl_Viol,IF(L40&gt;Expired_Days,Lbl_Expired,Lbl_Late),""),INDEX(Checker!$T$6:$T$405,MATCH($D40,Checker!$A$6:$A$405,0))))</f>
        <v/>
      </c>
      <c r="X40" s="36" t="str">
        <f>IF($D40="","",IF($D40=Test_Synth,IF(U40=Lbl_Comp,"",IF(SUMPRODUCT((M40:T40=Lbl_Viol)*(M$4:T$4=Lbl_Definite))&gt;0,Lbl_Definite,Lbl_Assumption)),INDEX(Checker!$U$6:$U$405,MATCH($D40,Checker!$A$6:$A$405,0))))</f>
        <v/>
      </c>
      <c r="Y40" s="37" t="s">
        <v>813</v>
      </c>
      <c r="Z40" s="37"/>
      <c r="AA40" s="37"/>
      <c r="AB40" s="37"/>
      <c r="AC40" s="46" t="str">
        <f t="shared" si="1"/>
        <v>PASS</v>
      </c>
    </row>
    <row r="41" spans="1:29" ht="15" customHeight="1" x14ac:dyDescent="0.3">
      <c r="A41" s="35" t="s">
        <v>1144</v>
      </c>
      <c r="B41" s="35" t="s">
        <v>657</v>
      </c>
      <c r="C41" s="72" t="s">
        <v>1145</v>
      </c>
      <c r="D41" s="33" t="s">
        <v>1057</v>
      </c>
      <c r="E41" s="37" t="s">
        <v>94</v>
      </c>
      <c r="F41" s="37" t="s">
        <v>95</v>
      </c>
      <c r="G41" s="37" t="s">
        <v>97</v>
      </c>
      <c r="H41" s="78">
        <v>501</v>
      </c>
      <c r="I41" s="37" t="s">
        <v>83</v>
      </c>
      <c r="J41" s="37"/>
      <c r="K41" s="37"/>
      <c r="L41" s="37">
        <v>5</v>
      </c>
      <c r="M41" s="42" t="str">
        <f>IF($D41="","",IF($D41=Test_Synth,IF(F41=Lbl_Flight,IF(AND(K41=Lbl_Business,INDEX(Biz_Permitted,MATCH(E41,Caps_Grade,0))=Lbl_BizNo),Lbl_Viol,Lbl_Comp),Lbl_NA),INDEX(Checker!J$6:J$405,MATCH($D41,Checker!$A$6:$A$405,0))))</f>
        <v>n/a</v>
      </c>
      <c r="N41" s="42" t="str">
        <f>IF($D41="","",IF($D41=Test_Synth,IF(F41=Lbl_Flight,IF(J41&lt;Min_Days_Booked,Lbl_Viol,Lbl_Comp),Lbl_NA),INDEX(Checker!K$6:K$405,MATCH($D41,Checker!$A$6:$A$405,0))))</f>
        <v>n/a</v>
      </c>
      <c r="O41" s="42" t="str">
        <f>IF($D41="","",IF($D41=Test_Synth,IF(AND(F41=Lbl_Hotel,G41=Lbl_Metro),IF(H41&gt;INDEX(Caps_Metro,MATCH(E41,Caps_Grade,0)),Lbl_Viol,Lbl_Comp),Lbl_NA),INDEX(Checker!L$6:L$405,MATCH($D41,Checker!$A$6:$A$405,0))))</f>
        <v>n/a</v>
      </c>
      <c r="P41" s="42" t="str">
        <f>IF($D41="","",IF($D41=Test_Synth,IF(AND(F41=Lbl_Hotel,G41=Lbl_NonMetro),IF(H41&gt;INDEX(Caps_NonMetro,MATCH(E41,Caps_Grade,0)),Lbl_Viol,Lbl_Comp),Lbl_NA),INDEX(Checker!M$6:M$405,MATCH($D41,Checker!$A$6:$A$405,0))))</f>
        <v>n/a</v>
      </c>
      <c r="Q41" s="42" t="str">
        <f>IF($D41="","",IF($D41=Test_Synth,IF(F41=Lbl_Meals,IF(H41&gt;IF(G41=Lbl_Metro,Limit_Metro,Limit_NonMetro),Lbl_Viol,Lbl_Comp),Lbl_NA),INDEX(Checker!N$6:N$405,MATCH($D41,Checker!$A$6:$A$405,0))))</f>
        <v>n/a</v>
      </c>
      <c r="R41" s="42" t="str">
        <f>IF($D41="","",IF($D41=Test_Synth,IF(F41=Lbl_Alcohol,Lbl_Viol,Lbl_NA),INDEX(Checker!O$6:O$405,MATCH($D41,Checker!$A$6:$A$405,0))))</f>
        <v>n/a</v>
      </c>
      <c r="S41" s="42" t="str">
        <f>IF($D41="","",IF($D41=Test_Synth,IF(AND(I41=Lbl_NoReceipt,H41&gt;Receipt_Threshold),Lbl_Viol,Lbl_Comp),INDEX(Checker!P$6:P$405,MATCH($D41,Checker!$A$6:$A$405,0))))</f>
        <v>Violation</v>
      </c>
      <c r="T41" s="42" t="str">
        <f>IF($D41="","",IF($D41=Test_Synth,IF(L41&gt;Late_Days,Lbl_Viol,Lbl_Comp),INDEX(Checker!Q$6:Q$405,MATCH($D41,Checker!$A$6:$A$405,0))))</f>
        <v>Compliant</v>
      </c>
      <c r="U41" s="36" t="str">
        <f>IF($D41="","",IF($D41=Test_Synth,IF(COUNTIF(M41:T41,Lbl_Viol)&gt;0,Lbl_Viol,Lbl_Comp),INDEX(Checker!$R$6:$R$405,MATCH($D41,Checker!$A$6:$A$405,0))))</f>
        <v>Violation</v>
      </c>
      <c r="V41" s="36" t="str">
        <f>IF($D41="","",IF($D41=Test_Synth,_xlfn.TEXTJOIN(", ",TRUE(),IF(M41=Lbl_Viol,M$5,""),IF(N41=Lbl_Viol,N$5,""),IF(O41=Lbl_Viol,O$5,""),IF(P41=Lbl_Viol,P$5,""),IF(Q41=Lbl_Viol,Q$5,""),IF(R41=Lbl_Viol,R$5,""),IF(S41=Lbl_Viol,S$5,""),IF(T41=Lbl_Viol,T$5,"")),INDEX(Checker!$S$6:$S$405,MATCH($D41,Checker!$A$6:$A$405,0))))</f>
        <v>TP-09</v>
      </c>
      <c r="W41" s="36" t="str">
        <f>IF($D41="","",IF($D41=Test_Synth,IF(T41=Lbl_Viol,IF(L41&gt;Expired_Days,Lbl_Expired,Lbl_Late),""),INDEX(Checker!$T$6:$T$405,MATCH($D41,Checker!$A$6:$A$405,0))))</f>
        <v/>
      </c>
      <c r="X41" s="36" t="str">
        <f>IF($D41="","",IF($D41=Test_Synth,IF(U41=Lbl_Comp,"",IF(SUMPRODUCT((M41:T41=Lbl_Viol)*(M$4:T$4=Lbl_Definite))&gt;0,Lbl_Definite,Lbl_Assumption)),INDEX(Checker!$U$6:$U$405,MATCH($D41,Checker!$A$6:$A$405,0))))</f>
        <v>Definite</v>
      </c>
      <c r="Y41" s="37" t="s">
        <v>812</v>
      </c>
      <c r="Z41" s="37" t="s">
        <v>657</v>
      </c>
      <c r="AA41" s="37"/>
      <c r="AB41" s="37" t="s">
        <v>821</v>
      </c>
      <c r="AC41" s="46" t="str">
        <f t="shared" si="1"/>
        <v>PASS</v>
      </c>
    </row>
    <row r="42" spans="1:29" ht="15" customHeight="1" x14ac:dyDescent="0.3">
      <c r="A42" s="35" t="s">
        <v>1146</v>
      </c>
      <c r="B42" s="35" t="s">
        <v>657</v>
      </c>
      <c r="C42" s="72" t="s">
        <v>1147</v>
      </c>
      <c r="D42" s="33" t="s">
        <v>131</v>
      </c>
      <c r="E42" s="36" t="str">
        <f>INDEX(Checker!$B$6:$B$405,MATCH($D42,Checker!$A$6:$A$405,0))</f>
        <v>M1</v>
      </c>
      <c r="F42" s="36" t="str">
        <f>INDEX(Checker!$C$6:$C$405,MATCH($D42,Checker!$A$6:$A$405,0))</f>
        <v>Client Entertainment</v>
      </c>
      <c r="G42" s="36" t="str">
        <f>INDEX(Checker!$D$6:$D$405,MATCH($D42,Checker!$A$6:$A$405,0))</f>
        <v>Non-metro</v>
      </c>
      <c r="H42" s="40">
        <f>INDEX(Checker!$E$6:$E$405,MATCH($D42,Checker!$A$6:$A$405,0))</f>
        <v>7668</v>
      </c>
      <c r="I42" s="36" t="str">
        <f>INDEX(Checker!$F$6:$F$405,MATCH($D42,Checker!$A$6:$A$405,0))</f>
        <v>No</v>
      </c>
      <c r="J42" s="36" t="str">
        <f>INDEX(Checker!$G$6:$G$405,MATCH($D42,Checker!$A$6:$A$405,0))</f>
        <v/>
      </c>
      <c r="K42" s="36" t="str">
        <f>INDEX(Checker!$H$6:$H$405,MATCH($D42,Checker!$A$6:$A$405,0))</f>
        <v/>
      </c>
      <c r="L42" s="41">
        <f>INDEX(Checker!$I$6:$I$405,MATCH($D42,Checker!$A$6:$A$405,0))</f>
        <v>5</v>
      </c>
      <c r="M42" s="42" t="str">
        <f>IF($D42="","",IF($D42=Test_Synth,IF(F42=Lbl_Flight,IF(AND(K42=Lbl_Business,INDEX(Biz_Permitted,MATCH(E42,Caps_Grade,0))=Lbl_BizNo),Lbl_Viol,Lbl_Comp),Lbl_NA),INDEX(Checker!J$6:J$405,MATCH($D42,Checker!$A$6:$A$405,0))))</f>
        <v>n/a</v>
      </c>
      <c r="N42" s="42" t="str">
        <f>IF($D42="","",IF($D42=Test_Synth,IF(F42=Lbl_Flight,IF(J42&lt;Min_Days_Booked,Lbl_Viol,Lbl_Comp),Lbl_NA),INDEX(Checker!K$6:K$405,MATCH($D42,Checker!$A$6:$A$405,0))))</f>
        <v>n/a</v>
      </c>
      <c r="O42" s="42" t="str">
        <f>IF($D42="","",IF($D42=Test_Synth,IF(AND(F42=Lbl_Hotel,G42=Lbl_Metro),IF(H42&gt;INDEX(Caps_Metro,MATCH(E42,Caps_Grade,0)),Lbl_Viol,Lbl_Comp),Lbl_NA),INDEX(Checker!L$6:L$405,MATCH($D42,Checker!$A$6:$A$405,0))))</f>
        <v>n/a</v>
      </c>
      <c r="P42" s="42" t="str">
        <f>IF($D42="","",IF($D42=Test_Synth,IF(AND(F42=Lbl_Hotel,G42=Lbl_NonMetro),IF(H42&gt;INDEX(Caps_NonMetro,MATCH(E42,Caps_Grade,0)),Lbl_Viol,Lbl_Comp),Lbl_NA),INDEX(Checker!M$6:M$405,MATCH($D42,Checker!$A$6:$A$405,0))))</f>
        <v>n/a</v>
      </c>
      <c r="Q42" s="42" t="str">
        <f>IF($D42="","",IF($D42=Test_Synth,IF(F42=Lbl_Meals,IF(H42&gt;IF(G42=Lbl_Metro,Limit_Metro,Limit_NonMetro),Lbl_Viol,Lbl_Comp),Lbl_NA),INDEX(Checker!N$6:N$405,MATCH($D42,Checker!$A$6:$A$405,0))))</f>
        <v>n/a</v>
      </c>
      <c r="R42" s="42" t="str">
        <f>IF($D42="","",IF($D42=Test_Synth,IF(F42=Lbl_Alcohol,Lbl_Viol,Lbl_NA),INDEX(Checker!O$6:O$405,MATCH($D42,Checker!$A$6:$A$405,0))))</f>
        <v>n/a</v>
      </c>
      <c r="S42" s="42" t="str">
        <f>IF($D42="","",IF($D42=Test_Synth,IF(AND(I42=Lbl_NoReceipt,H42&gt;Receipt_Threshold),Lbl_Viol,Lbl_Comp),INDEX(Checker!P$6:P$405,MATCH($D42,Checker!$A$6:$A$405,0))))</f>
        <v>Violation</v>
      </c>
      <c r="T42" s="42" t="str">
        <f>IF($D42="","",IF($D42=Test_Synth,IF(L42&gt;Late_Days,Lbl_Viol,Lbl_Comp),INDEX(Checker!Q$6:Q$405,MATCH($D42,Checker!$A$6:$A$405,0))))</f>
        <v>Compliant</v>
      </c>
      <c r="U42" s="36" t="str">
        <f>IF($D42="","",IF($D42=Test_Synth,IF(COUNTIF(M42:T42,Lbl_Viol)&gt;0,Lbl_Viol,Lbl_Comp),INDEX(Checker!$R$6:$R$405,MATCH($D42,Checker!$A$6:$A$405,0))))</f>
        <v>Violation</v>
      </c>
      <c r="V42" s="36" t="str">
        <f>IF($D42="","",IF($D42=Test_Synth,_xlfn.TEXTJOIN(", ",TRUE(),IF(M42=Lbl_Viol,M$5,""),IF(N42=Lbl_Viol,N$5,""),IF(O42=Lbl_Viol,O$5,""),IF(P42=Lbl_Viol,P$5,""),IF(Q42=Lbl_Viol,Q$5,""),IF(R42=Lbl_Viol,R$5,""),IF(S42=Lbl_Viol,S$5,""),IF(T42=Lbl_Viol,T$5,"")),INDEX(Checker!$S$6:$S$405,MATCH($D42,Checker!$A$6:$A$405,0))))</f>
        <v>TP-09</v>
      </c>
      <c r="W42" s="36" t="str">
        <f>IF($D42="","",IF($D42=Test_Synth,IF(T42=Lbl_Viol,IF(L42&gt;Expired_Days,Lbl_Expired,Lbl_Late),""),INDEX(Checker!$T$6:$T$405,MATCH($D42,Checker!$A$6:$A$405,0))))</f>
        <v/>
      </c>
      <c r="X42" s="36" t="str">
        <f>IF($D42="","",IF($D42=Test_Synth,IF(U42=Lbl_Comp,"",IF(SUMPRODUCT((M42:T42=Lbl_Viol)*(M$4:T$4=Lbl_Definite))&gt;0,Lbl_Definite,Lbl_Assumption)),INDEX(Checker!$U$6:$U$405,MATCH($D42,Checker!$A$6:$A$405,0))))</f>
        <v>Definite</v>
      </c>
      <c r="Y42" s="37" t="s">
        <v>812</v>
      </c>
      <c r="Z42" s="37" t="s">
        <v>657</v>
      </c>
      <c r="AA42" s="37"/>
      <c r="AB42" s="37" t="s">
        <v>821</v>
      </c>
      <c r="AC42" s="46" t="str">
        <f t="shared" si="1"/>
        <v>PASS</v>
      </c>
    </row>
    <row r="43" spans="1:29" ht="15" customHeight="1" x14ac:dyDescent="0.3">
      <c r="A43" s="35" t="s">
        <v>1148</v>
      </c>
      <c r="B43" s="35" t="s">
        <v>660</v>
      </c>
      <c r="C43" s="72" t="s">
        <v>1149</v>
      </c>
      <c r="D43" s="33" t="s">
        <v>232</v>
      </c>
      <c r="E43" s="36" t="str">
        <f>INDEX(Checker!$B$6:$B$405,MATCH($D43,Checker!$A$6:$A$405,0))</f>
        <v>M1</v>
      </c>
      <c r="F43" s="36" t="str">
        <f>INDEX(Checker!$C$6:$C$405,MATCH($D43,Checker!$A$6:$A$405,0))</f>
        <v>Stationery</v>
      </c>
      <c r="G43" s="36" t="str">
        <f>INDEX(Checker!$D$6:$D$405,MATCH($D43,Checker!$A$6:$A$405,0))</f>
        <v>Non-metro</v>
      </c>
      <c r="H43" s="40">
        <f>INDEX(Checker!$E$6:$E$405,MATCH($D43,Checker!$A$6:$A$405,0))</f>
        <v>155</v>
      </c>
      <c r="I43" s="36" t="str">
        <f>INDEX(Checker!$F$6:$F$405,MATCH($D43,Checker!$A$6:$A$405,0))</f>
        <v>Yes</v>
      </c>
      <c r="J43" s="36" t="str">
        <f>INDEX(Checker!$G$6:$G$405,MATCH($D43,Checker!$A$6:$A$405,0))</f>
        <v/>
      </c>
      <c r="K43" s="36" t="str">
        <f>INDEX(Checker!$H$6:$H$405,MATCH($D43,Checker!$A$6:$A$405,0))</f>
        <v/>
      </c>
      <c r="L43" s="41">
        <f>INDEX(Checker!$I$6:$I$405,MATCH($D43,Checker!$A$6:$A$405,0))</f>
        <v>14</v>
      </c>
      <c r="M43" s="42" t="str">
        <f>IF($D43="","",IF($D43=Test_Synth,IF(F43=Lbl_Flight,IF(AND(K43=Lbl_Business,INDEX(Biz_Permitted,MATCH(E43,Caps_Grade,0))=Lbl_BizNo),Lbl_Viol,Lbl_Comp),Lbl_NA),INDEX(Checker!J$6:J$405,MATCH($D43,Checker!$A$6:$A$405,0))))</f>
        <v>n/a</v>
      </c>
      <c r="N43" s="42" t="str">
        <f>IF($D43="","",IF($D43=Test_Synth,IF(F43=Lbl_Flight,IF(J43&lt;Min_Days_Booked,Lbl_Viol,Lbl_Comp),Lbl_NA),INDEX(Checker!K$6:K$405,MATCH($D43,Checker!$A$6:$A$405,0))))</f>
        <v>n/a</v>
      </c>
      <c r="O43" s="42" t="str">
        <f>IF($D43="","",IF($D43=Test_Synth,IF(AND(F43=Lbl_Hotel,G43=Lbl_Metro),IF(H43&gt;INDEX(Caps_Metro,MATCH(E43,Caps_Grade,0)),Lbl_Viol,Lbl_Comp),Lbl_NA),INDEX(Checker!L$6:L$405,MATCH($D43,Checker!$A$6:$A$405,0))))</f>
        <v>n/a</v>
      </c>
      <c r="P43" s="42" t="str">
        <f>IF($D43="","",IF($D43=Test_Synth,IF(AND(F43=Lbl_Hotel,G43=Lbl_NonMetro),IF(H43&gt;INDEX(Caps_NonMetro,MATCH(E43,Caps_Grade,0)),Lbl_Viol,Lbl_Comp),Lbl_NA),INDEX(Checker!M$6:M$405,MATCH($D43,Checker!$A$6:$A$405,0))))</f>
        <v>n/a</v>
      </c>
      <c r="Q43" s="42" t="str">
        <f>IF($D43="","",IF($D43=Test_Synth,IF(F43=Lbl_Meals,IF(H43&gt;IF(G43=Lbl_Metro,Limit_Metro,Limit_NonMetro),Lbl_Viol,Lbl_Comp),Lbl_NA),INDEX(Checker!N$6:N$405,MATCH($D43,Checker!$A$6:$A$405,0))))</f>
        <v>n/a</v>
      </c>
      <c r="R43" s="42" t="str">
        <f>IF($D43="","",IF($D43=Test_Synth,IF(F43=Lbl_Alcohol,Lbl_Viol,Lbl_NA),INDEX(Checker!O$6:O$405,MATCH($D43,Checker!$A$6:$A$405,0))))</f>
        <v>n/a</v>
      </c>
      <c r="S43" s="42" t="str">
        <f>IF($D43="","",IF($D43=Test_Synth,IF(AND(I43=Lbl_NoReceipt,H43&gt;Receipt_Threshold),Lbl_Viol,Lbl_Comp),INDEX(Checker!P$6:P$405,MATCH($D43,Checker!$A$6:$A$405,0))))</f>
        <v>Compliant</v>
      </c>
      <c r="T43" s="42" t="str">
        <f>IF($D43="","",IF($D43=Test_Synth,IF(L43&gt;Late_Days,Lbl_Viol,Lbl_Comp),INDEX(Checker!Q$6:Q$405,MATCH($D43,Checker!$A$6:$A$405,0))))</f>
        <v>Compliant</v>
      </c>
      <c r="U43" s="36" t="str">
        <f>IF($D43="","",IF($D43=Test_Synth,IF(COUNTIF(M43:T43,Lbl_Viol)&gt;0,Lbl_Viol,Lbl_Comp),INDEX(Checker!$R$6:$R$405,MATCH($D43,Checker!$A$6:$A$405,0))))</f>
        <v>Compliant</v>
      </c>
      <c r="V43" s="36" t="str">
        <f>IF($D43="","",IF($D43=Test_Synth,_xlfn.TEXTJOIN(", ",TRUE(),IF(M43=Lbl_Viol,M$5,""),IF(N43=Lbl_Viol,N$5,""),IF(O43=Lbl_Viol,O$5,""),IF(P43=Lbl_Viol,P$5,""),IF(Q43=Lbl_Viol,Q$5,""),IF(R43=Lbl_Viol,R$5,""),IF(S43=Lbl_Viol,S$5,""),IF(T43=Lbl_Viol,T$5,"")),INDEX(Checker!$S$6:$S$405,MATCH($D43,Checker!$A$6:$A$405,0))))</f>
        <v/>
      </c>
      <c r="W43" s="36" t="str">
        <f>IF($D43="","",IF($D43=Test_Synth,IF(T43=Lbl_Viol,IF(L43&gt;Expired_Days,Lbl_Expired,Lbl_Late),""),INDEX(Checker!$T$6:$T$405,MATCH($D43,Checker!$A$6:$A$405,0))))</f>
        <v/>
      </c>
      <c r="X43" s="36" t="str">
        <f>IF($D43="","",IF($D43=Test_Synth,IF(U43=Lbl_Comp,"",IF(SUMPRODUCT((M43:T43=Lbl_Viol)*(M$4:T$4=Lbl_Definite))&gt;0,Lbl_Definite,Lbl_Assumption)),INDEX(Checker!$U$6:$U$405,MATCH($D43,Checker!$A$6:$A$405,0))))</f>
        <v/>
      </c>
      <c r="Y43" s="37" t="s">
        <v>813</v>
      </c>
      <c r="Z43" s="37"/>
      <c r="AA43" s="37"/>
      <c r="AB43" s="37"/>
      <c r="AC43" s="46" t="str">
        <f t="shared" si="1"/>
        <v>PASS</v>
      </c>
    </row>
    <row r="44" spans="1:29" ht="15" customHeight="1" x14ac:dyDescent="0.3">
      <c r="A44" s="35" t="s">
        <v>1150</v>
      </c>
      <c r="B44" s="35" t="s">
        <v>660</v>
      </c>
      <c r="C44" s="72" t="s">
        <v>1151</v>
      </c>
      <c r="D44" s="33" t="s">
        <v>1057</v>
      </c>
      <c r="E44" s="37" t="s">
        <v>94</v>
      </c>
      <c r="F44" s="37" t="s">
        <v>118</v>
      </c>
      <c r="G44" s="37" t="s">
        <v>97</v>
      </c>
      <c r="H44" s="78">
        <v>200</v>
      </c>
      <c r="I44" s="37" t="s">
        <v>90</v>
      </c>
      <c r="J44" s="37"/>
      <c r="K44" s="37"/>
      <c r="L44" s="37">
        <v>15</v>
      </c>
      <c r="M44" s="42" t="str">
        <f>IF($D44="","",IF($D44=Test_Synth,IF(F44=Lbl_Flight,IF(AND(K44=Lbl_Business,INDEX(Biz_Permitted,MATCH(E44,Caps_Grade,0))=Lbl_BizNo),Lbl_Viol,Lbl_Comp),Lbl_NA),INDEX(Checker!J$6:J$405,MATCH($D44,Checker!$A$6:$A$405,0))))</f>
        <v>n/a</v>
      </c>
      <c r="N44" s="42" t="str">
        <f>IF($D44="","",IF($D44=Test_Synth,IF(F44=Lbl_Flight,IF(J44&lt;Min_Days_Booked,Lbl_Viol,Lbl_Comp),Lbl_NA),INDEX(Checker!K$6:K$405,MATCH($D44,Checker!$A$6:$A$405,0))))</f>
        <v>n/a</v>
      </c>
      <c r="O44" s="42" t="str">
        <f>IF($D44="","",IF($D44=Test_Synth,IF(AND(F44=Lbl_Hotel,G44=Lbl_Metro),IF(H44&gt;INDEX(Caps_Metro,MATCH(E44,Caps_Grade,0)),Lbl_Viol,Lbl_Comp),Lbl_NA),INDEX(Checker!L$6:L$405,MATCH($D44,Checker!$A$6:$A$405,0))))</f>
        <v>n/a</v>
      </c>
      <c r="P44" s="42" t="str">
        <f>IF($D44="","",IF($D44=Test_Synth,IF(AND(F44=Lbl_Hotel,G44=Lbl_NonMetro),IF(H44&gt;INDEX(Caps_NonMetro,MATCH(E44,Caps_Grade,0)),Lbl_Viol,Lbl_Comp),Lbl_NA),INDEX(Checker!M$6:M$405,MATCH($D44,Checker!$A$6:$A$405,0))))</f>
        <v>n/a</v>
      </c>
      <c r="Q44" s="42" t="str">
        <f>IF($D44="","",IF($D44=Test_Synth,IF(F44=Lbl_Meals,IF(H44&gt;IF(G44=Lbl_Metro,Limit_Metro,Limit_NonMetro),Lbl_Viol,Lbl_Comp),Lbl_NA),INDEX(Checker!N$6:N$405,MATCH($D44,Checker!$A$6:$A$405,0))))</f>
        <v>n/a</v>
      </c>
      <c r="R44" s="42" t="str">
        <f>IF($D44="","",IF($D44=Test_Synth,IF(F44=Lbl_Alcohol,Lbl_Viol,Lbl_NA),INDEX(Checker!O$6:O$405,MATCH($D44,Checker!$A$6:$A$405,0))))</f>
        <v>n/a</v>
      </c>
      <c r="S44" s="42" t="str">
        <f>IF($D44="","",IF($D44=Test_Synth,IF(AND(I44=Lbl_NoReceipt,H44&gt;Receipt_Threshold),Lbl_Viol,Lbl_Comp),INDEX(Checker!P$6:P$405,MATCH($D44,Checker!$A$6:$A$405,0))))</f>
        <v>Compliant</v>
      </c>
      <c r="T44" s="42" t="str">
        <f>IF($D44="","",IF($D44=Test_Synth,IF(L44&gt;Late_Days,Lbl_Viol,Lbl_Comp),INDEX(Checker!Q$6:Q$405,MATCH($D44,Checker!$A$6:$A$405,0))))</f>
        <v>Compliant</v>
      </c>
      <c r="U44" s="36" t="str">
        <f>IF($D44="","",IF($D44=Test_Synth,IF(COUNTIF(M44:T44,Lbl_Viol)&gt;0,Lbl_Viol,Lbl_Comp),INDEX(Checker!$R$6:$R$405,MATCH($D44,Checker!$A$6:$A$405,0))))</f>
        <v>Compliant</v>
      </c>
      <c r="V44" s="36" t="str">
        <f>IF($D44="","",IF($D44=Test_Synth,_xlfn.TEXTJOIN(", ",TRUE(),IF(M44=Lbl_Viol,M$5,""),IF(N44=Lbl_Viol,N$5,""),IF(O44=Lbl_Viol,O$5,""),IF(P44=Lbl_Viol,P$5,""),IF(Q44=Lbl_Viol,Q$5,""),IF(R44=Lbl_Viol,R$5,""),IF(S44=Lbl_Viol,S$5,""),IF(T44=Lbl_Viol,T$5,"")),INDEX(Checker!$S$6:$S$405,MATCH($D44,Checker!$A$6:$A$405,0))))</f>
        <v/>
      </c>
      <c r="W44" s="36" t="str">
        <f>IF($D44="","",IF($D44=Test_Synth,IF(T44=Lbl_Viol,IF(L44&gt;Expired_Days,Lbl_Expired,Lbl_Late),""),INDEX(Checker!$T$6:$T$405,MATCH($D44,Checker!$A$6:$A$405,0))))</f>
        <v/>
      </c>
      <c r="X44" s="36" t="str">
        <f>IF($D44="","",IF($D44=Test_Synth,IF(U44=Lbl_Comp,"",IF(SUMPRODUCT((M44:T44=Lbl_Viol)*(M$4:T$4=Lbl_Definite))&gt;0,Lbl_Definite,Lbl_Assumption)),INDEX(Checker!$U$6:$U$405,MATCH($D44,Checker!$A$6:$A$405,0))))</f>
        <v/>
      </c>
      <c r="Y44" s="37" t="s">
        <v>813</v>
      </c>
      <c r="Z44" s="37"/>
      <c r="AA44" s="37"/>
      <c r="AB44" s="37"/>
      <c r="AC44" s="46" t="str">
        <f t="shared" si="1"/>
        <v>PASS</v>
      </c>
    </row>
    <row r="45" spans="1:29" ht="15" customHeight="1" x14ac:dyDescent="0.3">
      <c r="A45" s="35" t="s">
        <v>1152</v>
      </c>
      <c r="B45" s="35" t="s">
        <v>660</v>
      </c>
      <c r="C45" s="72" t="s">
        <v>1153</v>
      </c>
      <c r="D45" s="33" t="s">
        <v>1057</v>
      </c>
      <c r="E45" s="37" t="s">
        <v>94</v>
      </c>
      <c r="F45" s="37" t="s">
        <v>118</v>
      </c>
      <c r="G45" s="37" t="s">
        <v>97</v>
      </c>
      <c r="H45" s="78">
        <v>200</v>
      </c>
      <c r="I45" s="37" t="s">
        <v>90</v>
      </c>
      <c r="J45" s="37"/>
      <c r="K45" s="37"/>
      <c r="L45" s="37">
        <v>16</v>
      </c>
      <c r="M45" s="42" t="str">
        <f>IF($D45="","",IF($D45=Test_Synth,IF(F45=Lbl_Flight,IF(AND(K45=Lbl_Business,INDEX(Biz_Permitted,MATCH(E45,Caps_Grade,0))=Lbl_BizNo),Lbl_Viol,Lbl_Comp),Lbl_NA),INDEX(Checker!J$6:J$405,MATCH($D45,Checker!$A$6:$A$405,0))))</f>
        <v>n/a</v>
      </c>
      <c r="N45" s="42" t="str">
        <f>IF($D45="","",IF($D45=Test_Synth,IF(F45=Lbl_Flight,IF(J45&lt;Min_Days_Booked,Lbl_Viol,Lbl_Comp),Lbl_NA),INDEX(Checker!K$6:K$405,MATCH($D45,Checker!$A$6:$A$405,0))))</f>
        <v>n/a</v>
      </c>
      <c r="O45" s="42" t="str">
        <f>IF($D45="","",IF($D45=Test_Synth,IF(AND(F45=Lbl_Hotel,G45=Lbl_Metro),IF(H45&gt;INDEX(Caps_Metro,MATCH(E45,Caps_Grade,0)),Lbl_Viol,Lbl_Comp),Lbl_NA),INDEX(Checker!L$6:L$405,MATCH($D45,Checker!$A$6:$A$405,0))))</f>
        <v>n/a</v>
      </c>
      <c r="P45" s="42" t="str">
        <f>IF($D45="","",IF($D45=Test_Synth,IF(AND(F45=Lbl_Hotel,G45=Lbl_NonMetro),IF(H45&gt;INDEX(Caps_NonMetro,MATCH(E45,Caps_Grade,0)),Lbl_Viol,Lbl_Comp),Lbl_NA),INDEX(Checker!M$6:M$405,MATCH($D45,Checker!$A$6:$A$405,0))))</f>
        <v>n/a</v>
      </c>
      <c r="Q45" s="42" t="str">
        <f>IF($D45="","",IF($D45=Test_Synth,IF(F45=Lbl_Meals,IF(H45&gt;IF(G45=Lbl_Metro,Limit_Metro,Limit_NonMetro),Lbl_Viol,Lbl_Comp),Lbl_NA),INDEX(Checker!N$6:N$405,MATCH($D45,Checker!$A$6:$A$405,0))))</f>
        <v>n/a</v>
      </c>
      <c r="R45" s="42" t="str">
        <f>IF($D45="","",IF($D45=Test_Synth,IF(F45=Lbl_Alcohol,Lbl_Viol,Lbl_NA),INDEX(Checker!O$6:O$405,MATCH($D45,Checker!$A$6:$A$405,0))))</f>
        <v>n/a</v>
      </c>
      <c r="S45" s="42" t="str">
        <f>IF($D45="","",IF($D45=Test_Synth,IF(AND(I45=Lbl_NoReceipt,H45&gt;Receipt_Threshold),Lbl_Viol,Lbl_Comp),INDEX(Checker!P$6:P$405,MATCH($D45,Checker!$A$6:$A$405,0))))</f>
        <v>Compliant</v>
      </c>
      <c r="T45" s="42" t="str">
        <f>IF($D45="","",IF($D45=Test_Synth,IF(L45&gt;Late_Days,Lbl_Viol,Lbl_Comp),INDEX(Checker!Q$6:Q$405,MATCH($D45,Checker!$A$6:$A$405,0))))</f>
        <v>Violation</v>
      </c>
      <c r="U45" s="36" t="str">
        <f>IF($D45="","",IF($D45=Test_Synth,IF(COUNTIF(M45:T45,Lbl_Viol)&gt;0,Lbl_Viol,Lbl_Comp),INDEX(Checker!$R$6:$R$405,MATCH($D45,Checker!$A$6:$A$405,0))))</f>
        <v>Violation</v>
      </c>
      <c r="V45" s="36" t="str">
        <f>IF($D45="","",IF($D45=Test_Synth,_xlfn.TEXTJOIN(", ",TRUE(),IF(M45=Lbl_Viol,M$5,""),IF(N45=Lbl_Viol,N$5,""),IF(O45=Lbl_Viol,O$5,""),IF(P45=Lbl_Viol,P$5,""),IF(Q45=Lbl_Viol,Q$5,""),IF(R45=Lbl_Viol,R$5,""),IF(S45=Lbl_Viol,S$5,""),IF(T45=Lbl_Viol,T$5,"")),INDEX(Checker!$S$6:$S$405,MATCH($D45,Checker!$A$6:$A$405,0))))</f>
        <v>TP-10</v>
      </c>
      <c r="W45" s="36" t="str">
        <f>IF($D45="","",IF($D45=Test_Synth,IF(T45=Lbl_Viol,IF(L45&gt;Expired_Days,Lbl_Expired,Lbl_Late),""),INDEX(Checker!$T$6:$T$405,MATCH($D45,Checker!$A$6:$A$405,0))))</f>
        <v>Late</v>
      </c>
      <c r="X45" s="36" t="str">
        <f>IF($D45="","",IF($D45=Test_Synth,IF(U45=Lbl_Comp,"",IF(SUMPRODUCT((M45:T45=Lbl_Viol)*(M$4:T$4=Lbl_Definite))&gt;0,Lbl_Definite,Lbl_Assumption)),INDEX(Checker!$U$6:$U$405,MATCH($D45,Checker!$A$6:$A$405,0))))</f>
        <v>Definite</v>
      </c>
      <c r="Y45" s="37" t="s">
        <v>812</v>
      </c>
      <c r="Z45" s="37" t="s">
        <v>660</v>
      </c>
      <c r="AA45" s="37" t="s">
        <v>817</v>
      </c>
      <c r="AB45" s="37" t="s">
        <v>821</v>
      </c>
      <c r="AC45" s="46" t="str">
        <f t="shared" si="1"/>
        <v>PASS</v>
      </c>
    </row>
    <row r="46" spans="1:29" ht="15" customHeight="1" x14ac:dyDescent="0.3">
      <c r="A46" s="35" t="s">
        <v>1154</v>
      </c>
      <c r="B46" s="35" t="s">
        <v>660</v>
      </c>
      <c r="C46" s="72" t="s">
        <v>1155</v>
      </c>
      <c r="D46" s="33" t="s">
        <v>403</v>
      </c>
      <c r="E46" s="36" t="str">
        <f>INDEX(Checker!$B$6:$B$405,MATCH($D46,Checker!$A$6:$A$405,0))</f>
        <v>M2</v>
      </c>
      <c r="F46" s="36" t="str">
        <f>INDEX(Checker!$C$6:$C$405,MATCH($D46,Checker!$A$6:$A$405,0))</f>
        <v>Stationery</v>
      </c>
      <c r="G46" s="36" t="str">
        <f>INDEX(Checker!$D$6:$D$405,MATCH($D46,Checker!$A$6:$A$405,0))</f>
        <v>Metro</v>
      </c>
      <c r="H46" s="40">
        <f>INDEX(Checker!$E$6:$E$405,MATCH($D46,Checker!$A$6:$A$405,0))</f>
        <v>870</v>
      </c>
      <c r="I46" s="36" t="str">
        <f>INDEX(Checker!$F$6:$F$405,MATCH($D46,Checker!$A$6:$A$405,0))</f>
        <v>Yes</v>
      </c>
      <c r="J46" s="36" t="str">
        <f>INDEX(Checker!$G$6:$G$405,MATCH($D46,Checker!$A$6:$A$405,0))</f>
        <v/>
      </c>
      <c r="K46" s="36" t="str">
        <f>INDEX(Checker!$H$6:$H$405,MATCH($D46,Checker!$A$6:$A$405,0))</f>
        <v/>
      </c>
      <c r="L46" s="41">
        <f>INDEX(Checker!$I$6:$I$405,MATCH($D46,Checker!$A$6:$A$405,0))</f>
        <v>20</v>
      </c>
      <c r="M46" s="42" t="str">
        <f>IF($D46="","",IF($D46=Test_Synth,IF(F46=Lbl_Flight,IF(AND(K46=Lbl_Business,INDEX(Biz_Permitted,MATCH(E46,Caps_Grade,0))=Lbl_BizNo),Lbl_Viol,Lbl_Comp),Lbl_NA),INDEX(Checker!J$6:J$405,MATCH($D46,Checker!$A$6:$A$405,0))))</f>
        <v>n/a</v>
      </c>
      <c r="N46" s="42" t="str">
        <f>IF($D46="","",IF($D46=Test_Synth,IF(F46=Lbl_Flight,IF(J46&lt;Min_Days_Booked,Lbl_Viol,Lbl_Comp),Lbl_NA),INDEX(Checker!K$6:K$405,MATCH($D46,Checker!$A$6:$A$405,0))))</f>
        <v>n/a</v>
      </c>
      <c r="O46" s="42" t="str">
        <f>IF($D46="","",IF($D46=Test_Synth,IF(AND(F46=Lbl_Hotel,G46=Lbl_Metro),IF(H46&gt;INDEX(Caps_Metro,MATCH(E46,Caps_Grade,0)),Lbl_Viol,Lbl_Comp),Lbl_NA),INDEX(Checker!L$6:L$405,MATCH($D46,Checker!$A$6:$A$405,0))))</f>
        <v>n/a</v>
      </c>
      <c r="P46" s="42" t="str">
        <f>IF($D46="","",IF($D46=Test_Synth,IF(AND(F46=Lbl_Hotel,G46=Lbl_NonMetro),IF(H46&gt;INDEX(Caps_NonMetro,MATCH(E46,Caps_Grade,0)),Lbl_Viol,Lbl_Comp),Lbl_NA),INDEX(Checker!M$6:M$405,MATCH($D46,Checker!$A$6:$A$405,0))))</f>
        <v>n/a</v>
      </c>
      <c r="Q46" s="42" t="str">
        <f>IF($D46="","",IF($D46=Test_Synth,IF(F46=Lbl_Meals,IF(H46&gt;IF(G46=Lbl_Metro,Limit_Metro,Limit_NonMetro),Lbl_Viol,Lbl_Comp),Lbl_NA),INDEX(Checker!N$6:N$405,MATCH($D46,Checker!$A$6:$A$405,0))))</f>
        <v>n/a</v>
      </c>
      <c r="R46" s="42" t="str">
        <f>IF($D46="","",IF($D46=Test_Synth,IF(F46=Lbl_Alcohol,Lbl_Viol,Lbl_NA),INDEX(Checker!O$6:O$405,MATCH($D46,Checker!$A$6:$A$405,0))))</f>
        <v>n/a</v>
      </c>
      <c r="S46" s="42" t="str">
        <f>IF($D46="","",IF($D46=Test_Synth,IF(AND(I46=Lbl_NoReceipt,H46&gt;Receipt_Threshold),Lbl_Viol,Lbl_Comp),INDEX(Checker!P$6:P$405,MATCH($D46,Checker!$A$6:$A$405,0))))</f>
        <v>Compliant</v>
      </c>
      <c r="T46" s="42" t="str">
        <f>IF($D46="","",IF($D46=Test_Synth,IF(L46&gt;Late_Days,Lbl_Viol,Lbl_Comp),INDEX(Checker!Q$6:Q$405,MATCH($D46,Checker!$A$6:$A$405,0))))</f>
        <v>Violation</v>
      </c>
      <c r="U46" s="36" t="str">
        <f>IF($D46="","",IF($D46=Test_Synth,IF(COUNTIF(M46:T46,Lbl_Viol)&gt;0,Lbl_Viol,Lbl_Comp),INDEX(Checker!$R$6:$R$405,MATCH($D46,Checker!$A$6:$A$405,0))))</f>
        <v>Violation</v>
      </c>
      <c r="V46" s="36" t="str">
        <f>IF($D46="","",IF($D46=Test_Synth,_xlfn.TEXTJOIN(", ",TRUE(),IF(M46=Lbl_Viol,M$5,""),IF(N46=Lbl_Viol,N$5,""),IF(O46=Lbl_Viol,O$5,""),IF(P46=Lbl_Viol,P$5,""),IF(Q46=Lbl_Viol,Q$5,""),IF(R46=Lbl_Viol,R$5,""),IF(S46=Lbl_Viol,S$5,""),IF(T46=Lbl_Viol,T$5,"")),INDEX(Checker!$S$6:$S$405,MATCH($D46,Checker!$A$6:$A$405,0))))</f>
        <v>TP-10</v>
      </c>
      <c r="W46" s="36" t="str">
        <f>IF($D46="","",IF($D46=Test_Synth,IF(T46=Lbl_Viol,IF(L46&gt;Expired_Days,Lbl_Expired,Lbl_Late),""),INDEX(Checker!$T$6:$T$405,MATCH($D46,Checker!$A$6:$A$405,0))))</f>
        <v>Late</v>
      </c>
      <c r="X46" s="36" t="str">
        <f>IF($D46="","",IF($D46=Test_Synth,IF(U46=Lbl_Comp,"",IF(SUMPRODUCT((M46:T46=Lbl_Viol)*(M$4:T$4=Lbl_Definite))&gt;0,Lbl_Definite,Lbl_Assumption)),INDEX(Checker!$U$6:$U$405,MATCH($D46,Checker!$A$6:$A$405,0))))</f>
        <v>Definite</v>
      </c>
      <c r="Y46" s="37" t="s">
        <v>812</v>
      </c>
      <c r="Z46" s="37" t="s">
        <v>660</v>
      </c>
      <c r="AA46" s="37" t="s">
        <v>817</v>
      </c>
      <c r="AB46" s="37" t="s">
        <v>821</v>
      </c>
      <c r="AC46" s="46" t="str">
        <f t="shared" si="1"/>
        <v>PASS</v>
      </c>
    </row>
    <row r="47" spans="1:29" ht="15" customHeight="1" x14ac:dyDescent="0.3">
      <c r="A47" s="35" t="s">
        <v>1156</v>
      </c>
      <c r="B47" s="35" t="s">
        <v>660</v>
      </c>
      <c r="C47" s="72" t="s">
        <v>1157</v>
      </c>
      <c r="D47" s="33" t="s">
        <v>1057</v>
      </c>
      <c r="E47" s="37" t="s">
        <v>94</v>
      </c>
      <c r="F47" s="37" t="s">
        <v>118</v>
      </c>
      <c r="G47" s="37" t="s">
        <v>97</v>
      </c>
      <c r="H47" s="78">
        <v>200</v>
      </c>
      <c r="I47" s="37" t="s">
        <v>90</v>
      </c>
      <c r="J47" s="37"/>
      <c r="K47" s="37"/>
      <c r="L47" s="37">
        <v>60</v>
      </c>
      <c r="M47" s="42" t="str">
        <f>IF($D47="","",IF($D47=Test_Synth,IF(F47=Lbl_Flight,IF(AND(K47=Lbl_Business,INDEX(Biz_Permitted,MATCH(E47,Caps_Grade,0))=Lbl_BizNo),Lbl_Viol,Lbl_Comp),Lbl_NA),INDEX(Checker!J$6:J$405,MATCH($D47,Checker!$A$6:$A$405,0))))</f>
        <v>n/a</v>
      </c>
      <c r="N47" s="42" t="str">
        <f>IF($D47="","",IF($D47=Test_Synth,IF(F47=Lbl_Flight,IF(J47&lt;Min_Days_Booked,Lbl_Viol,Lbl_Comp),Lbl_NA),INDEX(Checker!K$6:K$405,MATCH($D47,Checker!$A$6:$A$405,0))))</f>
        <v>n/a</v>
      </c>
      <c r="O47" s="42" t="str">
        <f>IF($D47="","",IF($D47=Test_Synth,IF(AND(F47=Lbl_Hotel,G47=Lbl_Metro),IF(H47&gt;INDEX(Caps_Metro,MATCH(E47,Caps_Grade,0)),Lbl_Viol,Lbl_Comp),Lbl_NA),INDEX(Checker!L$6:L$405,MATCH($D47,Checker!$A$6:$A$405,0))))</f>
        <v>n/a</v>
      </c>
      <c r="P47" s="42" t="str">
        <f>IF($D47="","",IF($D47=Test_Synth,IF(AND(F47=Lbl_Hotel,G47=Lbl_NonMetro),IF(H47&gt;INDEX(Caps_NonMetro,MATCH(E47,Caps_Grade,0)),Lbl_Viol,Lbl_Comp),Lbl_NA),INDEX(Checker!M$6:M$405,MATCH($D47,Checker!$A$6:$A$405,0))))</f>
        <v>n/a</v>
      </c>
      <c r="Q47" s="42" t="str">
        <f>IF($D47="","",IF($D47=Test_Synth,IF(F47=Lbl_Meals,IF(H47&gt;IF(G47=Lbl_Metro,Limit_Metro,Limit_NonMetro),Lbl_Viol,Lbl_Comp),Lbl_NA),INDEX(Checker!N$6:N$405,MATCH($D47,Checker!$A$6:$A$405,0))))</f>
        <v>n/a</v>
      </c>
      <c r="R47" s="42" t="str">
        <f>IF($D47="","",IF($D47=Test_Synth,IF(F47=Lbl_Alcohol,Lbl_Viol,Lbl_NA),INDEX(Checker!O$6:O$405,MATCH($D47,Checker!$A$6:$A$405,0))))</f>
        <v>n/a</v>
      </c>
      <c r="S47" s="42" t="str">
        <f>IF($D47="","",IF($D47=Test_Synth,IF(AND(I47=Lbl_NoReceipt,H47&gt;Receipt_Threshold),Lbl_Viol,Lbl_Comp),INDEX(Checker!P$6:P$405,MATCH($D47,Checker!$A$6:$A$405,0))))</f>
        <v>Compliant</v>
      </c>
      <c r="T47" s="42" t="str">
        <f>IF($D47="","",IF($D47=Test_Synth,IF(L47&gt;Late_Days,Lbl_Viol,Lbl_Comp),INDEX(Checker!Q$6:Q$405,MATCH($D47,Checker!$A$6:$A$405,0))))</f>
        <v>Violation</v>
      </c>
      <c r="U47" s="36" t="str">
        <f>IF($D47="","",IF($D47=Test_Synth,IF(COUNTIF(M47:T47,Lbl_Viol)&gt;0,Lbl_Viol,Lbl_Comp),INDEX(Checker!$R$6:$R$405,MATCH($D47,Checker!$A$6:$A$405,0))))</f>
        <v>Violation</v>
      </c>
      <c r="V47" s="36" t="str">
        <f>IF($D47="","",IF($D47=Test_Synth,_xlfn.TEXTJOIN(", ",TRUE(),IF(M47=Lbl_Viol,M$5,""),IF(N47=Lbl_Viol,N$5,""),IF(O47=Lbl_Viol,O$5,""),IF(P47=Lbl_Viol,P$5,""),IF(Q47=Lbl_Viol,Q$5,""),IF(R47=Lbl_Viol,R$5,""),IF(S47=Lbl_Viol,S$5,""),IF(T47=Lbl_Viol,T$5,"")),INDEX(Checker!$S$6:$S$405,MATCH($D47,Checker!$A$6:$A$405,0))))</f>
        <v>TP-10</v>
      </c>
      <c r="W47" s="36" t="str">
        <f>IF($D47="","",IF($D47=Test_Synth,IF(T47=Lbl_Viol,IF(L47&gt;Expired_Days,Lbl_Expired,Lbl_Late),""),INDEX(Checker!$T$6:$T$405,MATCH($D47,Checker!$A$6:$A$405,0))))</f>
        <v>Late</v>
      </c>
      <c r="X47" s="36" t="str">
        <f>IF($D47="","",IF($D47=Test_Synth,IF(U47=Lbl_Comp,"",IF(SUMPRODUCT((M47:T47=Lbl_Viol)*(M$4:T$4=Lbl_Definite))&gt;0,Lbl_Definite,Lbl_Assumption)),INDEX(Checker!$U$6:$U$405,MATCH($D47,Checker!$A$6:$A$405,0))))</f>
        <v>Definite</v>
      </c>
      <c r="Y47" s="37" t="s">
        <v>812</v>
      </c>
      <c r="Z47" s="37" t="s">
        <v>660</v>
      </c>
      <c r="AA47" s="37" t="s">
        <v>817</v>
      </c>
      <c r="AB47" s="37" t="s">
        <v>821</v>
      </c>
      <c r="AC47" s="46" t="str">
        <f t="shared" si="1"/>
        <v>PASS</v>
      </c>
    </row>
    <row r="48" spans="1:29" ht="15" customHeight="1" x14ac:dyDescent="0.3">
      <c r="A48" s="35" t="s">
        <v>1158</v>
      </c>
      <c r="B48" s="35" t="s">
        <v>660</v>
      </c>
      <c r="C48" s="72" t="s">
        <v>1159</v>
      </c>
      <c r="D48" s="33" t="s">
        <v>1057</v>
      </c>
      <c r="E48" s="37" t="s">
        <v>94</v>
      </c>
      <c r="F48" s="37" t="s">
        <v>118</v>
      </c>
      <c r="G48" s="37" t="s">
        <v>97</v>
      </c>
      <c r="H48" s="78">
        <v>200</v>
      </c>
      <c r="I48" s="37" t="s">
        <v>90</v>
      </c>
      <c r="J48" s="37"/>
      <c r="K48" s="37"/>
      <c r="L48" s="37">
        <v>61</v>
      </c>
      <c r="M48" s="42" t="str">
        <f>IF($D48="","",IF($D48=Test_Synth,IF(F48=Lbl_Flight,IF(AND(K48=Lbl_Business,INDEX(Biz_Permitted,MATCH(E48,Caps_Grade,0))=Lbl_BizNo),Lbl_Viol,Lbl_Comp),Lbl_NA),INDEX(Checker!J$6:J$405,MATCH($D48,Checker!$A$6:$A$405,0))))</f>
        <v>n/a</v>
      </c>
      <c r="N48" s="42" t="str">
        <f>IF($D48="","",IF($D48=Test_Synth,IF(F48=Lbl_Flight,IF(J48&lt;Min_Days_Booked,Lbl_Viol,Lbl_Comp),Lbl_NA),INDEX(Checker!K$6:K$405,MATCH($D48,Checker!$A$6:$A$405,0))))</f>
        <v>n/a</v>
      </c>
      <c r="O48" s="42" t="str">
        <f>IF($D48="","",IF($D48=Test_Synth,IF(AND(F48=Lbl_Hotel,G48=Lbl_Metro),IF(H48&gt;INDEX(Caps_Metro,MATCH(E48,Caps_Grade,0)),Lbl_Viol,Lbl_Comp),Lbl_NA),INDEX(Checker!L$6:L$405,MATCH($D48,Checker!$A$6:$A$405,0))))</f>
        <v>n/a</v>
      </c>
      <c r="P48" s="42" t="str">
        <f>IF($D48="","",IF($D48=Test_Synth,IF(AND(F48=Lbl_Hotel,G48=Lbl_NonMetro),IF(H48&gt;INDEX(Caps_NonMetro,MATCH(E48,Caps_Grade,0)),Lbl_Viol,Lbl_Comp),Lbl_NA),INDEX(Checker!M$6:M$405,MATCH($D48,Checker!$A$6:$A$405,0))))</f>
        <v>n/a</v>
      </c>
      <c r="Q48" s="42" t="str">
        <f>IF($D48="","",IF($D48=Test_Synth,IF(F48=Lbl_Meals,IF(H48&gt;IF(G48=Lbl_Metro,Limit_Metro,Limit_NonMetro),Lbl_Viol,Lbl_Comp),Lbl_NA),INDEX(Checker!N$6:N$405,MATCH($D48,Checker!$A$6:$A$405,0))))</f>
        <v>n/a</v>
      </c>
      <c r="R48" s="42" t="str">
        <f>IF($D48="","",IF($D48=Test_Synth,IF(F48=Lbl_Alcohol,Lbl_Viol,Lbl_NA),INDEX(Checker!O$6:O$405,MATCH($D48,Checker!$A$6:$A$405,0))))</f>
        <v>n/a</v>
      </c>
      <c r="S48" s="42" t="str">
        <f>IF($D48="","",IF($D48=Test_Synth,IF(AND(I48=Lbl_NoReceipt,H48&gt;Receipt_Threshold),Lbl_Viol,Lbl_Comp),INDEX(Checker!P$6:P$405,MATCH($D48,Checker!$A$6:$A$405,0))))</f>
        <v>Compliant</v>
      </c>
      <c r="T48" s="42" t="str">
        <f>IF($D48="","",IF($D48=Test_Synth,IF(L48&gt;Late_Days,Lbl_Viol,Lbl_Comp),INDEX(Checker!Q$6:Q$405,MATCH($D48,Checker!$A$6:$A$405,0))))</f>
        <v>Violation</v>
      </c>
      <c r="U48" s="36" t="str">
        <f>IF($D48="","",IF($D48=Test_Synth,IF(COUNTIF(M48:T48,Lbl_Viol)&gt;0,Lbl_Viol,Lbl_Comp),INDEX(Checker!$R$6:$R$405,MATCH($D48,Checker!$A$6:$A$405,0))))</f>
        <v>Violation</v>
      </c>
      <c r="V48" s="36" t="str">
        <f>IF($D48="","",IF($D48=Test_Synth,_xlfn.TEXTJOIN(", ",TRUE(),IF(M48=Lbl_Viol,M$5,""),IF(N48=Lbl_Viol,N$5,""),IF(O48=Lbl_Viol,O$5,""),IF(P48=Lbl_Viol,P$5,""),IF(Q48=Lbl_Viol,Q$5,""),IF(R48=Lbl_Viol,R$5,""),IF(S48=Lbl_Viol,S$5,""),IF(T48=Lbl_Viol,T$5,"")),INDEX(Checker!$S$6:$S$405,MATCH($D48,Checker!$A$6:$A$405,0))))</f>
        <v>TP-10</v>
      </c>
      <c r="W48" s="36" t="str">
        <f>IF($D48="","",IF($D48=Test_Synth,IF(T48=Lbl_Viol,IF(L48&gt;Expired_Days,Lbl_Expired,Lbl_Late),""),INDEX(Checker!$T$6:$T$405,MATCH($D48,Checker!$A$6:$A$405,0))))</f>
        <v>Expired</v>
      </c>
      <c r="X48" s="36" t="str">
        <f>IF($D48="","",IF($D48=Test_Synth,IF(U48=Lbl_Comp,"",IF(SUMPRODUCT((M48:T48=Lbl_Viol)*(M$4:T$4=Lbl_Definite))&gt;0,Lbl_Definite,Lbl_Assumption)),INDEX(Checker!$U$6:$U$405,MATCH($D48,Checker!$A$6:$A$405,0))))</f>
        <v>Definite</v>
      </c>
      <c r="Y48" s="37" t="s">
        <v>812</v>
      </c>
      <c r="Z48" s="37" t="s">
        <v>660</v>
      </c>
      <c r="AA48" s="37" t="s">
        <v>819</v>
      </c>
      <c r="AB48" s="37" t="s">
        <v>821</v>
      </c>
      <c r="AC48" s="46" t="str">
        <f t="shared" si="1"/>
        <v>PASS</v>
      </c>
    </row>
    <row r="49" spans="1:29" ht="15" customHeight="1" x14ac:dyDescent="0.3">
      <c r="A49" s="35" t="s">
        <v>1160</v>
      </c>
      <c r="B49" s="35" t="s">
        <v>660</v>
      </c>
      <c r="C49" s="72" t="s">
        <v>1161</v>
      </c>
      <c r="D49" s="33" t="s">
        <v>194</v>
      </c>
      <c r="E49" s="36" t="str">
        <f>INDEX(Checker!$B$6:$B$405,MATCH($D49,Checker!$A$6:$A$405,0))</f>
        <v>M3</v>
      </c>
      <c r="F49" s="36" t="str">
        <f>INDEX(Checker!$C$6:$C$405,MATCH($D49,Checker!$A$6:$A$405,0))</f>
        <v>Client Entertainment</v>
      </c>
      <c r="G49" s="36" t="str">
        <f>INDEX(Checker!$D$6:$D$405,MATCH($D49,Checker!$A$6:$A$405,0))</f>
        <v>Metro</v>
      </c>
      <c r="H49" s="40">
        <f>INDEX(Checker!$E$6:$E$405,MATCH($D49,Checker!$A$6:$A$405,0))</f>
        <v>15200</v>
      </c>
      <c r="I49" s="36" t="str">
        <f>INDEX(Checker!$F$6:$F$405,MATCH($D49,Checker!$A$6:$A$405,0))</f>
        <v>Yes</v>
      </c>
      <c r="J49" s="36" t="str">
        <f>INDEX(Checker!$G$6:$G$405,MATCH($D49,Checker!$A$6:$A$405,0))</f>
        <v/>
      </c>
      <c r="K49" s="36" t="str">
        <f>INDEX(Checker!$H$6:$H$405,MATCH($D49,Checker!$A$6:$A$405,0))</f>
        <v/>
      </c>
      <c r="L49" s="41">
        <f>INDEX(Checker!$I$6:$I$405,MATCH($D49,Checker!$A$6:$A$405,0))</f>
        <v>70</v>
      </c>
      <c r="M49" s="42" t="str">
        <f>IF($D49="","",IF($D49=Test_Synth,IF(F49=Lbl_Flight,IF(AND(K49=Lbl_Business,INDEX(Biz_Permitted,MATCH(E49,Caps_Grade,0))=Lbl_BizNo),Lbl_Viol,Lbl_Comp),Lbl_NA),INDEX(Checker!J$6:J$405,MATCH($D49,Checker!$A$6:$A$405,0))))</f>
        <v>n/a</v>
      </c>
      <c r="N49" s="42" t="str">
        <f>IF($D49="","",IF($D49=Test_Synth,IF(F49=Lbl_Flight,IF(J49&lt;Min_Days_Booked,Lbl_Viol,Lbl_Comp),Lbl_NA),INDEX(Checker!K$6:K$405,MATCH($D49,Checker!$A$6:$A$405,0))))</f>
        <v>n/a</v>
      </c>
      <c r="O49" s="42" t="str">
        <f>IF($D49="","",IF($D49=Test_Synth,IF(AND(F49=Lbl_Hotel,G49=Lbl_Metro),IF(H49&gt;INDEX(Caps_Metro,MATCH(E49,Caps_Grade,0)),Lbl_Viol,Lbl_Comp),Lbl_NA),INDEX(Checker!L$6:L$405,MATCH($D49,Checker!$A$6:$A$405,0))))</f>
        <v>n/a</v>
      </c>
      <c r="P49" s="42" t="str">
        <f>IF($D49="","",IF($D49=Test_Synth,IF(AND(F49=Lbl_Hotel,G49=Lbl_NonMetro),IF(H49&gt;INDEX(Caps_NonMetro,MATCH(E49,Caps_Grade,0)),Lbl_Viol,Lbl_Comp),Lbl_NA),INDEX(Checker!M$6:M$405,MATCH($D49,Checker!$A$6:$A$405,0))))</f>
        <v>n/a</v>
      </c>
      <c r="Q49" s="42" t="str">
        <f>IF($D49="","",IF($D49=Test_Synth,IF(F49=Lbl_Meals,IF(H49&gt;IF(G49=Lbl_Metro,Limit_Metro,Limit_NonMetro),Lbl_Viol,Lbl_Comp),Lbl_NA),INDEX(Checker!N$6:N$405,MATCH($D49,Checker!$A$6:$A$405,0))))</f>
        <v>n/a</v>
      </c>
      <c r="R49" s="42" t="str">
        <f>IF($D49="","",IF($D49=Test_Synth,IF(F49=Lbl_Alcohol,Lbl_Viol,Lbl_NA),INDEX(Checker!O$6:O$405,MATCH($D49,Checker!$A$6:$A$405,0))))</f>
        <v>n/a</v>
      </c>
      <c r="S49" s="42" t="str">
        <f>IF($D49="","",IF($D49=Test_Synth,IF(AND(I49=Lbl_NoReceipt,H49&gt;Receipt_Threshold),Lbl_Viol,Lbl_Comp),INDEX(Checker!P$6:P$405,MATCH($D49,Checker!$A$6:$A$405,0))))</f>
        <v>Compliant</v>
      </c>
      <c r="T49" s="42" t="str">
        <f>IF($D49="","",IF($D49=Test_Synth,IF(L49&gt;Late_Days,Lbl_Viol,Lbl_Comp),INDEX(Checker!Q$6:Q$405,MATCH($D49,Checker!$A$6:$A$405,0))))</f>
        <v>Violation</v>
      </c>
      <c r="U49" s="36" t="str">
        <f>IF($D49="","",IF($D49=Test_Synth,IF(COUNTIF(M49:T49,Lbl_Viol)&gt;0,Lbl_Viol,Lbl_Comp),INDEX(Checker!$R$6:$R$405,MATCH($D49,Checker!$A$6:$A$405,0))))</f>
        <v>Violation</v>
      </c>
      <c r="V49" s="36" t="str">
        <f>IF($D49="","",IF($D49=Test_Synth,_xlfn.TEXTJOIN(", ",TRUE(),IF(M49=Lbl_Viol,M$5,""),IF(N49=Lbl_Viol,N$5,""),IF(O49=Lbl_Viol,O$5,""),IF(P49=Lbl_Viol,P$5,""),IF(Q49=Lbl_Viol,Q$5,""),IF(R49=Lbl_Viol,R$5,""),IF(S49=Lbl_Viol,S$5,""),IF(T49=Lbl_Viol,T$5,"")),INDEX(Checker!$S$6:$S$405,MATCH($D49,Checker!$A$6:$A$405,0))))</f>
        <v>TP-10</v>
      </c>
      <c r="W49" s="36" t="str">
        <f>IF($D49="","",IF($D49=Test_Synth,IF(T49=Lbl_Viol,IF(L49&gt;Expired_Days,Lbl_Expired,Lbl_Late),""),INDEX(Checker!$T$6:$T$405,MATCH($D49,Checker!$A$6:$A$405,0))))</f>
        <v>Expired</v>
      </c>
      <c r="X49" s="36" t="str">
        <f>IF($D49="","",IF($D49=Test_Synth,IF(U49=Lbl_Comp,"",IF(SUMPRODUCT((M49:T49=Lbl_Viol)*(M$4:T$4=Lbl_Definite))&gt;0,Lbl_Definite,Lbl_Assumption)),INDEX(Checker!$U$6:$U$405,MATCH($D49,Checker!$A$6:$A$405,0))))</f>
        <v>Definite</v>
      </c>
      <c r="Y49" s="37" t="s">
        <v>812</v>
      </c>
      <c r="Z49" s="37" t="s">
        <v>660</v>
      </c>
      <c r="AA49" s="37" t="s">
        <v>819</v>
      </c>
      <c r="AB49" s="37" t="s">
        <v>821</v>
      </c>
      <c r="AC49" s="46" t="str">
        <f t="shared" si="1"/>
        <v>PASS</v>
      </c>
    </row>
    <row r="50" spans="1:29" ht="15" customHeight="1" x14ac:dyDescent="0.3">
      <c r="A50" s="35" t="s">
        <v>1162</v>
      </c>
      <c r="B50" s="35" t="s">
        <v>1163</v>
      </c>
      <c r="C50" s="72" t="s">
        <v>1164</v>
      </c>
      <c r="D50" s="33" t="s">
        <v>287</v>
      </c>
      <c r="E50" s="36" t="str">
        <f>INDEX(Checker!$B$6:$B$405,MATCH($D50,Checker!$A$6:$A$405,0))</f>
        <v>M2</v>
      </c>
      <c r="F50" s="36" t="str">
        <f>INDEX(Checker!$C$6:$C$405,MATCH($D50,Checker!$A$6:$A$405,0))</f>
        <v>Flight</v>
      </c>
      <c r="G50" s="36" t="str">
        <f>INDEX(Checker!$D$6:$D$405,MATCH($D50,Checker!$A$6:$A$405,0))</f>
        <v>Metro</v>
      </c>
      <c r="H50" s="40">
        <f>INDEX(Checker!$E$6:$E$405,MATCH($D50,Checker!$A$6:$A$405,0))</f>
        <v>12710</v>
      </c>
      <c r="I50" s="36" t="str">
        <f>INDEX(Checker!$F$6:$F$405,MATCH($D50,Checker!$A$6:$A$405,0))</f>
        <v>Yes</v>
      </c>
      <c r="J50" s="36">
        <f>INDEX(Checker!$G$6:$G$405,MATCH($D50,Checker!$A$6:$A$405,0))</f>
        <v>4</v>
      </c>
      <c r="K50" s="36" t="str">
        <f>INDEX(Checker!$H$6:$H$405,MATCH($D50,Checker!$A$6:$A$405,0))</f>
        <v>Business</v>
      </c>
      <c r="L50" s="41">
        <f>INDEX(Checker!$I$6:$I$405,MATCH($D50,Checker!$A$6:$A$405,0))</f>
        <v>5</v>
      </c>
      <c r="M50" s="42" t="str">
        <f>IF($D50="","",IF($D50=Test_Synth,IF(F50=Lbl_Flight,IF(AND(K50=Lbl_Business,INDEX(Biz_Permitted,MATCH(E50,Caps_Grade,0))=Lbl_BizNo),Lbl_Viol,Lbl_Comp),Lbl_NA),INDEX(Checker!J$6:J$405,MATCH($D50,Checker!$A$6:$A$405,0))))</f>
        <v>Violation</v>
      </c>
      <c r="N50" s="42" t="str">
        <f>IF($D50="","",IF($D50=Test_Synth,IF(F50=Lbl_Flight,IF(J50&lt;Min_Days_Booked,Lbl_Viol,Lbl_Comp),Lbl_NA),INDEX(Checker!K$6:K$405,MATCH($D50,Checker!$A$6:$A$405,0))))</f>
        <v>Violation</v>
      </c>
      <c r="O50" s="42" t="str">
        <f>IF($D50="","",IF($D50=Test_Synth,IF(AND(F50=Lbl_Hotel,G50=Lbl_Metro),IF(H50&gt;INDEX(Caps_Metro,MATCH(E50,Caps_Grade,0)),Lbl_Viol,Lbl_Comp),Lbl_NA),INDEX(Checker!L$6:L$405,MATCH($D50,Checker!$A$6:$A$405,0))))</f>
        <v>n/a</v>
      </c>
      <c r="P50" s="42" t="str">
        <f>IF($D50="","",IF($D50=Test_Synth,IF(AND(F50=Lbl_Hotel,G50=Lbl_NonMetro),IF(H50&gt;INDEX(Caps_NonMetro,MATCH(E50,Caps_Grade,0)),Lbl_Viol,Lbl_Comp),Lbl_NA),INDEX(Checker!M$6:M$405,MATCH($D50,Checker!$A$6:$A$405,0))))</f>
        <v>n/a</v>
      </c>
      <c r="Q50" s="42" t="str">
        <f>IF($D50="","",IF($D50=Test_Synth,IF(F50=Lbl_Meals,IF(H50&gt;IF(G50=Lbl_Metro,Limit_Metro,Limit_NonMetro),Lbl_Viol,Lbl_Comp),Lbl_NA),INDEX(Checker!N$6:N$405,MATCH($D50,Checker!$A$6:$A$405,0))))</f>
        <v>n/a</v>
      </c>
      <c r="R50" s="42" t="str">
        <f>IF($D50="","",IF($D50=Test_Synth,IF(F50=Lbl_Alcohol,Lbl_Viol,Lbl_NA),INDEX(Checker!O$6:O$405,MATCH($D50,Checker!$A$6:$A$405,0))))</f>
        <v>n/a</v>
      </c>
      <c r="S50" s="42" t="str">
        <f>IF($D50="","",IF($D50=Test_Synth,IF(AND(I50=Lbl_NoReceipt,H50&gt;Receipt_Threshold),Lbl_Viol,Lbl_Comp),INDEX(Checker!P$6:P$405,MATCH($D50,Checker!$A$6:$A$405,0))))</f>
        <v>Compliant</v>
      </c>
      <c r="T50" s="42" t="str">
        <f>IF($D50="","",IF($D50=Test_Synth,IF(L50&gt;Late_Days,Lbl_Viol,Lbl_Comp),INDEX(Checker!Q$6:Q$405,MATCH($D50,Checker!$A$6:$A$405,0))))</f>
        <v>Compliant</v>
      </c>
      <c r="U50" s="36" t="str">
        <f>IF($D50="","",IF($D50=Test_Synth,IF(COUNTIF(M50:T50,Lbl_Viol)&gt;0,Lbl_Viol,Lbl_Comp),INDEX(Checker!$R$6:$R$405,MATCH($D50,Checker!$A$6:$A$405,0))))</f>
        <v>Violation</v>
      </c>
      <c r="V50" s="36" t="str">
        <f>IF($D50="","",IF($D50=Test_Synth,_xlfn.TEXTJOIN(", ",TRUE(),IF(M50=Lbl_Viol,M$5,""),IF(N50=Lbl_Viol,N$5,""),IF(O50=Lbl_Viol,O$5,""),IF(P50=Lbl_Viol,P$5,""),IF(Q50=Lbl_Viol,Q$5,""),IF(R50=Lbl_Viol,R$5,""),IF(S50=Lbl_Viol,S$5,""),IF(T50=Lbl_Viol,T$5,"")),INDEX(Checker!$S$6:$S$405,MATCH($D50,Checker!$A$6:$A$405,0))))</f>
        <v>TP-01, TP-02</v>
      </c>
      <c r="W50" s="36" t="str">
        <f>IF($D50="","",IF($D50=Test_Synth,IF(T50=Lbl_Viol,IF(L50&gt;Expired_Days,Lbl_Expired,Lbl_Late),""),INDEX(Checker!$T$6:$T$405,MATCH($D50,Checker!$A$6:$A$405,0))))</f>
        <v/>
      </c>
      <c r="X50" s="36" t="str">
        <f>IF($D50="","",IF($D50=Test_Synth,IF(U50=Lbl_Comp,"",IF(SUMPRODUCT((M50:T50=Lbl_Viol)*(M$4:T$4=Lbl_Definite))&gt;0,Lbl_Definite,Lbl_Assumption)),INDEX(Checker!$U$6:$U$405,MATCH($D50,Checker!$A$6:$A$405,0))))</f>
        <v>Definite</v>
      </c>
      <c r="Y50" s="37" t="s">
        <v>812</v>
      </c>
      <c r="Z50" s="37" t="s">
        <v>1165</v>
      </c>
      <c r="AA50" s="37"/>
      <c r="AB50" s="37" t="s">
        <v>821</v>
      </c>
      <c r="AC50" s="46" t="str">
        <f t="shared" si="1"/>
        <v>PASS</v>
      </c>
    </row>
    <row r="51" spans="1:29" ht="15" customHeight="1" x14ac:dyDescent="0.3">
      <c r="A51" s="35" t="s">
        <v>1166</v>
      </c>
      <c r="B51" s="35" t="s">
        <v>1167</v>
      </c>
      <c r="C51" s="72" t="s">
        <v>1168</v>
      </c>
      <c r="D51" s="33" t="s">
        <v>447</v>
      </c>
      <c r="E51" s="36" t="str">
        <f>INDEX(Checker!$B$6:$B$405,MATCH($D51,Checker!$A$6:$A$405,0))</f>
        <v>M2</v>
      </c>
      <c r="F51" s="36" t="str">
        <f>INDEX(Checker!$C$6:$C$405,MATCH($D51,Checker!$A$6:$A$405,0))</f>
        <v>Flight</v>
      </c>
      <c r="G51" s="36" t="str">
        <f>INDEX(Checker!$D$6:$D$405,MATCH($D51,Checker!$A$6:$A$405,0))</f>
        <v>Non-metro</v>
      </c>
      <c r="H51" s="40">
        <f>INDEX(Checker!$E$6:$E$405,MATCH($D51,Checker!$A$6:$A$405,0))</f>
        <v>20346</v>
      </c>
      <c r="I51" s="36" t="str">
        <f>INDEX(Checker!$F$6:$F$405,MATCH($D51,Checker!$A$6:$A$405,0))</f>
        <v>No</v>
      </c>
      <c r="J51" s="36">
        <f>INDEX(Checker!$G$6:$G$405,MATCH($D51,Checker!$A$6:$A$405,0))</f>
        <v>6</v>
      </c>
      <c r="K51" s="36" t="str">
        <f>INDEX(Checker!$H$6:$H$405,MATCH($D51,Checker!$A$6:$A$405,0))</f>
        <v>Economy</v>
      </c>
      <c r="L51" s="41">
        <f>INDEX(Checker!$I$6:$I$405,MATCH($D51,Checker!$A$6:$A$405,0))</f>
        <v>9</v>
      </c>
      <c r="M51" s="42" t="str">
        <f>IF($D51="","",IF($D51=Test_Synth,IF(F51=Lbl_Flight,IF(AND(K51=Lbl_Business,INDEX(Biz_Permitted,MATCH(E51,Caps_Grade,0))=Lbl_BizNo),Lbl_Viol,Lbl_Comp),Lbl_NA),INDEX(Checker!J$6:J$405,MATCH($D51,Checker!$A$6:$A$405,0))))</f>
        <v>Compliant</v>
      </c>
      <c r="N51" s="42" t="str">
        <f>IF($D51="","",IF($D51=Test_Synth,IF(F51=Lbl_Flight,IF(J51&lt;Min_Days_Booked,Lbl_Viol,Lbl_Comp),Lbl_NA),INDEX(Checker!K$6:K$405,MATCH($D51,Checker!$A$6:$A$405,0))))</f>
        <v>Violation</v>
      </c>
      <c r="O51" s="42" t="str">
        <f>IF($D51="","",IF($D51=Test_Synth,IF(AND(F51=Lbl_Hotel,G51=Lbl_Metro),IF(H51&gt;INDEX(Caps_Metro,MATCH(E51,Caps_Grade,0)),Lbl_Viol,Lbl_Comp),Lbl_NA),INDEX(Checker!L$6:L$405,MATCH($D51,Checker!$A$6:$A$405,0))))</f>
        <v>n/a</v>
      </c>
      <c r="P51" s="42" t="str">
        <f>IF($D51="","",IF($D51=Test_Synth,IF(AND(F51=Lbl_Hotel,G51=Lbl_NonMetro),IF(H51&gt;INDEX(Caps_NonMetro,MATCH(E51,Caps_Grade,0)),Lbl_Viol,Lbl_Comp),Lbl_NA),INDEX(Checker!M$6:M$405,MATCH($D51,Checker!$A$6:$A$405,0))))</f>
        <v>n/a</v>
      </c>
      <c r="Q51" s="42" t="str">
        <f>IF($D51="","",IF($D51=Test_Synth,IF(F51=Lbl_Meals,IF(H51&gt;IF(G51=Lbl_Metro,Limit_Metro,Limit_NonMetro),Lbl_Viol,Lbl_Comp),Lbl_NA),INDEX(Checker!N$6:N$405,MATCH($D51,Checker!$A$6:$A$405,0))))</f>
        <v>n/a</v>
      </c>
      <c r="R51" s="42" t="str">
        <f>IF($D51="","",IF($D51=Test_Synth,IF(F51=Lbl_Alcohol,Lbl_Viol,Lbl_NA),INDEX(Checker!O$6:O$405,MATCH($D51,Checker!$A$6:$A$405,0))))</f>
        <v>n/a</v>
      </c>
      <c r="S51" s="42" t="str">
        <f>IF($D51="","",IF($D51=Test_Synth,IF(AND(I51=Lbl_NoReceipt,H51&gt;Receipt_Threshold),Lbl_Viol,Lbl_Comp),INDEX(Checker!P$6:P$405,MATCH($D51,Checker!$A$6:$A$405,0))))</f>
        <v>Violation</v>
      </c>
      <c r="T51" s="42" t="str">
        <f>IF($D51="","",IF($D51=Test_Synth,IF(L51&gt;Late_Days,Lbl_Viol,Lbl_Comp),INDEX(Checker!Q$6:Q$405,MATCH($D51,Checker!$A$6:$A$405,0))))</f>
        <v>Compliant</v>
      </c>
      <c r="U51" s="36" t="str">
        <f>IF($D51="","",IF($D51=Test_Synth,IF(COUNTIF(M51:T51,Lbl_Viol)&gt;0,Lbl_Viol,Lbl_Comp),INDEX(Checker!$R$6:$R$405,MATCH($D51,Checker!$A$6:$A$405,0))))</f>
        <v>Violation</v>
      </c>
      <c r="V51" s="36" t="str">
        <f>IF($D51="","",IF($D51=Test_Synth,_xlfn.TEXTJOIN(", ",TRUE(),IF(M51=Lbl_Viol,M$5,""),IF(N51=Lbl_Viol,N$5,""),IF(O51=Lbl_Viol,O$5,""),IF(P51=Lbl_Viol,P$5,""),IF(Q51=Lbl_Viol,Q$5,""),IF(R51=Lbl_Viol,R$5,""),IF(S51=Lbl_Viol,S$5,""),IF(T51=Lbl_Viol,T$5,"")),INDEX(Checker!$S$6:$S$405,MATCH($D51,Checker!$A$6:$A$405,0))))</f>
        <v>TP-02, TP-09</v>
      </c>
      <c r="W51" s="36" t="str">
        <f>IF($D51="","",IF($D51=Test_Synth,IF(T51=Lbl_Viol,IF(L51&gt;Expired_Days,Lbl_Expired,Lbl_Late),""),INDEX(Checker!$T$6:$T$405,MATCH($D51,Checker!$A$6:$A$405,0))))</f>
        <v/>
      </c>
      <c r="X51" s="36" t="str">
        <f>IF($D51="","",IF($D51=Test_Synth,IF(U51=Lbl_Comp,"",IF(SUMPRODUCT((M51:T51=Lbl_Viol)*(M$4:T$4=Lbl_Definite))&gt;0,Lbl_Definite,Lbl_Assumption)),INDEX(Checker!$U$6:$U$405,MATCH($D51,Checker!$A$6:$A$405,0))))</f>
        <v>Definite</v>
      </c>
      <c r="Y51" s="37" t="s">
        <v>812</v>
      </c>
      <c r="Z51" s="37" t="s">
        <v>1169</v>
      </c>
      <c r="AA51" s="37"/>
      <c r="AB51" s="37" t="s">
        <v>821</v>
      </c>
      <c r="AC51" s="46" t="str">
        <f t="shared" si="1"/>
        <v>PASS</v>
      </c>
    </row>
    <row r="52" spans="1:29" ht="15" customHeight="1" x14ac:dyDescent="0.3">
      <c r="A52" s="35" t="s">
        <v>1170</v>
      </c>
      <c r="B52" s="35" t="s">
        <v>1171</v>
      </c>
      <c r="C52" s="72" t="s">
        <v>1172</v>
      </c>
      <c r="D52" s="33" t="s">
        <v>546</v>
      </c>
      <c r="E52" s="36" t="str">
        <f>INDEX(Checker!$B$6:$B$405,MATCH($D52,Checker!$A$6:$A$405,0))</f>
        <v>M1</v>
      </c>
      <c r="F52" s="36" t="str">
        <f>INDEX(Checker!$C$6:$C$405,MATCH($D52,Checker!$A$6:$A$405,0))</f>
        <v>Meals/DA</v>
      </c>
      <c r="G52" s="36" t="str">
        <f>INDEX(Checker!$D$6:$D$405,MATCH($D52,Checker!$A$6:$A$405,0))</f>
        <v>Metro</v>
      </c>
      <c r="H52" s="40">
        <f>INDEX(Checker!$E$6:$E$405,MATCH($D52,Checker!$A$6:$A$405,0))</f>
        <v>1989</v>
      </c>
      <c r="I52" s="36" t="str">
        <f>INDEX(Checker!$F$6:$F$405,MATCH($D52,Checker!$A$6:$A$405,0))</f>
        <v>No</v>
      </c>
      <c r="J52" s="36" t="str">
        <f>INDEX(Checker!$G$6:$G$405,MATCH($D52,Checker!$A$6:$A$405,0))</f>
        <v/>
      </c>
      <c r="K52" s="36" t="str">
        <f>INDEX(Checker!$H$6:$H$405,MATCH($D52,Checker!$A$6:$A$405,0))</f>
        <v/>
      </c>
      <c r="L52" s="41">
        <f>INDEX(Checker!$I$6:$I$405,MATCH($D52,Checker!$A$6:$A$405,0))</f>
        <v>20</v>
      </c>
      <c r="M52" s="42" t="str">
        <f>IF($D52="","",IF($D52=Test_Synth,IF(F52=Lbl_Flight,IF(AND(K52=Lbl_Business,INDEX(Biz_Permitted,MATCH(E52,Caps_Grade,0))=Lbl_BizNo),Lbl_Viol,Lbl_Comp),Lbl_NA),INDEX(Checker!J$6:J$405,MATCH($D52,Checker!$A$6:$A$405,0))))</f>
        <v>n/a</v>
      </c>
      <c r="N52" s="42" t="str">
        <f>IF($D52="","",IF($D52=Test_Synth,IF(F52=Lbl_Flight,IF(J52&lt;Min_Days_Booked,Lbl_Viol,Lbl_Comp),Lbl_NA),INDEX(Checker!K$6:K$405,MATCH($D52,Checker!$A$6:$A$405,0))))</f>
        <v>n/a</v>
      </c>
      <c r="O52" s="42" t="str">
        <f>IF($D52="","",IF($D52=Test_Synth,IF(AND(F52=Lbl_Hotel,G52=Lbl_Metro),IF(H52&gt;INDEX(Caps_Metro,MATCH(E52,Caps_Grade,0)),Lbl_Viol,Lbl_Comp),Lbl_NA),INDEX(Checker!L$6:L$405,MATCH($D52,Checker!$A$6:$A$405,0))))</f>
        <v>n/a</v>
      </c>
      <c r="P52" s="42" t="str">
        <f>IF($D52="","",IF($D52=Test_Synth,IF(AND(F52=Lbl_Hotel,G52=Lbl_NonMetro),IF(H52&gt;INDEX(Caps_NonMetro,MATCH(E52,Caps_Grade,0)),Lbl_Viol,Lbl_Comp),Lbl_NA),INDEX(Checker!M$6:M$405,MATCH($D52,Checker!$A$6:$A$405,0))))</f>
        <v>n/a</v>
      </c>
      <c r="Q52" s="42" t="str">
        <f>IF($D52="","",IF($D52=Test_Synth,IF(F52=Lbl_Meals,IF(H52&gt;IF(G52=Lbl_Metro,Limit_Metro,Limit_NonMetro),Lbl_Viol,Lbl_Comp),Lbl_NA),INDEX(Checker!N$6:N$405,MATCH($D52,Checker!$A$6:$A$405,0))))</f>
        <v>Violation</v>
      </c>
      <c r="R52" s="42" t="str">
        <f>IF($D52="","",IF($D52=Test_Synth,IF(F52=Lbl_Alcohol,Lbl_Viol,Lbl_NA),INDEX(Checker!O$6:O$405,MATCH($D52,Checker!$A$6:$A$405,0))))</f>
        <v>n/a</v>
      </c>
      <c r="S52" s="42" t="str">
        <f>IF($D52="","",IF($D52=Test_Synth,IF(AND(I52=Lbl_NoReceipt,H52&gt;Receipt_Threshold),Lbl_Viol,Lbl_Comp),INDEX(Checker!P$6:P$405,MATCH($D52,Checker!$A$6:$A$405,0))))</f>
        <v>Violation</v>
      </c>
      <c r="T52" s="42" t="str">
        <f>IF($D52="","",IF($D52=Test_Synth,IF(L52&gt;Late_Days,Lbl_Viol,Lbl_Comp),INDEX(Checker!Q$6:Q$405,MATCH($D52,Checker!$A$6:$A$405,0))))</f>
        <v>Violation</v>
      </c>
      <c r="U52" s="36" t="str">
        <f>IF($D52="","",IF($D52=Test_Synth,IF(COUNTIF(M52:T52,Lbl_Viol)&gt;0,Lbl_Viol,Lbl_Comp),INDEX(Checker!$R$6:$R$405,MATCH($D52,Checker!$A$6:$A$405,0))))</f>
        <v>Violation</v>
      </c>
      <c r="V52" s="36" t="str">
        <f>IF($D52="","",IF($D52=Test_Synth,_xlfn.TEXTJOIN(", ",TRUE(),IF(M52=Lbl_Viol,M$5,""),IF(N52=Lbl_Viol,N$5,""),IF(O52=Lbl_Viol,O$5,""),IF(P52=Lbl_Viol,P$5,""),IF(Q52=Lbl_Viol,Q$5,""),IF(R52=Lbl_Viol,R$5,""),IF(S52=Lbl_Viol,S$5,""),IF(T52=Lbl_Viol,T$5,"")),INDEX(Checker!$S$6:$S$405,MATCH($D52,Checker!$A$6:$A$405,0))))</f>
        <v>TP-06, TP-09, TP-10</v>
      </c>
      <c r="W52" s="36" t="str">
        <f>IF($D52="","",IF($D52=Test_Synth,IF(T52=Lbl_Viol,IF(L52&gt;Expired_Days,Lbl_Expired,Lbl_Late),""),INDEX(Checker!$T$6:$T$405,MATCH($D52,Checker!$A$6:$A$405,0))))</f>
        <v>Late</v>
      </c>
      <c r="X52" s="36" t="str">
        <f>IF($D52="","",IF($D52=Test_Synth,IF(U52=Lbl_Comp,"",IF(SUMPRODUCT((M52:T52=Lbl_Viol)*(M$4:T$4=Lbl_Definite))&gt;0,Lbl_Definite,Lbl_Assumption)),INDEX(Checker!$U$6:$U$405,MATCH($D52,Checker!$A$6:$A$405,0))))</f>
        <v>Definite</v>
      </c>
      <c r="Y52" s="37" t="s">
        <v>812</v>
      </c>
      <c r="Z52" s="37" t="s">
        <v>1173</v>
      </c>
      <c r="AA52" s="37" t="s">
        <v>817</v>
      </c>
      <c r="AB52" s="37" t="s">
        <v>821</v>
      </c>
      <c r="AC52" s="46" t="str">
        <f t="shared" si="1"/>
        <v>PASS</v>
      </c>
    </row>
    <row r="53" spans="1:29" ht="15" customHeight="1" x14ac:dyDescent="0.3">
      <c r="A53" s="35" t="s">
        <v>1174</v>
      </c>
      <c r="B53" s="35" t="s">
        <v>1175</v>
      </c>
      <c r="C53" s="72" t="s">
        <v>1176</v>
      </c>
      <c r="D53" s="33" t="s">
        <v>219</v>
      </c>
      <c r="E53" s="36" t="str">
        <f>INDEX(Checker!$B$6:$B$405,MATCH($D53,Checker!$A$6:$A$405,0))</f>
        <v>M3</v>
      </c>
      <c r="F53" s="36" t="str">
        <f>INDEX(Checker!$C$6:$C$405,MATCH($D53,Checker!$A$6:$A$405,0))</f>
        <v>Hotel</v>
      </c>
      <c r="G53" s="36" t="str">
        <f>INDEX(Checker!$D$6:$D$405,MATCH($D53,Checker!$A$6:$A$405,0))</f>
        <v>Non-metro</v>
      </c>
      <c r="H53" s="40">
        <f>INDEX(Checker!$E$6:$E$405,MATCH($D53,Checker!$A$6:$A$405,0))</f>
        <v>9330</v>
      </c>
      <c r="I53" s="36" t="str">
        <f>INDEX(Checker!$F$6:$F$405,MATCH($D53,Checker!$A$6:$A$405,0))</f>
        <v>No</v>
      </c>
      <c r="J53" s="36" t="str">
        <f>INDEX(Checker!$G$6:$G$405,MATCH($D53,Checker!$A$6:$A$405,0))</f>
        <v/>
      </c>
      <c r="K53" s="36" t="str">
        <f>INDEX(Checker!$H$6:$H$405,MATCH($D53,Checker!$A$6:$A$405,0))</f>
        <v/>
      </c>
      <c r="L53" s="41">
        <f>INDEX(Checker!$I$6:$I$405,MATCH($D53,Checker!$A$6:$A$405,0))</f>
        <v>35</v>
      </c>
      <c r="M53" s="42" t="str">
        <f>IF($D53="","",IF($D53=Test_Synth,IF(F53=Lbl_Flight,IF(AND(K53=Lbl_Business,INDEX(Biz_Permitted,MATCH(E53,Caps_Grade,0))=Lbl_BizNo),Lbl_Viol,Lbl_Comp),Lbl_NA),INDEX(Checker!J$6:J$405,MATCH($D53,Checker!$A$6:$A$405,0))))</f>
        <v>n/a</v>
      </c>
      <c r="N53" s="42" t="str">
        <f>IF($D53="","",IF($D53=Test_Synth,IF(F53=Lbl_Flight,IF(J53&lt;Min_Days_Booked,Lbl_Viol,Lbl_Comp),Lbl_NA),INDEX(Checker!K$6:K$405,MATCH($D53,Checker!$A$6:$A$405,0))))</f>
        <v>n/a</v>
      </c>
      <c r="O53" s="42" t="str">
        <f>IF($D53="","",IF($D53=Test_Synth,IF(AND(F53=Lbl_Hotel,G53=Lbl_Metro),IF(H53&gt;INDEX(Caps_Metro,MATCH(E53,Caps_Grade,0)),Lbl_Viol,Lbl_Comp),Lbl_NA),INDEX(Checker!L$6:L$405,MATCH($D53,Checker!$A$6:$A$405,0))))</f>
        <v>n/a</v>
      </c>
      <c r="P53" s="42" t="str">
        <f>IF($D53="","",IF($D53=Test_Synth,IF(AND(F53=Lbl_Hotel,G53=Lbl_NonMetro),IF(H53&gt;INDEX(Caps_NonMetro,MATCH(E53,Caps_Grade,0)),Lbl_Viol,Lbl_Comp),Lbl_NA),INDEX(Checker!M$6:M$405,MATCH($D53,Checker!$A$6:$A$405,0))))</f>
        <v>Violation</v>
      </c>
      <c r="Q53" s="42" t="str">
        <f>IF($D53="","",IF($D53=Test_Synth,IF(F53=Lbl_Meals,IF(H53&gt;IF(G53=Lbl_Metro,Limit_Metro,Limit_NonMetro),Lbl_Viol,Lbl_Comp),Lbl_NA),INDEX(Checker!N$6:N$405,MATCH($D53,Checker!$A$6:$A$405,0))))</f>
        <v>n/a</v>
      </c>
      <c r="R53" s="42" t="str">
        <f>IF($D53="","",IF($D53=Test_Synth,IF(F53=Lbl_Alcohol,Lbl_Viol,Lbl_NA),INDEX(Checker!O$6:O$405,MATCH($D53,Checker!$A$6:$A$405,0))))</f>
        <v>n/a</v>
      </c>
      <c r="S53" s="42" t="str">
        <f>IF($D53="","",IF($D53=Test_Synth,IF(AND(I53=Lbl_NoReceipt,H53&gt;Receipt_Threshold),Lbl_Viol,Lbl_Comp),INDEX(Checker!P$6:P$405,MATCH($D53,Checker!$A$6:$A$405,0))))</f>
        <v>Violation</v>
      </c>
      <c r="T53" s="42" t="str">
        <f>IF($D53="","",IF($D53=Test_Synth,IF(L53&gt;Late_Days,Lbl_Viol,Lbl_Comp),INDEX(Checker!Q$6:Q$405,MATCH($D53,Checker!$A$6:$A$405,0))))</f>
        <v>Violation</v>
      </c>
      <c r="U53" s="36" t="str">
        <f>IF($D53="","",IF($D53=Test_Synth,IF(COUNTIF(M53:T53,Lbl_Viol)&gt;0,Lbl_Viol,Lbl_Comp),INDEX(Checker!$R$6:$R$405,MATCH($D53,Checker!$A$6:$A$405,0))))</f>
        <v>Violation</v>
      </c>
      <c r="V53" s="36" t="str">
        <f>IF($D53="","",IF($D53=Test_Synth,_xlfn.TEXTJOIN(", ",TRUE(),IF(M53=Lbl_Viol,M$5,""),IF(N53=Lbl_Viol,N$5,""),IF(O53=Lbl_Viol,O$5,""),IF(P53=Lbl_Viol,P$5,""),IF(Q53=Lbl_Viol,Q$5,""),IF(R53=Lbl_Viol,R$5,""),IF(S53=Lbl_Viol,S$5,""),IF(T53=Lbl_Viol,T$5,"")),INDEX(Checker!$S$6:$S$405,MATCH($D53,Checker!$A$6:$A$405,0))))</f>
        <v>TP-05, TP-09, TP-10</v>
      </c>
      <c r="W53" s="36" t="str">
        <f>IF($D53="","",IF($D53=Test_Synth,IF(T53=Lbl_Viol,IF(L53&gt;Expired_Days,Lbl_Expired,Lbl_Late),""),INDEX(Checker!$T$6:$T$405,MATCH($D53,Checker!$A$6:$A$405,0))))</f>
        <v>Late</v>
      </c>
      <c r="X53" s="36" t="str">
        <f>IF($D53="","",IF($D53=Test_Synth,IF(U53=Lbl_Comp,"",IF(SUMPRODUCT((M53:T53=Lbl_Viol)*(M$4:T$4=Lbl_Definite))&gt;0,Lbl_Definite,Lbl_Assumption)),INDEX(Checker!$U$6:$U$405,MATCH($D53,Checker!$A$6:$A$405,0))))</f>
        <v>Definite</v>
      </c>
      <c r="Y53" s="37" t="s">
        <v>812</v>
      </c>
      <c r="Z53" s="37" t="s">
        <v>1177</v>
      </c>
      <c r="AA53" s="37" t="s">
        <v>817</v>
      </c>
      <c r="AB53" s="37" t="s">
        <v>821</v>
      </c>
      <c r="AC53" s="46" t="str">
        <f t="shared" si="1"/>
        <v>PASS</v>
      </c>
    </row>
    <row r="54" spans="1:29" ht="15" customHeight="1" x14ac:dyDescent="0.3">
      <c r="A54" s="35" t="s">
        <v>1178</v>
      </c>
      <c r="B54" s="35" t="s">
        <v>1179</v>
      </c>
      <c r="C54" s="72" t="s">
        <v>1180</v>
      </c>
      <c r="D54" s="33" t="s">
        <v>448</v>
      </c>
      <c r="E54" s="36" t="str">
        <f>INDEX(Checker!$B$6:$B$405,MATCH($D54,Checker!$A$6:$A$405,0))</f>
        <v>M3</v>
      </c>
      <c r="F54" s="36" t="str">
        <f>INDEX(Checker!$C$6:$C$405,MATCH($D54,Checker!$A$6:$A$405,0))</f>
        <v>Alcohol</v>
      </c>
      <c r="G54" s="36" t="str">
        <f>INDEX(Checker!$D$6:$D$405,MATCH($D54,Checker!$A$6:$A$405,0))</f>
        <v>Metro</v>
      </c>
      <c r="H54" s="40">
        <f>INDEX(Checker!$E$6:$E$405,MATCH($D54,Checker!$A$6:$A$405,0))</f>
        <v>1442</v>
      </c>
      <c r="I54" s="36" t="str">
        <f>INDEX(Checker!$F$6:$F$405,MATCH($D54,Checker!$A$6:$A$405,0))</f>
        <v>Yes</v>
      </c>
      <c r="J54" s="36" t="str">
        <f>INDEX(Checker!$G$6:$G$405,MATCH($D54,Checker!$A$6:$A$405,0))</f>
        <v/>
      </c>
      <c r="K54" s="36" t="str">
        <f>INDEX(Checker!$H$6:$H$405,MATCH($D54,Checker!$A$6:$A$405,0))</f>
        <v/>
      </c>
      <c r="L54" s="41">
        <f>INDEX(Checker!$I$6:$I$405,MATCH($D54,Checker!$A$6:$A$405,0))</f>
        <v>70</v>
      </c>
      <c r="M54" s="42" t="str">
        <f>IF($D54="","",IF($D54=Test_Synth,IF(F54=Lbl_Flight,IF(AND(K54=Lbl_Business,INDEX(Biz_Permitted,MATCH(E54,Caps_Grade,0))=Lbl_BizNo),Lbl_Viol,Lbl_Comp),Lbl_NA),INDEX(Checker!J$6:J$405,MATCH($D54,Checker!$A$6:$A$405,0))))</f>
        <v>n/a</v>
      </c>
      <c r="N54" s="42" t="str">
        <f>IF($D54="","",IF($D54=Test_Synth,IF(F54=Lbl_Flight,IF(J54&lt;Min_Days_Booked,Lbl_Viol,Lbl_Comp),Lbl_NA),INDEX(Checker!K$6:K$405,MATCH($D54,Checker!$A$6:$A$405,0))))</f>
        <v>n/a</v>
      </c>
      <c r="O54" s="42" t="str">
        <f>IF($D54="","",IF($D54=Test_Synth,IF(AND(F54=Lbl_Hotel,G54=Lbl_Metro),IF(H54&gt;INDEX(Caps_Metro,MATCH(E54,Caps_Grade,0)),Lbl_Viol,Lbl_Comp),Lbl_NA),INDEX(Checker!L$6:L$405,MATCH($D54,Checker!$A$6:$A$405,0))))</f>
        <v>n/a</v>
      </c>
      <c r="P54" s="42" t="str">
        <f>IF($D54="","",IF($D54=Test_Synth,IF(AND(F54=Lbl_Hotel,G54=Lbl_NonMetro),IF(H54&gt;INDEX(Caps_NonMetro,MATCH(E54,Caps_Grade,0)),Lbl_Viol,Lbl_Comp),Lbl_NA),INDEX(Checker!M$6:M$405,MATCH($D54,Checker!$A$6:$A$405,0))))</f>
        <v>n/a</v>
      </c>
      <c r="Q54" s="42" t="str">
        <f>IF($D54="","",IF($D54=Test_Synth,IF(F54=Lbl_Meals,IF(H54&gt;IF(G54=Lbl_Metro,Limit_Metro,Limit_NonMetro),Lbl_Viol,Lbl_Comp),Lbl_NA),INDEX(Checker!N$6:N$405,MATCH($D54,Checker!$A$6:$A$405,0))))</f>
        <v>n/a</v>
      </c>
      <c r="R54" s="42" t="str">
        <f>IF($D54="","",IF($D54=Test_Synth,IF(F54=Lbl_Alcohol,Lbl_Viol,Lbl_NA),INDEX(Checker!O$6:O$405,MATCH($D54,Checker!$A$6:$A$405,0))))</f>
        <v>Violation</v>
      </c>
      <c r="S54" s="42" t="str">
        <f>IF($D54="","",IF($D54=Test_Synth,IF(AND(I54=Lbl_NoReceipt,H54&gt;Receipt_Threshold),Lbl_Viol,Lbl_Comp),INDEX(Checker!P$6:P$405,MATCH($D54,Checker!$A$6:$A$405,0))))</f>
        <v>Compliant</v>
      </c>
      <c r="T54" s="42" t="str">
        <f>IF($D54="","",IF($D54=Test_Synth,IF(L54&gt;Late_Days,Lbl_Viol,Lbl_Comp),INDEX(Checker!Q$6:Q$405,MATCH($D54,Checker!$A$6:$A$405,0))))</f>
        <v>Violation</v>
      </c>
      <c r="U54" s="36" t="str">
        <f>IF($D54="","",IF($D54=Test_Synth,IF(COUNTIF(M54:T54,Lbl_Viol)&gt;0,Lbl_Viol,Lbl_Comp),INDEX(Checker!$R$6:$R$405,MATCH($D54,Checker!$A$6:$A$405,0))))</f>
        <v>Violation</v>
      </c>
      <c r="V54" s="36" t="str">
        <f>IF($D54="","",IF($D54=Test_Synth,_xlfn.TEXTJOIN(", ",TRUE(),IF(M54=Lbl_Viol,M$5,""),IF(N54=Lbl_Viol,N$5,""),IF(O54=Lbl_Viol,O$5,""),IF(P54=Lbl_Viol,P$5,""),IF(Q54=Lbl_Viol,Q$5,""),IF(R54=Lbl_Viol,R$5,""),IF(S54=Lbl_Viol,S$5,""),IF(T54=Lbl_Viol,T$5,"")),INDEX(Checker!$S$6:$S$405,MATCH($D54,Checker!$A$6:$A$405,0))))</f>
        <v>TP-08, TP-10</v>
      </c>
      <c r="W54" s="36" t="str">
        <f>IF($D54="","",IF($D54=Test_Synth,IF(T54=Lbl_Viol,IF(L54&gt;Expired_Days,Lbl_Expired,Lbl_Late),""),INDEX(Checker!$T$6:$T$405,MATCH($D54,Checker!$A$6:$A$405,0))))</f>
        <v>Expired</v>
      </c>
      <c r="X54" s="36" t="str">
        <f>IF($D54="","",IF($D54=Test_Synth,IF(U54=Lbl_Comp,"",IF(SUMPRODUCT((M54:T54=Lbl_Viol)*(M$4:T$4=Lbl_Definite))&gt;0,Lbl_Definite,Lbl_Assumption)),INDEX(Checker!$U$6:$U$405,MATCH($D54,Checker!$A$6:$A$405,0))))</f>
        <v>Definite</v>
      </c>
      <c r="Y54" s="37" t="s">
        <v>812</v>
      </c>
      <c r="Z54" s="37" t="s">
        <v>1181</v>
      </c>
      <c r="AA54" s="37" t="s">
        <v>819</v>
      </c>
      <c r="AB54" s="37" t="s">
        <v>821</v>
      </c>
      <c r="AC54" s="46" t="str">
        <f t="shared" si="1"/>
        <v>PASS</v>
      </c>
    </row>
    <row r="55" spans="1:29" ht="15" customHeight="1" x14ac:dyDescent="0.3">
      <c r="A55" s="35" t="s">
        <v>1182</v>
      </c>
      <c r="B55" s="35" t="s">
        <v>1183</v>
      </c>
      <c r="C55" s="72" t="s">
        <v>1184</v>
      </c>
      <c r="D55" s="33" t="s">
        <v>169</v>
      </c>
      <c r="E55" s="36" t="str">
        <f>INDEX(Checker!$B$6:$B$405,MATCH($D55,Checker!$A$6:$A$405,0))</f>
        <v>M1</v>
      </c>
      <c r="F55" s="36" t="str">
        <f>INDEX(Checker!$C$6:$C$405,MATCH($D55,Checker!$A$6:$A$405,0))</f>
        <v>Train</v>
      </c>
      <c r="G55" s="36" t="str">
        <f>INDEX(Checker!$D$6:$D$405,MATCH($D55,Checker!$A$6:$A$405,0))</f>
        <v>Non-metro</v>
      </c>
      <c r="H55" s="40">
        <f>INDEX(Checker!$E$6:$E$405,MATCH($D55,Checker!$A$6:$A$405,0))</f>
        <v>2387</v>
      </c>
      <c r="I55" s="36" t="str">
        <f>INDEX(Checker!$F$6:$F$405,MATCH($D55,Checker!$A$6:$A$405,0))</f>
        <v>Yes</v>
      </c>
      <c r="J55" s="36" t="str">
        <f>INDEX(Checker!$G$6:$G$405,MATCH($D55,Checker!$A$6:$A$405,0))</f>
        <v/>
      </c>
      <c r="K55" s="36" t="str">
        <f>INDEX(Checker!$H$6:$H$405,MATCH($D55,Checker!$A$6:$A$405,0))</f>
        <v/>
      </c>
      <c r="L55" s="41">
        <f>INDEX(Checker!$I$6:$I$405,MATCH($D55,Checker!$A$6:$A$405,0))</f>
        <v>2</v>
      </c>
      <c r="M55" s="42" t="str">
        <f>IF($D55="","",IF($D55=Test_Synth,IF(F55=Lbl_Flight,IF(AND(K55=Lbl_Business,INDEX(Biz_Permitted,MATCH(E55,Caps_Grade,0))=Lbl_BizNo),Lbl_Viol,Lbl_Comp),Lbl_NA),INDEX(Checker!J$6:J$405,MATCH($D55,Checker!$A$6:$A$405,0))))</f>
        <v>n/a</v>
      </c>
      <c r="N55" s="42" t="str">
        <f>IF($D55="","",IF($D55=Test_Synth,IF(F55=Lbl_Flight,IF(J55&lt;Min_Days_Booked,Lbl_Viol,Lbl_Comp),Lbl_NA),INDEX(Checker!K$6:K$405,MATCH($D55,Checker!$A$6:$A$405,0))))</f>
        <v>n/a</v>
      </c>
      <c r="O55" s="42" t="str">
        <f>IF($D55="","",IF($D55=Test_Synth,IF(AND(F55=Lbl_Hotel,G55=Lbl_Metro),IF(H55&gt;INDEX(Caps_Metro,MATCH(E55,Caps_Grade,0)),Lbl_Viol,Lbl_Comp),Lbl_NA),INDEX(Checker!L$6:L$405,MATCH($D55,Checker!$A$6:$A$405,0))))</f>
        <v>n/a</v>
      </c>
      <c r="P55" s="42" t="str">
        <f>IF($D55="","",IF($D55=Test_Synth,IF(AND(F55=Lbl_Hotel,G55=Lbl_NonMetro),IF(H55&gt;INDEX(Caps_NonMetro,MATCH(E55,Caps_Grade,0)),Lbl_Viol,Lbl_Comp),Lbl_NA),INDEX(Checker!M$6:M$405,MATCH($D55,Checker!$A$6:$A$405,0))))</f>
        <v>n/a</v>
      </c>
      <c r="Q55" s="42" t="str">
        <f>IF($D55="","",IF($D55=Test_Synth,IF(F55=Lbl_Meals,IF(H55&gt;IF(G55=Lbl_Metro,Limit_Metro,Limit_NonMetro),Lbl_Viol,Lbl_Comp),Lbl_NA),INDEX(Checker!N$6:N$405,MATCH($D55,Checker!$A$6:$A$405,0))))</f>
        <v>n/a</v>
      </c>
      <c r="R55" s="42" t="str">
        <f>IF($D55="","",IF($D55=Test_Synth,IF(F55=Lbl_Alcohol,Lbl_Viol,Lbl_NA),INDEX(Checker!O$6:O$405,MATCH($D55,Checker!$A$6:$A$405,0))))</f>
        <v>n/a</v>
      </c>
      <c r="S55" s="42" t="str">
        <f>IF($D55="","",IF($D55=Test_Synth,IF(AND(I55=Lbl_NoReceipt,H55&gt;Receipt_Threshold),Lbl_Viol,Lbl_Comp),INDEX(Checker!P$6:P$405,MATCH($D55,Checker!$A$6:$A$405,0))))</f>
        <v>Compliant</v>
      </c>
      <c r="T55" s="42" t="str">
        <f>IF($D55="","",IF($D55=Test_Synth,IF(L55&gt;Late_Days,Lbl_Viol,Lbl_Comp),INDEX(Checker!Q$6:Q$405,MATCH($D55,Checker!$A$6:$A$405,0))))</f>
        <v>Compliant</v>
      </c>
      <c r="U55" s="36" t="str">
        <f>IF($D55="","",IF($D55=Test_Synth,IF(COUNTIF(M55:T55,Lbl_Viol)&gt;0,Lbl_Viol,Lbl_Comp),INDEX(Checker!$R$6:$R$405,MATCH($D55,Checker!$A$6:$A$405,0))))</f>
        <v>Compliant</v>
      </c>
      <c r="V55" s="36" t="str">
        <f>IF($D55="","",IF($D55=Test_Synth,_xlfn.TEXTJOIN(", ",TRUE(),IF(M55=Lbl_Viol,M$5,""),IF(N55=Lbl_Viol,N$5,""),IF(O55=Lbl_Viol,O$5,""),IF(P55=Lbl_Viol,P$5,""),IF(Q55=Lbl_Viol,Q$5,""),IF(R55=Lbl_Viol,R$5,""),IF(S55=Lbl_Viol,S$5,""),IF(T55=Lbl_Viol,T$5,"")),INDEX(Checker!$S$6:$S$405,MATCH($D55,Checker!$A$6:$A$405,0))))</f>
        <v/>
      </c>
      <c r="W55" s="36" t="str">
        <f>IF($D55="","",IF($D55=Test_Synth,IF(T55=Lbl_Viol,IF(L55&gt;Expired_Days,Lbl_Expired,Lbl_Late),""),INDEX(Checker!$T$6:$T$405,MATCH($D55,Checker!$A$6:$A$405,0))))</f>
        <v/>
      </c>
      <c r="X55" s="36" t="str">
        <f>IF($D55="","",IF($D55=Test_Synth,IF(U55=Lbl_Comp,"",IF(SUMPRODUCT((M55:T55=Lbl_Viol)*(M$4:T$4=Lbl_Definite))&gt;0,Lbl_Definite,Lbl_Assumption)),INDEX(Checker!$U$6:$U$405,MATCH($D55,Checker!$A$6:$A$405,0))))</f>
        <v/>
      </c>
      <c r="Y55" s="37" t="s">
        <v>813</v>
      </c>
      <c r="Z55" s="37"/>
      <c r="AA55" s="37"/>
      <c r="AB55" s="37"/>
      <c r="AC55" s="46" t="str">
        <f t="shared" si="1"/>
        <v>PASS</v>
      </c>
    </row>
    <row r="56" spans="1:29" ht="23.25" customHeight="1" x14ac:dyDescent="0.3">
      <c r="A56" s="35" t="s">
        <v>1185</v>
      </c>
      <c r="B56" s="35" t="s">
        <v>643</v>
      </c>
      <c r="C56" s="72" t="s">
        <v>1186</v>
      </c>
      <c r="D56" s="33" t="s">
        <v>1057</v>
      </c>
      <c r="E56" s="37" t="s">
        <v>79</v>
      </c>
      <c r="F56" s="37" t="s">
        <v>89</v>
      </c>
      <c r="G56" s="37" t="s">
        <v>97</v>
      </c>
      <c r="H56" s="78">
        <v>10000</v>
      </c>
      <c r="I56" s="37" t="s">
        <v>90</v>
      </c>
      <c r="J56" s="37"/>
      <c r="K56" s="37"/>
      <c r="L56" s="37">
        <v>5</v>
      </c>
      <c r="M56" s="42" t="str">
        <f>IF($D56="","",IF($D56=Test_Synth,IF(F56=Lbl_Flight,IF(AND(K56=Lbl_Business,INDEX(Biz_Permitted,MATCH(E56,Caps_Grade,0))=Lbl_BizNo),Lbl_Viol,Lbl_Comp),Lbl_NA),INDEX(Checker!J$6:J$405,MATCH($D56,Checker!$A$6:$A$405,0))))</f>
        <v>n/a</v>
      </c>
      <c r="N56" s="42" t="str">
        <f>IF($D56="","",IF($D56=Test_Synth,IF(F56=Lbl_Flight,IF(J56&lt;Min_Days_Booked,Lbl_Viol,Lbl_Comp),Lbl_NA),INDEX(Checker!K$6:K$405,MATCH($D56,Checker!$A$6:$A$405,0))))</f>
        <v>n/a</v>
      </c>
      <c r="O56" s="42" t="str">
        <f>IF($D56="","",IF($D56=Test_Synth,IF(AND(F56=Lbl_Hotel,G56=Lbl_Metro),IF(H56&gt;INDEX(Caps_Metro,MATCH(E56,Caps_Grade,0)),Lbl_Viol,Lbl_Comp),Lbl_NA),INDEX(Checker!L$6:L$405,MATCH($D56,Checker!$A$6:$A$405,0))))</f>
        <v>Compliant</v>
      </c>
      <c r="P56" s="42" t="str">
        <f>IF($D56="","",IF($D56=Test_Synth,IF(AND(F56=Lbl_Hotel,G56=Lbl_NonMetro),IF(H56&gt;INDEX(Caps_NonMetro,MATCH(E56,Caps_Grade,0)),Lbl_Viol,Lbl_Comp),Lbl_NA),INDEX(Checker!M$6:M$405,MATCH($D56,Checker!$A$6:$A$405,0))))</f>
        <v>n/a</v>
      </c>
      <c r="Q56" s="42" t="str">
        <f>IF($D56="","",IF($D56=Test_Synth,IF(F56=Lbl_Meals,IF(H56&gt;IF(G56=Lbl_Metro,Limit_Metro,Limit_NonMetro),Lbl_Viol,Lbl_Comp),Lbl_NA),INDEX(Checker!N$6:N$405,MATCH($D56,Checker!$A$6:$A$405,0))))</f>
        <v>n/a</v>
      </c>
      <c r="R56" s="42" t="str">
        <f>IF($D56="","",IF($D56=Test_Synth,IF(F56=Lbl_Alcohol,Lbl_Viol,Lbl_NA),INDEX(Checker!O$6:O$405,MATCH($D56,Checker!$A$6:$A$405,0))))</f>
        <v>n/a</v>
      </c>
      <c r="S56" s="42" t="str">
        <f>IF($D56="","",IF($D56=Test_Synth,IF(AND(I56=Lbl_NoReceipt,H56&gt;Receipt_Threshold),Lbl_Viol,Lbl_Comp),INDEX(Checker!P$6:P$405,MATCH($D56,Checker!$A$6:$A$405,0))))</f>
        <v>Compliant</v>
      </c>
      <c r="T56" s="42" t="str">
        <f>IF($D56="","",IF($D56=Test_Synth,IF(L56&gt;Late_Days,Lbl_Viol,Lbl_Comp),INDEX(Checker!Q$6:Q$405,MATCH($D56,Checker!$A$6:$A$405,0))))</f>
        <v>Compliant</v>
      </c>
      <c r="U56" s="36" t="str">
        <f>IF($D56="","",IF($D56=Test_Synth,IF(COUNTIF(M56:T56,Lbl_Viol)&gt;0,Lbl_Viol,Lbl_Comp),INDEX(Checker!$R$6:$R$405,MATCH($D56,Checker!$A$6:$A$405,0))))</f>
        <v>Compliant</v>
      </c>
      <c r="V56" s="36" t="str">
        <f>IF($D56="","",IF($D56=Test_Synth,_xlfn.TEXTJOIN(", ",TRUE(),IF(M56=Lbl_Viol,M$5,""),IF(N56=Lbl_Viol,N$5,""),IF(O56=Lbl_Viol,O$5,""),IF(P56=Lbl_Viol,P$5,""),IF(Q56=Lbl_Viol,Q$5,""),IF(R56=Lbl_Viol,R$5,""),IF(S56=Lbl_Viol,S$5,""),IF(T56=Lbl_Viol,T$5,"")),INDEX(Checker!$S$6:$S$405,MATCH($D56,Checker!$A$6:$A$405,0))))</f>
        <v/>
      </c>
      <c r="W56" s="36" t="str">
        <f>IF($D56="","",IF($D56=Test_Synth,IF(T56=Lbl_Viol,IF(L56&gt;Expired_Days,Lbl_Expired,Lbl_Late),""),INDEX(Checker!$T$6:$T$405,MATCH($D56,Checker!$A$6:$A$405,0))))</f>
        <v/>
      </c>
      <c r="X56" s="36" t="str">
        <f>IF($D56="","",IF($D56=Test_Synth,IF(U56=Lbl_Comp,"",IF(SUMPRODUCT((M56:T56=Lbl_Viol)*(M$4:T$4=Lbl_Definite))&gt;0,Lbl_Definite,Lbl_Assumption)),INDEX(Checker!$U$6:$U$405,MATCH($D56,Checker!$A$6:$A$405,0))))</f>
        <v/>
      </c>
      <c r="Y56" s="37" t="s">
        <v>813</v>
      </c>
      <c r="Z56" s="37"/>
      <c r="AA56" s="37"/>
      <c r="AB56" s="37"/>
      <c r="AC56" s="46" t="str">
        <f t="shared" si="1"/>
        <v>PASS</v>
      </c>
    </row>
    <row r="57" spans="1:29" ht="23.25" customHeight="1" x14ac:dyDescent="0.3">
      <c r="A57" s="35" t="s">
        <v>1187</v>
      </c>
      <c r="B57" s="35" t="s">
        <v>643</v>
      </c>
      <c r="C57" s="72" t="s">
        <v>1188</v>
      </c>
      <c r="D57" s="33" t="s">
        <v>1057</v>
      </c>
      <c r="E57" s="37" t="s">
        <v>79</v>
      </c>
      <c r="F57" s="37" t="s">
        <v>89</v>
      </c>
      <c r="G57" s="37" t="s">
        <v>97</v>
      </c>
      <c r="H57" s="78">
        <v>10001</v>
      </c>
      <c r="I57" s="37" t="s">
        <v>90</v>
      </c>
      <c r="J57" s="37"/>
      <c r="K57" s="37"/>
      <c r="L57" s="37">
        <v>5</v>
      </c>
      <c r="M57" s="42" t="str">
        <f>IF($D57="","",IF($D57=Test_Synth,IF(F57=Lbl_Flight,IF(AND(K57=Lbl_Business,INDEX(Biz_Permitted,MATCH(E57,Caps_Grade,0))=Lbl_BizNo),Lbl_Viol,Lbl_Comp),Lbl_NA),INDEX(Checker!J$6:J$405,MATCH($D57,Checker!$A$6:$A$405,0))))</f>
        <v>n/a</v>
      </c>
      <c r="N57" s="42" t="str">
        <f>IF($D57="","",IF($D57=Test_Synth,IF(F57=Lbl_Flight,IF(J57&lt;Min_Days_Booked,Lbl_Viol,Lbl_Comp),Lbl_NA),INDEX(Checker!K$6:K$405,MATCH($D57,Checker!$A$6:$A$405,0))))</f>
        <v>n/a</v>
      </c>
      <c r="O57" s="42" t="str">
        <f>IF($D57="","",IF($D57=Test_Synth,IF(AND(F57=Lbl_Hotel,G57=Lbl_Metro),IF(H57&gt;INDEX(Caps_Metro,MATCH(E57,Caps_Grade,0)),Lbl_Viol,Lbl_Comp),Lbl_NA),INDEX(Checker!L$6:L$405,MATCH($D57,Checker!$A$6:$A$405,0))))</f>
        <v>Violation</v>
      </c>
      <c r="P57" s="42" t="str">
        <f>IF($D57="","",IF($D57=Test_Synth,IF(AND(F57=Lbl_Hotel,G57=Lbl_NonMetro),IF(H57&gt;INDEX(Caps_NonMetro,MATCH(E57,Caps_Grade,0)),Lbl_Viol,Lbl_Comp),Lbl_NA),INDEX(Checker!M$6:M$405,MATCH($D57,Checker!$A$6:$A$405,0))))</f>
        <v>n/a</v>
      </c>
      <c r="Q57" s="42" t="str">
        <f>IF($D57="","",IF($D57=Test_Synth,IF(F57=Lbl_Meals,IF(H57&gt;IF(G57=Lbl_Metro,Limit_Metro,Limit_NonMetro),Lbl_Viol,Lbl_Comp),Lbl_NA),INDEX(Checker!N$6:N$405,MATCH($D57,Checker!$A$6:$A$405,0))))</f>
        <v>n/a</v>
      </c>
      <c r="R57" s="42" t="str">
        <f>IF($D57="","",IF($D57=Test_Synth,IF(F57=Lbl_Alcohol,Lbl_Viol,Lbl_NA),INDEX(Checker!O$6:O$405,MATCH($D57,Checker!$A$6:$A$405,0))))</f>
        <v>n/a</v>
      </c>
      <c r="S57" s="42" t="str">
        <f>IF($D57="","",IF($D57=Test_Synth,IF(AND(I57=Lbl_NoReceipt,H57&gt;Receipt_Threshold),Lbl_Viol,Lbl_Comp),INDEX(Checker!P$6:P$405,MATCH($D57,Checker!$A$6:$A$405,0))))</f>
        <v>Compliant</v>
      </c>
      <c r="T57" s="42" t="str">
        <f>IF($D57="","",IF($D57=Test_Synth,IF(L57&gt;Late_Days,Lbl_Viol,Lbl_Comp),INDEX(Checker!Q$6:Q$405,MATCH($D57,Checker!$A$6:$A$405,0))))</f>
        <v>Compliant</v>
      </c>
      <c r="U57" s="36" t="str">
        <f>IF($D57="","",IF($D57=Test_Synth,IF(COUNTIF(M57:T57,Lbl_Viol)&gt;0,Lbl_Viol,Lbl_Comp),INDEX(Checker!$R$6:$R$405,MATCH($D57,Checker!$A$6:$A$405,0))))</f>
        <v>Violation</v>
      </c>
      <c r="V57" s="36" t="str">
        <f>IF($D57="","",IF($D57=Test_Synth,_xlfn.TEXTJOIN(", ",TRUE(),IF(M57=Lbl_Viol,M$5,""),IF(N57=Lbl_Viol,N$5,""),IF(O57=Lbl_Viol,O$5,""),IF(P57=Lbl_Viol,P$5,""),IF(Q57=Lbl_Viol,Q$5,""),IF(R57=Lbl_Viol,R$5,""),IF(S57=Lbl_Viol,S$5,""),IF(T57=Lbl_Viol,T$5,"")),INDEX(Checker!$S$6:$S$405,MATCH($D57,Checker!$A$6:$A$405,0))))</f>
        <v>TP-04</v>
      </c>
      <c r="W57" s="36" t="str">
        <f>IF($D57="","",IF($D57=Test_Synth,IF(T57=Lbl_Viol,IF(L57&gt;Expired_Days,Lbl_Expired,Lbl_Late),""),INDEX(Checker!$T$6:$T$405,MATCH($D57,Checker!$A$6:$A$405,0))))</f>
        <v/>
      </c>
      <c r="X57" s="36" t="str">
        <f>IF($D57="","",IF($D57=Test_Synth,IF(U57=Lbl_Comp,"",IF(SUMPRODUCT((M57:T57=Lbl_Viol)*(M$4:T$4=Lbl_Definite))&gt;0,Lbl_Definite,Lbl_Assumption)),INDEX(Checker!$U$6:$U$405,MATCH($D57,Checker!$A$6:$A$405,0))))</f>
        <v>Assumption-based</v>
      </c>
      <c r="Y57" s="37" t="s">
        <v>812</v>
      </c>
      <c r="Z57" s="37" t="s">
        <v>643</v>
      </c>
      <c r="AA57" s="37"/>
      <c r="AB57" s="37" t="s">
        <v>823</v>
      </c>
      <c r="AC57" s="46" t="str">
        <f t="shared" si="1"/>
        <v>PASS</v>
      </c>
    </row>
    <row r="58" spans="1:29" ht="23.25" customHeight="1" x14ac:dyDescent="0.3">
      <c r="A58" s="35" t="s">
        <v>1189</v>
      </c>
      <c r="B58" s="35" t="s">
        <v>643</v>
      </c>
      <c r="C58" s="72" t="s">
        <v>1190</v>
      </c>
      <c r="D58" s="33" t="s">
        <v>1057</v>
      </c>
      <c r="E58" s="37" t="s">
        <v>190</v>
      </c>
      <c r="F58" s="37" t="s">
        <v>89</v>
      </c>
      <c r="G58" s="37" t="s">
        <v>97</v>
      </c>
      <c r="H58" s="78">
        <v>14001</v>
      </c>
      <c r="I58" s="37" t="s">
        <v>90</v>
      </c>
      <c r="J58" s="37"/>
      <c r="K58" s="37"/>
      <c r="L58" s="37">
        <v>5</v>
      </c>
      <c r="M58" s="42" t="str">
        <f>IF($D58="","",IF($D58=Test_Synth,IF(F58=Lbl_Flight,IF(AND(K58=Lbl_Business,INDEX(Biz_Permitted,MATCH(E58,Caps_Grade,0))=Lbl_BizNo),Lbl_Viol,Lbl_Comp),Lbl_NA),INDEX(Checker!J$6:J$405,MATCH($D58,Checker!$A$6:$A$405,0))))</f>
        <v>n/a</v>
      </c>
      <c r="N58" s="42" t="str">
        <f>IF($D58="","",IF($D58=Test_Synth,IF(F58=Lbl_Flight,IF(J58&lt;Min_Days_Booked,Lbl_Viol,Lbl_Comp),Lbl_NA),INDEX(Checker!K$6:K$405,MATCH($D58,Checker!$A$6:$A$405,0))))</f>
        <v>n/a</v>
      </c>
      <c r="O58" s="42" t="str">
        <f>IF($D58="","",IF($D58=Test_Synth,IF(AND(F58=Lbl_Hotel,G58=Lbl_Metro),IF(H58&gt;INDEX(Caps_Metro,MATCH(E58,Caps_Grade,0)),Lbl_Viol,Lbl_Comp),Lbl_NA),INDEX(Checker!L$6:L$405,MATCH($D58,Checker!$A$6:$A$405,0))))</f>
        <v>Violation</v>
      </c>
      <c r="P58" s="42" t="str">
        <f>IF($D58="","",IF($D58=Test_Synth,IF(AND(F58=Lbl_Hotel,G58=Lbl_NonMetro),IF(H58&gt;INDEX(Caps_NonMetro,MATCH(E58,Caps_Grade,0)),Lbl_Viol,Lbl_Comp),Lbl_NA),INDEX(Checker!M$6:M$405,MATCH($D58,Checker!$A$6:$A$405,0))))</f>
        <v>n/a</v>
      </c>
      <c r="Q58" s="42" t="str">
        <f>IF($D58="","",IF($D58=Test_Synth,IF(F58=Lbl_Meals,IF(H58&gt;IF(G58=Lbl_Metro,Limit_Metro,Limit_NonMetro),Lbl_Viol,Lbl_Comp),Lbl_NA),INDEX(Checker!N$6:N$405,MATCH($D58,Checker!$A$6:$A$405,0))))</f>
        <v>n/a</v>
      </c>
      <c r="R58" s="42" t="str">
        <f>IF($D58="","",IF($D58=Test_Synth,IF(F58=Lbl_Alcohol,Lbl_Viol,Lbl_NA),INDEX(Checker!O$6:O$405,MATCH($D58,Checker!$A$6:$A$405,0))))</f>
        <v>n/a</v>
      </c>
      <c r="S58" s="42" t="str">
        <f>IF($D58="","",IF($D58=Test_Synth,IF(AND(I58=Lbl_NoReceipt,H58&gt;Receipt_Threshold),Lbl_Viol,Lbl_Comp),INDEX(Checker!P$6:P$405,MATCH($D58,Checker!$A$6:$A$405,0))))</f>
        <v>Compliant</v>
      </c>
      <c r="T58" s="42" t="str">
        <f>IF($D58="","",IF($D58=Test_Synth,IF(L58&gt;Late_Days,Lbl_Viol,Lbl_Comp),INDEX(Checker!Q$6:Q$405,MATCH($D58,Checker!$A$6:$A$405,0))))</f>
        <v>Compliant</v>
      </c>
      <c r="U58" s="36" t="str">
        <f>IF($D58="","",IF($D58=Test_Synth,IF(COUNTIF(M58:T58,Lbl_Viol)&gt;0,Lbl_Viol,Lbl_Comp),INDEX(Checker!$R$6:$R$405,MATCH($D58,Checker!$A$6:$A$405,0))))</f>
        <v>Violation</v>
      </c>
      <c r="V58" s="36" t="str">
        <f>IF($D58="","",IF($D58=Test_Synth,_xlfn.TEXTJOIN(", ",TRUE(),IF(M58=Lbl_Viol,M$5,""),IF(N58=Lbl_Viol,N$5,""),IF(O58=Lbl_Viol,O$5,""),IF(P58=Lbl_Viol,P$5,""),IF(Q58=Lbl_Viol,Q$5,""),IF(R58=Lbl_Viol,R$5,""),IF(S58=Lbl_Viol,S$5,""),IF(T58=Lbl_Viol,T$5,"")),INDEX(Checker!$S$6:$S$405,MATCH($D58,Checker!$A$6:$A$405,0))))</f>
        <v>TP-04</v>
      </c>
      <c r="W58" s="36" t="str">
        <f>IF($D58="","",IF($D58=Test_Synth,IF(T58=Lbl_Viol,IF(L58&gt;Expired_Days,Lbl_Expired,Lbl_Late),""),INDEX(Checker!$T$6:$T$405,MATCH($D58,Checker!$A$6:$A$405,0))))</f>
        <v/>
      </c>
      <c r="X58" s="36" t="str">
        <f>IF($D58="","",IF($D58=Test_Synth,IF(U58=Lbl_Comp,"",IF(SUMPRODUCT((M58:T58=Lbl_Viol)*(M$4:T$4=Lbl_Definite))&gt;0,Lbl_Definite,Lbl_Assumption)),INDEX(Checker!$U$6:$U$405,MATCH($D58,Checker!$A$6:$A$405,0))))</f>
        <v>Assumption-based</v>
      </c>
      <c r="Y58" s="37" t="s">
        <v>812</v>
      </c>
      <c r="Z58" s="37" t="s">
        <v>643</v>
      </c>
      <c r="AA58" s="37"/>
      <c r="AB58" s="37" t="s">
        <v>823</v>
      </c>
      <c r="AC58" s="46" t="str">
        <f t="shared" si="1"/>
        <v>PASS</v>
      </c>
    </row>
    <row r="59" spans="1:29" ht="23.25" customHeight="1" x14ac:dyDescent="0.3">
      <c r="A59" s="35" t="s">
        <v>1191</v>
      </c>
      <c r="B59" s="35" t="s">
        <v>646</v>
      </c>
      <c r="C59" s="72" t="s">
        <v>1192</v>
      </c>
      <c r="D59" s="33" t="s">
        <v>1057</v>
      </c>
      <c r="E59" s="37" t="s">
        <v>105</v>
      </c>
      <c r="F59" s="37" t="s">
        <v>89</v>
      </c>
      <c r="G59" s="37" t="s">
        <v>82</v>
      </c>
      <c r="H59" s="78">
        <v>9001</v>
      </c>
      <c r="I59" s="37" t="s">
        <v>90</v>
      </c>
      <c r="J59" s="37"/>
      <c r="K59" s="37"/>
      <c r="L59" s="37">
        <v>5</v>
      </c>
      <c r="M59" s="42" t="str">
        <f>IF($D59="","",IF($D59=Test_Synth,IF(F59=Lbl_Flight,IF(AND(K59=Lbl_Business,INDEX(Biz_Permitted,MATCH(E59,Caps_Grade,0))=Lbl_BizNo),Lbl_Viol,Lbl_Comp),Lbl_NA),INDEX(Checker!J$6:J$405,MATCH($D59,Checker!$A$6:$A$405,0))))</f>
        <v>n/a</v>
      </c>
      <c r="N59" s="42" t="str">
        <f>IF($D59="","",IF($D59=Test_Synth,IF(F59=Lbl_Flight,IF(J59&lt;Min_Days_Booked,Lbl_Viol,Lbl_Comp),Lbl_NA),INDEX(Checker!K$6:K$405,MATCH($D59,Checker!$A$6:$A$405,0))))</f>
        <v>n/a</v>
      </c>
      <c r="O59" s="42" t="str">
        <f>IF($D59="","",IF($D59=Test_Synth,IF(AND(F59=Lbl_Hotel,G59=Lbl_Metro),IF(H59&gt;INDEX(Caps_Metro,MATCH(E59,Caps_Grade,0)),Lbl_Viol,Lbl_Comp),Lbl_NA),INDEX(Checker!L$6:L$405,MATCH($D59,Checker!$A$6:$A$405,0))))</f>
        <v>n/a</v>
      </c>
      <c r="P59" s="42" t="str">
        <f>IF($D59="","",IF($D59=Test_Synth,IF(AND(F59=Lbl_Hotel,G59=Lbl_NonMetro),IF(H59&gt;INDEX(Caps_NonMetro,MATCH(E59,Caps_Grade,0)),Lbl_Viol,Lbl_Comp),Lbl_NA),INDEX(Checker!M$6:M$405,MATCH($D59,Checker!$A$6:$A$405,0))))</f>
        <v>Violation</v>
      </c>
      <c r="Q59" s="42" t="str">
        <f>IF($D59="","",IF($D59=Test_Synth,IF(F59=Lbl_Meals,IF(H59&gt;IF(G59=Lbl_Metro,Limit_Metro,Limit_NonMetro),Lbl_Viol,Lbl_Comp),Lbl_NA),INDEX(Checker!N$6:N$405,MATCH($D59,Checker!$A$6:$A$405,0))))</f>
        <v>n/a</v>
      </c>
      <c r="R59" s="42" t="str">
        <f>IF($D59="","",IF($D59=Test_Synth,IF(F59=Lbl_Alcohol,Lbl_Viol,Lbl_NA),INDEX(Checker!O$6:O$405,MATCH($D59,Checker!$A$6:$A$405,0))))</f>
        <v>n/a</v>
      </c>
      <c r="S59" s="42" t="str">
        <f>IF($D59="","",IF($D59=Test_Synth,IF(AND(I59=Lbl_NoReceipt,H59&gt;Receipt_Threshold),Lbl_Viol,Lbl_Comp),INDEX(Checker!P$6:P$405,MATCH($D59,Checker!$A$6:$A$405,0))))</f>
        <v>Compliant</v>
      </c>
      <c r="T59" s="42" t="str">
        <f>IF($D59="","",IF($D59=Test_Synth,IF(L59&gt;Late_Days,Lbl_Viol,Lbl_Comp),INDEX(Checker!Q$6:Q$405,MATCH($D59,Checker!$A$6:$A$405,0))))</f>
        <v>Compliant</v>
      </c>
      <c r="U59" s="36" t="str">
        <f>IF($D59="","",IF($D59=Test_Synth,IF(COUNTIF(M59:T59,Lbl_Viol)&gt;0,Lbl_Viol,Lbl_Comp),INDEX(Checker!$R$6:$R$405,MATCH($D59,Checker!$A$6:$A$405,0))))</f>
        <v>Violation</v>
      </c>
      <c r="V59" s="36" t="str">
        <f>IF($D59="","",IF($D59=Test_Synth,_xlfn.TEXTJOIN(", ",TRUE(),IF(M59=Lbl_Viol,M$5,""),IF(N59=Lbl_Viol,N$5,""),IF(O59=Lbl_Viol,O$5,""),IF(P59=Lbl_Viol,P$5,""),IF(Q59=Lbl_Viol,Q$5,""),IF(R59=Lbl_Viol,R$5,""),IF(S59=Lbl_Viol,S$5,""),IF(T59=Lbl_Viol,T$5,"")),INDEX(Checker!$S$6:$S$405,MATCH($D59,Checker!$A$6:$A$405,0))))</f>
        <v>TP-05</v>
      </c>
      <c r="W59" s="36" t="str">
        <f>IF($D59="","",IF($D59=Test_Synth,IF(T59=Lbl_Viol,IF(L59&gt;Expired_Days,Lbl_Expired,Lbl_Late),""),INDEX(Checker!$T$6:$T$405,MATCH($D59,Checker!$A$6:$A$405,0))))</f>
        <v/>
      </c>
      <c r="X59" s="36" t="str">
        <f>IF($D59="","",IF($D59=Test_Synth,IF(U59=Lbl_Comp,"",IF(SUMPRODUCT((M59:T59=Lbl_Viol)*(M$4:T$4=Lbl_Definite))&gt;0,Lbl_Definite,Lbl_Assumption)),INDEX(Checker!$U$6:$U$405,MATCH($D59,Checker!$A$6:$A$405,0))))</f>
        <v>Assumption-based</v>
      </c>
      <c r="Y59" s="37" t="s">
        <v>812</v>
      </c>
      <c r="Z59" s="37" t="s">
        <v>646</v>
      </c>
      <c r="AA59" s="37"/>
      <c r="AB59" s="37" t="s">
        <v>823</v>
      </c>
      <c r="AC59" s="46" t="str">
        <f t="shared" si="1"/>
        <v>PASS</v>
      </c>
    </row>
    <row r="60" spans="1:29" ht="23.25" customHeight="1" x14ac:dyDescent="0.3">
      <c r="A60" s="35" t="s">
        <v>1193</v>
      </c>
      <c r="B60" s="35" t="s">
        <v>649</v>
      </c>
      <c r="C60" s="72" t="s">
        <v>1194</v>
      </c>
      <c r="D60" s="33" t="s">
        <v>1057</v>
      </c>
      <c r="E60" s="37" t="s">
        <v>94</v>
      </c>
      <c r="F60" s="37" t="s">
        <v>80</v>
      </c>
      <c r="G60" s="37" t="s">
        <v>82</v>
      </c>
      <c r="H60" s="78">
        <v>901</v>
      </c>
      <c r="I60" s="37" t="s">
        <v>90</v>
      </c>
      <c r="J60" s="37"/>
      <c r="K60" s="37"/>
      <c r="L60" s="37">
        <v>5</v>
      </c>
      <c r="M60" s="42" t="str">
        <f>IF($D60="","",IF($D60=Test_Synth,IF(F60=Lbl_Flight,IF(AND(K60=Lbl_Business,INDEX(Biz_Permitted,MATCH(E60,Caps_Grade,0))=Lbl_BizNo),Lbl_Viol,Lbl_Comp),Lbl_NA),INDEX(Checker!J$6:J$405,MATCH($D60,Checker!$A$6:$A$405,0))))</f>
        <v>n/a</v>
      </c>
      <c r="N60" s="42" t="str">
        <f>IF($D60="","",IF($D60=Test_Synth,IF(F60=Lbl_Flight,IF(J60&lt;Min_Days_Booked,Lbl_Viol,Lbl_Comp),Lbl_NA),INDEX(Checker!K$6:K$405,MATCH($D60,Checker!$A$6:$A$405,0))))</f>
        <v>n/a</v>
      </c>
      <c r="O60" s="42" t="str">
        <f>IF($D60="","",IF($D60=Test_Synth,IF(AND(F60=Lbl_Hotel,G60=Lbl_Metro),IF(H60&gt;INDEX(Caps_Metro,MATCH(E60,Caps_Grade,0)),Lbl_Viol,Lbl_Comp),Lbl_NA),INDEX(Checker!L$6:L$405,MATCH($D60,Checker!$A$6:$A$405,0))))</f>
        <v>n/a</v>
      </c>
      <c r="P60" s="42" t="str">
        <f>IF($D60="","",IF($D60=Test_Synth,IF(AND(F60=Lbl_Hotel,G60=Lbl_NonMetro),IF(H60&gt;INDEX(Caps_NonMetro,MATCH(E60,Caps_Grade,0)),Lbl_Viol,Lbl_Comp),Lbl_NA),INDEX(Checker!M$6:M$405,MATCH($D60,Checker!$A$6:$A$405,0))))</f>
        <v>n/a</v>
      </c>
      <c r="Q60" s="42" t="str">
        <f>IF($D60="","",IF($D60=Test_Synth,IF(F60=Lbl_Meals,IF(H60&gt;IF(G60=Lbl_Metro,Limit_Metro,Limit_NonMetro),Lbl_Viol,Lbl_Comp),Lbl_NA),INDEX(Checker!N$6:N$405,MATCH($D60,Checker!$A$6:$A$405,0))))</f>
        <v>Violation</v>
      </c>
      <c r="R60" s="42" t="str">
        <f>IF($D60="","",IF($D60=Test_Synth,IF(F60=Lbl_Alcohol,Lbl_Viol,Lbl_NA),INDEX(Checker!O$6:O$405,MATCH($D60,Checker!$A$6:$A$405,0))))</f>
        <v>n/a</v>
      </c>
      <c r="S60" s="42" t="str">
        <f>IF($D60="","",IF($D60=Test_Synth,IF(AND(I60=Lbl_NoReceipt,H60&gt;Receipt_Threshold),Lbl_Viol,Lbl_Comp),INDEX(Checker!P$6:P$405,MATCH($D60,Checker!$A$6:$A$405,0))))</f>
        <v>Compliant</v>
      </c>
      <c r="T60" s="42" t="str">
        <f>IF($D60="","",IF($D60=Test_Synth,IF(L60&gt;Late_Days,Lbl_Viol,Lbl_Comp),INDEX(Checker!Q$6:Q$405,MATCH($D60,Checker!$A$6:$A$405,0))))</f>
        <v>Compliant</v>
      </c>
      <c r="U60" s="36" t="str">
        <f>IF($D60="","",IF($D60=Test_Synth,IF(COUNTIF(M60:T60,Lbl_Viol)&gt;0,Lbl_Viol,Lbl_Comp),INDEX(Checker!$R$6:$R$405,MATCH($D60,Checker!$A$6:$A$405,0))))</f>
        <v>Violation</v>
      </c>
      <c r="V60" s="36" t="str">
        <f>IF($D60="","",IF($D60=Test_Synth,_xlfn.TEXTJOIN(", ",TRUE(),IF(M60=Lbl_Viol,M$5,""),IF(N60=Lbl_Viol,N$5,""),IF(O60=Lbl_Viol,O$5,""),IF(P60=Lbl_Viol,P$5,""),IF(Q60=Lbl_Viol,Q$5,""),IF(R60=Lbl_Viol,R$5,""),IF(S60=Lbl_Viol,S$5,""),IF(T60=Lbl_Viol,T$5,"")),INDEX(Checker!$S$6:$S$405,MATCH($D60,Checker!$A$6:$A$405,0))))</f>
        <v>TP-06</v>
      </c>
      <c r="W60" s="36" t="str">
        <f>IF($D60="","",IF($D60=Test_Synth,IF(T60=Lbl_Viol,IF(L60&gt;Expired_Days,Lbl_Expired,Lbl_Late),""),INDEX(Checker!$T$6:$T$405,MATCH($D60,Checker!$A$6:$A$405,0))))</f>
        <v/>
      </c>
      <c r="X60" s="36" t="str">
        <f>IF($D60="","",IF($D60=Test_Synth,IF(U60=Lbl_Comp,"",IF(SUMPRODUCT((M60:T60=Lbl_Viol)*(M$4:T$4=Lbl_Definite))&gt;0,Lbl_Definite,Lbl_Assumption)),INDEX(Checker!$U$6:$U$405,MATCH($D60,Checker!$A$6:$A$405,0))))</f>
        <v>Assumption-based</v>
      </c>
      <c r="Y60" s="37" t="s">
        <v>812</v>
      </c>
      <c r="Z60" s="37" t="s">
        <v>649</v>
      </c>
      <c r="AA60" s="37"/>
      <c r="AB60" s="37" t="s">
        <v>823</v>
      </c>
      <c r="AC60" s="46" t="str">
        <f t="shared" si="1"/>
        <v>PASS</v>
      </c>
    </row>
    <row r="63" spans="1:29" ht="15" customHeight="1" x14ac:dyDescent="0.3">
      <c r="A63" s="31" t="s">
        <v>1195</v>
      </c>
    </row>
    <row r="64" spans="1:29" ht="15" customHeight="1" x14ac:dyDescent="0.25">
      <c r="A64" s="32" t="s">
        <v>1061</v>
      </c>
      <c r="B64" s="32" t="s">
        <v>825</v>
      </c>
      <c r="C64" s="32" t="s">
        <v>1196</v>
      </c>
      <c r="D64" s="32" t="s">
        <v>1197</v>
      </c>
      <c r="E64" s="32" t="s">
        <v>1198</v>
      </c>
    </row>
    <row r="65" spans="1:3" ht="15" customHeight="1" x14ac:dyDescent="0.25">
      <c r="A65" t="str">
        <f>IF($B$3=0,"None","See FAIL rows")</f>
        <v>None</v>
      </c>
      <c r="C65" t="str">
        <f>IF($B$3=0,"Every test with an expected result matches the Checker.","One or more tests FAIL - record each Test ID, cause and fix in the rows below.")</f>
        <v>Every test with an expected result matches the Checker.</v>
      </c>
    </row>
    <row r="66" spans="1:3" ht="15" customHeight="1" x14ac:dyDescent="0.25">
      <c r="A66" t="s">
        <v>1199</v>
      </c>
      <c r="C66" t="s">
        <v>1200</v>
      </c>
    </row>
  </sheetData>
  <conditionalFormatting sqref="AC6:AC60">
    <cfRule type="cellIs" dxfId="2" priority="2" operator="equal">
      <formula>"PASS"</formula>
    </cfRule>
    <cfRule type="cellIs" dxfId="1" priority="3" operator="equal">
      <formula>"FAIL"</formula>
    </cfRule>
    <cfRule type="cellIs" dxfId="0" priority="4" operator="equal">
      <formula>"Awaiting input"</formula>
    </cfRule>
  </conditionalFormatting>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M111"/>
  <sheetViews>
    <sheetView zoomScale="70" zoomScaleNormal="70" workbookViewId="0">
      <pane ySplit="3" topLeftCell="A104" activePane="bottomLeft" state="frozen"/>
      <selection pane="bottomLeft"/>
    </sheetView>
  </sheetViews>
  <sheetFormatPr defaultColWidth="8.6328125" defaultRowHeight="12.5" x14ac:dyDescent="0.25"/>
  <cols>
    <col min="1" max="1" width="52" customWidth="1"/>
    <col min="2" max="3" width="16" customWidth="1"/>
    <col min="4" max="4" width="18" customWidth="1"/>
    <col min="5" max="5" width="14" customWidth="1"/>
    <col min="6" max="13" width="9" customWidth="1"/>
  </cols>
  <sheetData>
    <row r="1" spans="1:3" ht="15.75" customHeight="1" x14ac:dyDescent="0.35">
      <c r="A1" s="29" t="s">
        <v>1201</v>
      </c>
    </row>
    <row r="2" spans="1:3" ht="15" customHeight="1" x14ac:dyDescent="0.25">
      <c r="A2" s="30" t="s">
        <v>1202</v>
      </c>
    </row>
    <row r="4" spans="1:3" ht="15" customHeight="1" x14ac:dyDescent="0.3">
      <c r="A4" s="31" t="s">
        <v>859</v>
      </c>
    </row>
    <row r="5" spans="1:3" ht="15" customHeight="1" x14ac:dyDescent="0.25">
      <c r="A5" s="32" t="s">
        <v>860</v>
      </c>
      <c r="B5" s="32" t="s">
        <v>861</v>
      </c>
      <c r="C5" s="32" t="s">
        <v>780</v>
      </c>
    </row>
    <row r="6" spans="1:3" ht="15" customHeight="1" x14ac:dyDescent="0.25">
      <c r="A6" s="36" t="s">
        <v>862</v>
      </c>
      <c r="B6" s="42">
        <v>400</v>
      </c>
      <c r="C6" s="36" t="s">
        <v>863</v>
      </c>
    </row>
    <row r="7" spans="1:3" ht="15" customHeight="1" x14ac:dyDescent="0.25">
      <c r="A7" s="36" t="s">
        <v>864</v>
      </c>
      <c r="B7" s="42">
        <v>231</v>
      </c>
      <c r="C7" s="36" t="s">
        <v>865</v>
      </c>
    </row>
    <row r="8" spans="1:3" ht="15" customHeight="1" x14ac:dyDescent="0.25">
      <c r="A8" s="36" t="s">
        <v>866</v>
      </c>
      <c r="B8" s="42">
        <v>169</v>
      </c>
      <c r="C8" s="36" t="s">
        <v>867</v>
      </c>
    </row>
    <row r="9" spans="1:3" ht="15" customHeight="1" x14ac:dyDescent="0.25">
      <c r="A9" s="36" t="s">
        <v>868</v>
      </c>
      <c r="B9" s="44">
        <v>0.57750000000000001</v>
      </c>
      <c r="C9" s="36" t="s">
        <v>869</v>
      </c>
    </row>
    <row r="10" spans="1:3" ht="15" customHeight="1" x14ac:dyDescent="0.25">
      <c r="A10" s="36" t="s">
        <v>870</v>
      </c>
      <c r="B10" s="42" t="s">
        <v>1203</v>
      </c>
      <c r="C10" s="36"/>
    </row>
    <row r="11" spans="1:3" ht="15" customHeight="1" x14ac:dyDescent="0.25">
      <c r="A11" s="36" t="s">
        <v>871</v>
      </c>
      <c r="B11" s="42">
        <v>46</v>
      </c>
      <c r="C11" s="36" t="s">
        <v>872</v>
      </c>
    </row>
    <row r="12" spans="1:3" ht="15" customHeight="1" x14ac:dyDescent="0.25">
      <c r="A12" s="36" t="s">
        <v>873</v>
      </c>
      <c r="B12" s="42">
        <v>139</v>
      </c>
      <c r="C12" s="36" t="s">
        <v>874</v>
      </c>
    </row>
    <row r="13" spans="1:3" ht="15" customHeight="1" x14ac:dyDescent="0.25">
      <c r="A13" s="36" t="s">
        <v>875</v>
      </c>
      <c r="B13" s="42">
        <v>92</v>
      </c>
      <c r="C13" s="36" t="s">
        <v>876</v>
      </c>
    </row>
    <row r="14" spans="1:3" ht="15" customHeight="1" x14ac:dyDescent="0.25">
      <c r="A14" s="36" t="s">
        <v>877</v>
      </c>
      <c r="B14" s="42">
        <v>63</v>
      </c>
      <c r="C14" s="36" t="s">
        <v>878</v>
      </c>
    </row>
    <row r="15" spans="1:3" ht="15" customHeight="1" x14ac:dyDescent="0.25">
      <c r="A15" s="36" t="s">
        <v>879</v>
      </c>
      <c r="B15" s="42">
        <v>15</v>
      </c>
      <c r="C15" s="36" t="s">
        <v>880</v>
      </c>
    </row>
    <row r="17" spans="1:13" ht="15" customHeight="1" x14ac:dyDescent="0.3">
      <c r="A17" s="31" t="s">
        <v>881</v>
      </c>
    </row>
    <row r="18" spans="1:13" ht="23.25" customHeight="1" x14ac:dyDescent="0.25">
      <c r="A18" s="32" t="s">
        <v>825</v>
      </c>
      <c r="B18" s="32" t="s">
        <v>826</v>
      </c>
      <c r="C18" s="32" t="s">
        <v>882</v>
      </c>
      <c r="D18" s="32" t="s">
        <v>883</v>
      </c>
      <c r="E18" s="32" t="s">
        <v>884</v>
      </c>
    </row>
    <row r="19" spans="1:13" ht="15" customHeight="1" x14ac:dyDescent="0.25">
      <c r="A19" s="36" t="s">
        <v>634</v>
      </c>
      <c r="B19" s="36" t="s">
        <v>821</v>
      </c>
      <c r="C19" s="42">
        <v>7</v>
      </c>
      <c r="D19" s="42">
        <v>58</v>
      </c>
      <c r="E19" s="44">
        <v>0.12068965517241401</v>
      </c>
    </row>
    <row r="20" spans="1:13" ht="15" customHeight="1" x14ac:dyDescent="0.25">
      <c r="A20" s="36" t="s">
        <v>637</v>
      </c>
      <c r="B20" s="36" t="s">
        <v>823</v>
      </c>
      <c r="C20" s="42">
        <v>18</v>
      </c>
      <c r="D20" s="42">
        <v>58</v>
      </c>
      <c r="E20" s="44">
        <v>0.31034482758620702</v>
      </c>
    </row>
    <row r="21" spans="1:13" ht="15" customHeight="1" x14ac:dyDescent="0.25">
      <c r="A21" s="36" t="s">
        <v>643</v>
      </c>
      <c r="B21" s="36" t="s">
        <v>823</v>
      </c>
      <c r="C21" s="42">
        <v>18</v>
      </c>
      <c r="D21" s="42">
        <v>36</v>
      </c>
      <c r="E21" s="44">
        <v>0.5</v>
      </c>
    </row>
    <row r="22" spans="1:13" ht="15" customHeight="1" x14ac:dyDescent="0.25">
      <c r="A22" s="36" t="s">
        <v>646</v>
      </c>
      <c r="B22" s="36" t="s">
        <v>823</v>
      </c>
      <c r="C22" s="42">
        <v>31</v>
      </c>
      <c r="D22" s="42">
        <v>37</v>
      </c>
      <c r="E22" s="44">
        <v>0.83783783783783805</v>
      </c>
    </row>
    <row r="23" spans="1:13" ht="15" customHeight="1" x14ac:dyDescent="0.25">
      <c r="A23" s="36" t="s">
        <v>649</v>
      </c>
      <c r="B23" s="36" t="s">
        <v>823</v>
      </c>
      <c r="C23" s="42">
        <v>55</v>
      </c>
      <c r="D23" s="42">
        <v>83</v>
      </c>
      <c r="E23" s="44">
        <v>0.66265060240963902</v>
      </c>
    </row>
    <row r="24" spans="1:13" ht="15" customHeight="1" x14ac:dyDescent="0.25">
      <c r="A24" s="36" t="s">
        <v>655</v>
      </c>
      <c r="B24" s="36" t="s">
        <v>821</v>
      </c>
      <c r="C24" s="42">
        <v>12</v>
      </c>
      <c r="D24" s="42">
        <v>12</v>
      </c>
      <c r="E24" s="44">
        <v>1</v>
      </c>
    </row>
    <row r="25" spans="1:13" ht="15" customHeight="1" x14ac:dyDescent="0.25">
      <c r="A25" s="36" t="s">
        <v>657</v>
      </c>
      <c r="B25" s="36" t="s">
        <v>821</v>
      </c>
      <c r="C25" s="42">
        <v>60</v>
      </c>
      <c r="D25" s="42">
        <v>400</v>
      </c>
      <c r="E25" s="44">
        <v>0.15</v>
      </c>
    </row>
    <row r="26" spans="1:13" ht="15" customHeight="1" x14ac:dyDescent="0.25">
      <c r="A26" s="36" t="s">
        <v>660</v>
      </c>
      <c r="B26" s="36" t="s">
        <v>821</v>
      </c>
      <c r="C26" s="42">
        <v>78</v>
      </c>
      <c r="D26" s="42">
        <v>400</v>
      </c>
      <c r="E26" s="44">
        <v>0.19500000000000001</v>
      </c>
    </row>
    <row r="27" spans="1:13" ht="15" customHeight="1" x14ac:dyDescent="0.3">
      <c r="A27" s="45" t="s">
        <v>885</v>
      </c>
      <c r="B27" s="36"/>
      <c r="C27" s="46">
        <v>279</v>
      </c>
      <c r="D27" s="36"/>
      <c r="E27" s="36"/>
    </row>
    <row r="29" spans="1:13" ht="15" customHeight="1" x14ac:dyDescent="0.3">
      <c r="A29" s="31" t="s">
        <v>886</v>
      </c>
    </row>
    <row r="30" spans="1:13" ht="15" customHeight="1" x14ac:dyDescent="0.25">
      <c r="A30" s="32" t="s">
        <v>66</v>
      </c>
      <c r="B30" s="32" t="s">
        <v>684</v>
      </c>
      <c r="C30" s="32" t="s">
        <v>887</v>
      </c>
      <c r="D30" s="32" t="s">
        <v>813</v>
      </c>
      <c r="E30" s="32" t="s">
        <v>868</v>
      </c>
      <c r="F30" s="32" t="s">
        <v>634</v>
      </c>
      <c r="G30" s="32" t="s">
        <v>637</v>
      </c>
      <c r="H30" s="32" t="s">
        <v>643</v>
      </c>
      <c r="I30" s="32" t="s">
        <v>646</v>
      </c>
      <c r="J30" s="32" t="s">
        <v>649</v>
      </c>
      <c r="K30" s="32" t="s">
        <v>655</v>
      </c>
      <c r="L30" s="32" t="s">
        <v>657</v>
      </c>
      <c r="M30" s="32" t="s">
        <v>660</v>
      </c>
    </row>
    <row r="31" spans="1:13" ht="15" customHeight="1" x14ac:dyDescent="0.25">
      <c r="A31" s="36" t="s">
        <v>111</v>
      </c>
      <c r="B31" s="42">
        <v>58</v>
      </c>
      <c r="C31" s="42">
        <v>36</v>
      </c>
      <c r="D31" s="42">
        <v>22</v>
      </c>
      <c r="E31" s="44">
        <v>0.62068965517241403</v>
      </c>
      <c r="F31" s="42">
        <v>7</v>
      </c>
      <c r="G31" s="42">
        <v>18</v>
      </c>
      <c r="H31" s="42">
        <v>0</v>
      </c>
      <c r="I31" s="42">
        <v>0</v>
      </c>
      <c r="J31" s="42">
        <v>0</v>
      </c>
      <c r="K31" s="42">
        <v>0</v>
      </c>
      <c r="L31" s="42">
        <v>9</v>
      </c>
      <c r="M31" s="42">
        <v>12</v>
      </c>
    </row>
    <row r="32" spans="1:13" ht="15" customHeight="1" x14ac:dyDescent="0.25">
      <c r="A32" s="36" t="s">
        <v>89</v>
      </c>
      <c r="B32" s="42">
        <v>73</v>
      </c>
      <c r="C32" s="42">
        <v>61</v>
      </c>
      <c r="D32" s="42">
        <v>12</v>
      </c>
      <c r="E32" s="44">
        <v>0.83561643835616395</v>
      </c>
      <c r="F32" s="42">
        <v>0</v>
      </c>
      <c r="G32" s="42">
        <v>0</v>
      </c>
      <c r="H32" s="42">
        <v>18</v>
      </c>
      <c r="I32" s="42">
        <v>31</v>
      </c>
      <c r="J32" s="42">
        <v>0</v>
      </c>
      <c r="K32" s="42">
        <v>0</v>
      </c>
      <c r="L32" s="42">
        <v>10</v>
      </c>
      <c r="M32" s="42">
        <v>17</v>
      </c>
    </row>
    <row r="33" spans="1:13" ht="15" customHeight="1" x14ac:dyDescent="0.25">
      <c r="A33" s="36" t="s">
        <v>80</v>
      </c>
      <c r="B33" s="42">
        <v>83</v>
      </c>
      <c r="C33" s="42">
        <v>63</v>
      </c>
      <c r="D33" s="42">
        <v>20</v>
      </c>
      <c r="E33" s="44">
        <v>0.75903614457831303</v>
      </c>
      <c r="F33" s="42">
        <v>0</v>
      </c>
      <c r="G33" s="42">
        <v>0</v>
      </c>
      <c r="H33" s="42">
        <v>0</v>
      </c>
      <c r="I33" s="42">
        <v>0</v>
      </c>
      <c r="J33" s="42">
        <v>55</v>
      </c>
      <c r="K33" s="42">
        <v>0</v>
      </c>
      <c r="L33" s="42">
        <v>9</v>
      </c>
      <c r="M33" s="42">
        <v>10</v>
      </c>
    </row>
    <row r="34" spans="1:13" ht="15" customHeight="1" x14ac:dyDescent="0.25">
      <c r="A34" s="36" t="s">
        <v>106</v>
      </c>
      <c r="B34" s="42">
        <v>12</v>
      </c>
      <c r="C34" s="42">
        <v>12</v>
      </c>
      <c r="D34" s="42">
        <v>0</v>
      </c>
      <c r="E34" s="44">
        <v>1</v>
      </c>
      <c r="F34" s="42">
        <v>0</v>
      </c>
      <c r="G34" s="42">
        <v>0</v>
      </c>
      <c r="H34" s="42">
        <v>0</v>
      </c>
      <c r="I34" s="42">
        <v>0</v>
      </c>
      <c r="J34" s="42">
        <v>0</v>
      </c>
      <c r="K34" s="42">
        <v>12</v>
      </c>
      <c r="L34" s="42">
        <v>1</v>
      </c>
      <c r="M34" s="42">
        <v>1</v>
      </c>
    </row>
    <row r="35" spans="1:13" ht="15" customHeight="1" x14ac:dyDescent="0.25">
      <c r="A35" s="37" t="s">
        <v>95</v>
      </c>
      <c r="B35" s="42">
        <v>81</v>
      </c>
      <c r="C35" s="42">
        <v>29</v>
      </c>
      <c r="D35" s="42">
        <v>52</v>
      </c>
      <c r="E35" s="44">
        <v>0.358024691358025</v>
      </c>
      <c r="F35" s="42">
        <v>0</v>
      </c>
      <c r="G35" s="42">
        <v>0</v>
      </c>
      <c r="H35" s="42">
        <v>0</v>
      </c>
      <c r="I35" s="42">
        <v>0</v>
      </c>
      <c r="J35" s="42">
        <v>0</v>
      </c>
      <c r="K35" s="42">
        <v>0</v>
      </c>
      <c r="L35" s="42">
        <v>17</v>
      </c>
      <c r="M35" s="42">
        <v>18</v>
      </c>
    </row>
    <row r="36" spans="1:13" ht="15" customHeight="1" x14ac:dyDescent="0.25">
      <c r="A36" s="37" t="s">
        <v>172</v>
      </c>
      <c r="B36" s="42">
        <v>33</v>
      </c>
      <c r="C36" s="42">
        <v>11</v>
      </c>
      <c r="D36" s="42">
        <v>22</v>
      </c>
      <c r="E36" s="44">
        <v>0.33333333333333298</v>
      </c>
      <c r="F36" s="42">
        <v>0</v>
      </c>
      <c r="G36" s="42">
        <v>0</v>
      </c>
      <c r="H36" s="42">
        <v>0</v>
      </c>
      <c r="I36" s="42">
        <v>0</v>
      </c>
      <c r="J36" s="42">
        <v>0</v>
      </c>
      <c r="K36" s="42">
        <v>0</v>
      </c>
      <c r="L36" s="42">
        <v>5</v>
      </c>
      <c r="M36" s="42">
        <v>8</v>
      </c>
    </row>
    <row r="37" spans="1:13" ht="15" customHeight="1" x14ac:dyDescent="0.25">
      <c r="A37" s="37" t="s">
        <v>118</v>
      </c>
      <c r="B37" s="42">
        <v>34</v>
      </c>
      <c r="C37" s="42">
        <v>8</v>
      </c>
      <c r="D37" s="42">
        <v>26</v>
      </c>
      <c r="E37" s="44">
        <v>0.23529411764705899</v>
      </c>
      <c r="F37" s="42">
        <v>0</v>
      </c>
      <c r="G37" s="42">
        <v>0</v>
      </c>
      <c r="H37" s="42">
        <v>0</v>
      </c>
      <c r="I37" s="42">
        <v>0</v>
      </c>
      <c r="J37" s="42">
        <v>0</v>
      </c>
      <c r="K37" s="42">
        <v>0</v>
      </c>
      <c r="L37" s="42">
        <v>2</v>
      </c>
      <c r="M37" s="42">
        <v>6</v>
      </c>
    </row>
    <row r="38" spans="1:13" ht="15" customHeight="1" x14ac:dyDescent="0.25">
      <c r="A38" s="37" t="s">
        <v>123</v>
      </c>
      <c r="B38" s="42">
        <v>26</v>
      </c>
      <c r="C38" s="42">
        <v>11</v>
      </c>
      <c r="D38" s="42">
        <v>15</v>
      </c>
      <c r="E38" s="44">
        <v>0.42307692307692302</v>
      </c>
      <c r="F38" s="42">
        <v>0</v>
      </c>
      <c r="G38" s="42">
        <v>0</v>
      </c>
      <c r="H38" s="42">
        <v>0</v>
      </c>
      <c r="I38" s="42">
        <v>0</v>
      </c>
      <c r="J38" s="42">
        <v>0</v>
      </c>
      <c r="K38" s="42">
        <v>0</v>
      </c>
      <c r="L38" s="42">
        <v>7</v>
      </c>
      <c r="M38" s="42">
        <v>6</v>
      </c>
    </row>
    <row r="39" spans="1:13" ht="15" customHeight="1" x14ac:dyDescent="0.3">
      <c r="A39" s="45" t="s">
        <v>61</v>
      </c>
      <c r="B39" s="46">
        <v>400</v>
      </c>
      <c r="C39" s="46">
        <v>231</v>
      </c>
      <c r="D39" s="46">
        <v>169</v>
      </c>
      <c r="E39" s="47">
        <v>0.57750000000000001</v>
      </c>
      <c r="F39" s="46">
        <v>7</v>
      </c>
      <c r="G39" s="46">
        <v>18</v>
      </c>
      <c r="H39" s="46">
        <v>18</v>
      </c>
      <c r="I39" s="46">
        <v>31</v>
      </c>
      <c r="J39" s="46">
        <v>55</v>
      </c>
      <c r="K39" s="46">
        <v>12</v>
      </c>
      <c r="L39" s="46">
        <v>60</v>
      </c>
      <c r="M39" s="46">
        <v>78</v>
      </c>
    </row>
    <row r="40" spans="1:13" ht="15" customHeight="1" x14ac:dyDescent="0.25">
      <c r="A40" s="36" t="s">
        <v>888</v>
      </c>
      <c r="B40" s="36" t="s">
        <v>1203</v>
      </c>
    </row>
    <row r="42" spans="1:13" ht="15" customHeight="1" x14ac:dyDescent="0.3">
      <c r="A42" s="31" t="s">
        <v>889</v>
      </c>
    </row>
    <row r="43" spans="1:13" ht="15" customHeight="1" x14ac:dyDescent="0.25">
      <c r="A43" s="32" t="s">
        <v>65</v>
      </c>
      <c r="B43" s="32" t="s">
        <v>684</v>
      </c>
      <c r="C43" s="32" t="s">
        <v>887</v>
      </c>
      <c r="D43" s="32" t="s">
        <v>813</v>
      </c>
      <c r="E43" s="32" t="s">
        <v>868</v>
      </c>
      <c r="F43" s="32" t="s">
        <v>634</v>
      </c>
      <c r="G43" s="32" t="s">
        <v>637</v>
      </c>
      <c r="H43" s="32" t="s">
        <v>643</v>
      </c>
      <c r="I43" s="32" t="s">
        <v>646</v>
      </c>
      <c r="J43" s="32" t="s">
        <v>649</v>
      </c>
      <c r="K43" s="32" t="s">
        <v>655</v>
      </c>
      <c r="L43" s="32" t="s">
        <v>657</v>
      </c>
      <c r="M43" s="32" t="s">
        <v>660</v>
      </c>
    </row>
    <row r="44" spans="1:13" ht="15" customHeight="1" x14ac:dyDescent="0.25">
      <c r="A44" s="36" t="s">
        <v>88</v>
      </c>
      <c r="B44" s="42">
        <v>122</v>
      </c>
      <c r="C44" s="42">
        <v>77</v>
      </c>
      <c r="D44" s="42">
        <v>45</v>
      </c>
      <c r="E44" s="44">
        <v>0.63114754098360704</v>
      </c>
      <c r="F44" s="42">
        <v>5</v>
      </c>
      <c r="G44" s="42">
        <v>1</v>
      </c>
      <c r="H44" s="42">
        <v>9</v>
      </c>
      <c r="I44" s="42">
        <v>11</v>
      </c>
      <c r="J44" s="42">
        <v>20</v>
      </c>
      <c r="K44" s="42">
        <v>4</v>
      </c>
      <c r="L44" s="42">
        <v>23</v>
      </c>
      <c r="M44" s="42">
        <v>22</v>
      </c>
    </row>
    <row r="45" spans="1:13" ht="15" customHeight="1" x14ac:dyDescent="0.25">
      <c r="A45" s="36" t="s">
        <v>94</v>
      </c>
      <c r="B45" s="42">
        <v>148</v>
      </c>
      <c r="C45" s="42">
        <v>80</v>
      </c>
      <c r="D45" s="42">
        <v>68</v>
      </c>
      <c r="E45" s="44">
        <v>0.54054054054054101</v>
      </c>
      <c r="F45" s="42">
        <v>1</v>
      </c>
      <c r="G45" s="42">
        <v>11</v>
      </c>
      <c r="H45" s="42">
        <v>5</v>
      </c>
      <c r="I45" s="42">
        <v>12</v>
      </c>
      <c r="J45" s="42">
        <v>18</v>
      </c>
      <c r="K45" s="42">
        <v>2</v>
      </c>
      <c r="L45" s="42">
        <v>19</v>
      </c>
      <c r="M45" s="42">
        <v>24</v>
      </c>
    </row>
    <row r="46" spans="1:13" ht="15" customHeight="1" x14ac:dyDescent="0.25">
      <c r="A46" s="36" t="s">
        <v>79</v>
      </c>
      <c r="B46" s="42">
        <v>83</v>
      </c>
      <c r="C46" s="42">
        <v>50</v>
      </c>
      <c r="D46" s="42">
        <v>33</v>
      </c>
      <c r="E46" s="44">
        <v>0.60240963855421703</v>
      </c>
      <c r="F46" s="42">
        <v>1</v>
      </c>
      <c r="G46" s="42">
        <v>3</v>
      </c>
      <c r="H46" s="42">
        <v>3</v>
      </c>
      <c r="I46" s="42">
        <v>6</v>
      </c>
      <c r="J46" s="42">
        <v>12</v>
      </c>
      <c r="K46" s="42">
        <v>4</v>
      </c>
      <c r="L46" s="42">
        <v>10</v>
      </c>
      <c r="M46" s="42">
        <v>26</v>
      </c>
    </row>
    <row r="47" spans="1:13" ht="15" customHeight="1" x14ac:dyDescent="0.25">
      <c r="A47" s="36" t="s">
        <v>190</v>
      </c>
      <c r="B47" s="42">
        <v>27</v>
      </c>
      <c r="C47" s="42">
        <v>13</v>
      </c>
      <c r="D47" s="42">
        <v>14</v>
      </c>
      <c r="E47" s="44">
        <v>0.48148148148148101</v>
      </c>
      <c r="F47" s="42">
        <v>0</v>
      </c>
      <c r="G47" s="42">
        <v>2</v>
      </c>
      <c r="H47" s="42">
        <v>0</v>
      </c>
      <c r="I47" s="42">
        <v>2</v>
      </c>
      <c r="J47" s="42">
        <v>2</v>
      </c>
      <c r="K47" s="42">
        <v>0</v>
      </c>
      <c r="L47" s="42">
        <v>6</v>
      </c>
      <c r="M47" s="42">
        <v>4</v>
      </c>
    </row>
    <row r="48" spans="1:13" ht="15" customHeight="1" x14ac:dyDescent="0.25">
      <c r="A48" s="36" t="s">
        <v>105</v>
      </c>
      <c r="B48" s="42">
        <v>20</v>
      </c>
      <c r="C48" s="42">
        <v>11</v>
      </c>
      <c r="D48" s="42">
        <v>9</v>
      </c>
      <c r="E48" s="44">
        <v>0.55000000000000004</v>
      </c>
      <c r="F48" s="42">
        <v>0</v>
      </c>
      <c r="G48" s="42">
        <v>1</v>
      </c>
      <c r="H48" s="42">
        <v>1</v>
      </c>
      <c r="I48" s="42">
        <v>0</v>
      </c>
      <c r="J48" s="42">
        <v>3</v>
      </c>
      <c r="K48" s="42">
        <v>2</v>
      </c>
      <c r="L48" s="42">
        <v>2</v>
      </c>
      <c r="M48" s="42">
        <v>2</v>
      </c>
    </row>
    <row r="49" spans="1:13" ht="15" customHeight="1" x14ac:dyDescent="0.3">
      <c r="A49" s="45" t="s">
        <v>61</v>
      </c>
      <c r="B49" s="46">
        <v>400</v>
      </c>
      <c r="C49" s="46">
        <v>231</v>
      </c>
      <c r="D49" s="46">
        <v>169</v>
      </c>
      <c r="E49" s="47">
        <v>0.57750000000000001</v>
      </c>
      <c r="F49" s="46">
        <v>7</v>
      </c>
      <c r="G49" s="46">
        <v>18</v>
      </c>
      <c r="H49" s="46">
        <v>18</v>
      </c>
      <c r="I49" s="46">
        <v>31</v>
      </c>
      <c r="J49" s="46">
        <v>55</v>
      </c>
      <c r="K49" s="46">
        <v>12</v>
      </c>
      <c r="L49" s="46">
        <v>60</v>
      </c>
      <c r="M49" s="46">
        <v>78</v>
      </c>
    </row>
    <row r="50" spans="1:13" ht="15" customHeight="1" x14ac:dyDescent="0.25">
      <c r="A50" s="36" t="s">
        <v>888</v>
      </c>
      <c r="B50" s="36" t="s">
        <v>1203</v>
      </c>
    </row>
    <row r="52" spans="1:13" ht="15" customHeight="1" x14ac:dyDescent="0.3">
      <c r="A52" s="31" t="s">
        <v>890</v>
      </c>
    </row>
    <row r="53" spans="1:13" ht="23.25" customHeight="1" x14ac:dyDescent="0.25">
      <c r="A53" s="32" t="s">
        <v>825</v>
      </c>
      <c r="B53" s="32" t="s">
        <v>849</v>
      </c>
    </row>
    <row r="54" spans="1:13" ht="15" customHeight="1" x14ac:dyDescent="0.25">
      <c r="A54" s="36" t="s">
        <v>640</v>
      </c>
      <c r="B54" t="s">
        <v>850</v>
      </c>
    </row>
    <row r="55" spans="1:13" ht="15" customHeight="1" x14ac:dyDescent="0.25">
      <c r="A55" s="36" t="s">
        <v>652</v>
      </c>
      <c r="B55" t="s">
        <v>851</v>
      </c>
    </row>
    <row r="56" spans="1:13" ht="15" customHeight="1" x14ac:dyDescent="0.25">
      <c r="A56" s="36" t="s">
        <v>663</v>
      </c>
      <c r="B56" t="s">
        <v>852</v>
      </c>
    </row>
    <row r="57" spans="1:13" ht="15" customHeight="1" x14ac:dyDescent="0.25">
      <c r="A57" s="36" t="s">
        <v>666</v>
      </c>
      <c r="B57" t="s">
        <v>853</v>
      </c>
    </row>
    <row r="58" spans="1:13" ht="15" customHeight="1" x14ac:dyDescent="0.25">
      <c r="A58" s="36" t="s">
        <v>669</v>
      </c>
      <c r="B58" t="s">
        <v>854</v>
      </c>
    </row>
    <row r="59" spans="1:13" ht="15" customHeight="1" x14ac:dyDescent="0.25">
      <c r="A59" s="36" t="s">
        <v>672</v>
      </c>
      <c r="B59" t="s">
        <v>855</v>
      </c>
    </row>
    <row r="60" spans="1:13" ht="15" customHeight="1" x14ac:dyDescent="0.25">
      <c r="A60" s="36" t="s">
        <v>675</v>
      </c>
      <c r="B60" t="s">
        <v>856</v>
      </c>
    </row>
    <row r="62" spans="1:13" ht="15" customHeight="1" x14ac:dyDescent="0.3">
      <c r="A62" s="31" t="s">
        <v>891</v>
      </c>
    </row>
    <row r="63" spans="1:13" ht="15" customHeight="1" x14ac:dyDescent="0.25">
      <c r="A63" s="32" t="s">
        <v>860</v>
      </c>
      <c r="B63" s="32" t="s">
        <v>861</v>
      </c>
      <c r="C63" s="32" t="s">
        <v>780</v>
      </c>
    </row>
    <row r="64" spans="1:13" ht="15" customHeight="1" x14ac:dyDescent="0.25">
      <c r="A64" s="36" t="s">
        <v>892</v>
      </c>
      <c r="B64" s="42">
        <v>49</v>
      </c>
      <c r="C64" s="36" t="s">
        <v>893</v>
      </c>
    </row>
    <row r="65" spans="1:4" ht="15" customHeight="1" x14ac:dyDescent="0.25">
      <c r="A65" s="36" t="s">
        <v>894</v>
      </c>
      <c r="B65" s="42">
        <v>55</v>
      </c>
      <c r="C65" s="36" t="s">
        <v>895</v>
      </c>
    </row>
    <row r="66" spans="1:4" ht="15" customHeight="1" x14ac:dyDescent="0.25">
      <c r="A66" s="36" t="s">
        <v>896</v>
      </c>
      <c r="B66" s="42">
        <v>18</v>
      </c>
      <c r="C66" s="36" t="s">
        <v>897</v>
      </c>
    </row>
    <row r="67" spans="1:4" ht="15" customHeight="1" x14ac:dyDescent="0.3">
      <c r="A67" s="45" t="s">
        <v>898</v>
      </c>
      <c r="B67" s="46">
        <v>122</v>
      </c>
      <c r="C67" s="36" t="s">
        <v>899</v>
      </c>
    </row>
    <row r="68" spans="1:4" ht="15" customHeight="1" x14ac:dyDescent="0.25">
      <c r="A68" s="36" t="s">
        <v>900</v>
      </c>
      <c r="B68" s="44">
        <v>0.43727598566308201</v>
      </c>
      <c r="C68" s="36" t="s">
        <v>901</v>
      </c>
    </row>
    <row r="69" spans="1:4" ht="15" customHeight="1" x14ac:dyDescent="0.25">
      <c r="A69" s="36" t="s">
        <v>902</v>
      </c>
      <c r="B69" s="42" t="s">
        <v>1203</v>
      </c>
      <c r="C69" s="36" t="s">
        <v>903</v>
      </c>
    </row>
    <row r="72" spans="1:4" ht="15" customHeight="1" x14ac:dyDescent="0.3">
      <c r="A72" s="31" t="s">
        <v>904</v>
      </c>
    </row>
    <row r="73" spans="1:4" ht="15" customHeight="1" x14ac:dyDescent="0.3">
      <c r="A73" s="32" t="s">
        <v>905</v>
      </c>
      <c r="B73" s="48">
        <v>1</v>
      </c>
      <c r="C73" s="48">
        <v>2</v>
      </c>
      <c r="D73" s="48">
        <v>3</v>
      </c>
    </row>
    <row r="74" spans="1:4" ht="15" customHeight="1" x14ac:dyDescent="0.25">
      <c r="A74" s="36" t="s">
        <v>906</v>
      </c>
      <c r="B74" s="42">
        <v>18</v>
      </c>
      <c r="C74" s="42">
        <v>1</v>
      </c>
      <c r="D74" s="42">
        <v>0</v>
      </c>
    </row>
    <row r="75" spans="1:4" ht="15" customHeight="1" x14ac:dyDescent="0.25">
      <c r="A75" s="36" t="s">
        <v>907</v>
      </c>
      <c r="B75" s="42">
        <v>31</v>
      </c>
      <c r="C75" s="42">
        <v>18</v>
      </c>
      <c r="D75" s="42">
        <v>12</v>
      </c>
    </row>
    <row r="76" spans="1:4" ht="15" customHeight="1" x14ac:dyDescent="0.3">
      <c r="A76" s="45" t="s">
        <v>908</v>
      </c>
      <c r="B76" s="46">
        <v>49</v>
      </c>
      <c r="C76" s="46">
        <v>19</v>
      </c>
      <c r="D76" s="46">
        <v>12</v>
      </c>
    </row>
    <row r="77" spans="1:4" ht="15" customHeight="1" x14ac:dyDescent="0.25">
      <c r="A77" s="36" t="s">
        <v>909</v>
      </c>
      <c r="B77" s="42">
        <v>19</v>
      </c>
      <c r="C77" s="42">
        <v>0</v>
      </c>
      <c r="D77" s="42">
        <v>0</v>
      </c>
    </row>
    <row r="78" spans="1:4" ht="15" customHeight="1" x14ac:dyDescent="0.25">
      <c r="A78" s="36" t="s">
        <v>910</v>
      </c>
      <c r="B78" s="42">
        <v>36</v>
      </c>
      <c r="C78" s="42">
        <v>12</v>
      </c>
      <c r="D78" s="42">
        <v>0</v>
      </c>
    </row>
    <row r="79" spans="1:4" ht="15" customHeight="1" x14ac:dyDescent="0.3">
      <c r="A79" s="45" t="s">
        <v>911</v>
      </c>
      <c r="B79" s="46">
        <v>55</v>
      </c>
      <c r="C79" s="46">
        <v>12</v>
      </c>
      <c r="D79" s="46">
        <v>0</v>
      </c>
    </row>
    <row r="80" spans="1:4" ht="15" customHeight="1" x14ac:dyDescent="0.25">
      <c r="A80" s="36" t="s">
        <v>912</v>
      </c>
      <c r="B80" s="42" t="s">
        <v>1203</v>
      </c>
    </row>
    <row r="81" spans="1:8" ht="15" customHeight="1" x14ac:dyDescent="0.25">
      <c r="A81" s="30" t="s">
        <v>913</v>
      </c>
    </row>
    <row r="83" spans="1:8" ht="15" customHeight="1" x14ac:dyDescent="0.3">
      <c r="A83" s="31" t="s">
        <v>1204</v>
      </c>
    </row>
    <row r="84" spans="1:8" ht="15" customHeight="1" x14ac:dyDescent="0.25">
      <c r="A84" s="74" t="s">
        <v>792</v>
      </c>
      <c r="B84" s="74" t="s">
        <v>1037</v>
      </c>
      <c r="C84" s="74" t="s">
        <v>948</v>
      </c>
      <c r="D84" s="74" t="s">
        <v>949</v>
      </c>
      <c r="E84" s="74" t="s">
        <v>950</v>
      </c>
      <c r="F84" s="74" t="s">
        <v>995</v>
      </c>
      <c r="G84" s="74" t="s">
        <v>1003</v>
      </c>
      <c r="H84" s="74" t="s">
        <v>991</v>
      </c>
    </row>
    <row r="85" spans="1:8" ht="15" customHeight="1" x14ac:dyDescent="0.25">
      <c r="A85" s="35" t="s">
        <v>634</v>
      </c>
      <c r="B85" s="35">
        <v>3</v>
      </c>
      <c r="C85" s="35">
        <v>3</v>
      </c>
      <c r="D85" s="35">
        <v>0</v>
      </c>
      <c r="E85" s="35">
        <v>0</v>
      </c>
      <c r="F85" s="35">
        <v>0</v>
      </c>
      <c r="G85" s="35">
        <v>0</v>
      </c>
      <c r="H85" s="35">
        <v>0</v>
      </c>
    </row>
    <row r="86" spans="1:8" ht="15" customHeight="1" x14ac:dyDescent="0.25">
      <c r="A86" s="35" t="s">
        <v>637</v>
      </c>
      <c r="B86" s="35">
        <v>3</v>
      </c>
      <c r="C86" s="35">
        <v>0</v>
      </c>
      <c r="D86" s="35">
        <v>0</v>
      </c>
      <c r="E86" s="35">
        <v>3</v>
      </c>
      <c r="F86" s="35">
        <v>0</v>
      </c>
      <c r="G86" s="35">
        <v>0</v>
      </c>
      <c r="H86" s="35">
        <v>3</v>
      </c>
    </row>
    <row r="87" spans="1:8" ht="15" customHeight="1" x14ac:dyDescent="0.25">
      <c r="A87" s="35" t="s">
        <v>643</v>
      </c>
      <c r="B87" s="35">
        <v>3</v>
      </c>
      <c r="C87" s="35">
        <v>0</v>
      </c>
      <c r="D87" s="35">
        <v>0</v>
      </c>
      <c r="E87" s="35">
        <v>3</v>
      </c>
      <c r="F87" s="35">
        <v>3</v>
      </c>
      <c r="G87" s="35">
        <v>0</v>
      </c>
      <c r="H87" s="35">
        <v>0</v>
      </c>
    </row>
    <row r="88" spans="1:8" ht="15" customHeight="1" x14ac:dyDescent="0.25">
      <c r="A88" s="35" t="s">
        <v>646</v>
      </c>
      <c r="B88" s="35">
        <v>4</v>
      </c>
      <c r="C88" s="35">
        <v>0</v>
      </c>
      <c r="D88" s="35">
        <v>0</v>
      </c>
      <c r="E88" s="35">
        <v>4</v>
      </c>
      <c r="F88" s="35">
        <v>4</v>
      </c>
      <c r="G88" s="35">
        <v>0</v>
      </c>
      <c r="H88" s="35">
        <v>0</v>
      </c>
    </row>
    <row r="89" spans="1:8" ht="15" customHeight="1" x14ac:dyDescent="0.25">
      <c r="A89" s="35" t="s">
        <v>649</v>
      </c>
      <c r="B89" s="35">
        <v>4</v>
      </c>
      <c r="C89" s="35">
        <v>0</v>
      </c>
      <c r="D89" s="35">
        <v>0</v>
      </c>
      <c r="E89" s="35">
        <v>4</v>
      </c>
      <c r="F89" s="35">
        <v>0</v>
      </c>
      <c r="G89" s="35">
        <v>4</v>
      </c>
      <c r="H89" s="35">
        <v>0</v>
      </c>
    </row>
    <row r="90" spans="1:8" ht="15" customHeight="1" x14ac:dyDescent="0.25">
      <c r="A90" s="35" t="s">
        <v>655</v>
      </c>
      <c r="B90" s="35">
        <v>3</v>
      </c>
      <c r="C90" s="35">
        <v>3</v>
      </c>
      <c r="D90" s="35">
        <v>0</v>
      </c>
      <c r="E90" s="35">
        <v>0</v>
      </c>
      <c r="F90" s="35">
        <v>0</v>
      </c>
      <c r="G90" s="35">
        <v>0</v>
      </c>
      <c r="H90" s="35">
        <v>0</v>
      </c>
    </row>
    <row r="91" spans="1:8" ht="15" customHeight="1" x14ac:dyDescent="0.25">
      <c r="A91" s="35" t="s">
        <v>657</v>
      </c>
      <c r="B91" s="35">
        <v>5</v>
      </c>
      <c r="C91" s="35">
        <v>5</v>
      </c>
      <c r="D91" s="35">
        <v>0</v>
      </c>
      <c r="E91" s="35">
        <v>0</v>
      </c>
      <c r="F91" s="35">
        <v>0</v>
      </c>
      <c r="G91" s="35">
        <v>0</v>
      </c>
      <c r="H91" s="35">
        <v>0</v>
      </c>
    </row>
    <row r="92" spans="1:8" ht="15" customHeight="1" x14ac:dyDescent="0.25">
      <c r="A92" s="35" t="s">
        <v>660</v>
      </c>
      <c r="B92" s="35">
        <v>5</v>
      </c>
      <c r="C92" s="35">
        <v>5</v>
      </c>
      <c r="D92" s="35">
        <v>0</v>
      </c>
      <c r="E92" s="35">
        <v>0</v>
      </c>
      <c r="F92" s="35">
        <v>0</v>
      </c>
      <c r="G92" s="35">
        <v>0</v>
      </c>
      <c r="H92" s="35">
        <v>0</v>
      </c>
    </row>
    <row r="93" spans="1:8" ht="15" customHeight="1" x14ac:dyDescent="0.25">
      <c r="A93" s="55" t="s">
        <v>61</v>
      </c>
      <c r="B93" s="55">
        <v>30</v>
      </c>
      <c r="C93" s="55">
        <v>16</v>
      </c>
      <c r="D93" s="55">
        <v>0</v>
      </c>
      <c r="E93" s="55">
        <v>14</v>
      </c>
      <c r="F93" s="55">
        <v>7</v>
      </c>
      <c r="G93" s="55">
        <v>4</v>
      </c>
      <c r="H93" s="55">
        <v>3</v>
      </c>
    </row>
    <row r="95" spans="1:8" ht="15" customHeight="1" x14ac:dyDescent="0.25">
      <c r="A95" s="52" t="s">
        <v>952</v>
      </c>
      <c r="B95" s="75">
        <v>0</v>
      </c>
    </row>
    <row r="96" spans="1:8" ht="15" customHeight="1" x14ac:dyDescent="0.25">
      <c r="A96" s="52" t="s">
        <v>1040</v>
      </c>
      <c r="B96" s="75">
        <v>0.46666666666666701</v>
      </c>
    </row>
    <row r="97" spans="1:2" ht="15" customHeight="1" x14ac:dyDescent="0.25">
      <c r="A97" s="52" t="s">
        <v>1041</v>
      </c>
      <c r="B97" s="75">
        <v>0.46666666666666701</v>
      </c>
    </row>
    <row r="98" spans="1:2" ht="15" customHeight="1" x14ac:dyDescent="0.25">
      <c r="A98" s="52" t="s">
        <v>1042</v>
      </c>
      <c r="B98" s="35" t="s">
        <v>1203</v>
      </c>
    </row>
    <row r="100" spans="1:2" ht="15" customHeight="1" x14ac:dyDescent="0.3">
      <c r="A100" s="31" t="s">
        <v>1205</v>
      </c>
    </row>
    <row r="101" spans="1:2" ht="236.25" customHeight="1" x14ac:dyDescent="0.25">
      <c r="A101" s="52" t="s">
        <v>634</v>
      </c>
      <c r="B101" s="72" t="s">
        <v>1044</v>
      </c>
    </row>
    <row r="102" spans="1:2" ht="135.75" customHeight="1" x14ac:dyDescent="0.25">
      <c r="A102" s="52" t="s">
        <v>660</v>
      </c>
      <c r="B102" s="72" t="s">
        <v>1045</v>
      </c>
    </row>
    <row r="103" spans="1:2" ht="168.75" customHeight="1" x14ac:dyDescent="0.25">
      <c r="A103" s="52" t="s">
        <v>1046</v>
      </c>
      <c r="B103" s="72" t="s">
        <v>1047</v>
      </c>
    </row>
    <row r="104" spans="1:2" ht="102" customHeight="1" x14ac:dyDescent="0.25">
      <c r="A104" s="52" t="s">
        <v>1048</v>
      </c>
      <c r="B104" s="72" t="s">
        <v>1049</v>
      </c>
    </row>
    <row r="105" spans="1:2" ht="135.75" customHeight="1" x14ac:dyDescent="0.25">
      <c r="A105" s="52" t="s">
        <v>1050</v>
      </c>
      <c r="B105" s="72" t="s">
        <v>1051</v>
      </c>
    </row>
    <row r="107" spans="1:2" ht="15" customHeight="1" x14ac:dyDescent="0.3">
      <c r="A107" s="31" t="s">
        <v>1206</v>
      </c>
    </row>
    <row r="108" spans="1:2" ht="15" customHeight="1" x14ac:dyDescent="0.3">
      <c r="A108" t="s">
        <v>1207</v>
      </c>
      <c r="B108" s="20">
        <v>55</v>
      </c>
    </row>
    <row r="109" spans="1:2" ht="15" customHeight="1" x14ac:dyDescent="0.3">
      <c r="A109" t="s">
        <v>1208</v>
      </c>
      <c r="B109" s="20">
        <v>0</v>
      </c>
    </row>
    <row r="110" spans="1:2" ht="15" customHeight="1" x14ac:dyDescent="0.3">
      <c r="A110" t="s">
        <v>1209</v>
      </c>
      <c r="B110" s="20">
        <v>0</v>
      </c>
    </row>
    <row r="111" spans="1:2" ht="15" customHeight="1" x14ac:dyDescent="0.3">
      <c r="A111" t="s">
        <v>1210</v>
      </c>
      <c r="B111" s="20" t="s">
        <v>1211</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14</vt:i4>
      </vt:variant>
      <vt:variant>
        <vt:lpstr>Named Ranges</vt:lpstr>
      </vt:variant>
      <vt:variant>
        <vt:i4>33</vt:i4>
      </vt:variant>
    </vt:vector>
  </HeadingPairs>
  <TitlesOfParts>
    <vt:vector size="47" baseType="lpstr">
      <vt:lpstr>Task Brief</vt:lpstr>
      <vt:lpstr>Claims</vt:lpstr>
      <vt:lpstr>Policy Rules</vt:lpstr>
      <vt:lpstr>Data Dictionary</vt:lpstr>
      <vt:lpstr>AI Use Log</vt:lpstr>
      <vt:lpstr>Parameters</vt:lpstr>
      <vt:lpstr>Checker</vt:lpstr>
      <vt:lpstr>Summary</vt:lpstr>
      <vt:lpstr>Analytics</vt:lpstr>
      <vt:lpstr>CFO_Summary</vt:lpstr>
      <vt:lpstr>Verification</vt:lpstr>
      <vt:lpstr>Audit</vt:lpstr>
      <vt:lpstr>Test_Cases</vt:lpstr>
      <vt:lpstr>Final_Results</vt:lpstr>
      <vt:lpstr>Biz_Permitted</vt:lpstr>
      <vt:lpstr>Caps_Grade</vt:lpstr>
      <vt:lpstr>Caps_Metro</vt:lpstr>
      <vt:lpstr>Caps_NonMetro</vt:lpstr>
      <vt:lpstr>Expired_Days</vt:lpstr>
      <vt:lpstr>Late_Days</vt:lpstr>
      <vt:lpstr>Lbl_Alcohol</vt:lpstr>
      <vt:lpstr>Lbl_Assumption</vt:lpstr>
      <vt:lpstr>Lbl_BizNo</vt:lpstr>
      <vt:lpstr>Lbl_Business</vt:lpstr>
      <vt:lpstr>Lbl_Comp</vt:lpstr>
      <vt:lpstr>Lbl_Definite</vt:lpstr>
      <vt:lpstr>Lbl_Expired</vt:lpstr>
      <vt:lpstr>Lbl_Flight</vt:lpstr>
      <vt:lpstr>Lbl_Hotel</vt:lpstr>
      <vt:lpstr>Lbl_Late</vt:lpstr>
      <vt:lpstr>Lbl_Meals</vt:lpstr>
      <vt:lpstr>Lbl_Metro</vt:lpstr>
      <vt:lpstr>Lbl_NA</vt:lpstr>
      <vt:lpstr>Lbl_NeedApproval</vt:lpstr>
      <vt:lpstr>Lbl_NeedDays</vt:lpstr>
      <vt:lpstr>Lbl_NeedNights</vt:lpstr>
      <vt:lpstr>Lbl_NonMetro</vt:lpstr>
      <vt:lpstr>Lbl_NoReceipt</vt:lpstr>
      <vt:lpstr>Lbl_Viol</vt:lpstr>
      <vt:lpstr>Limit_Metro</vt:lpstr>
      <vt:lpstr>Limit_NonMetro</vt:lpstr>
      <vt:lpstr>Min_Days_Booked</vt:lpstr>
      <vt:lpstr>CFO_Summary!Print_Area</vt:lpstr>
      <vt:lpstr>Receipt_Threshold</vt:lpstr>
      <vt:lpstr>Rule_Basis</vt:lpstr>
      <vt:lpstr>Rule_IDs</vt:lpstr>
      <vt:lpstr>Test_Synth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Arpit Gupta</cp:lastModifiedBy>
  <cp:revision>0</cp:revision>
  <dcterms:created xsi:type="dcterms:W3CDTF">2026-09-25T16:15:23Z</dcterms:created>
  <dcterms:modified xsi:type="dcterms:W3CDTF">2026-10-03T17:18:46Z</dcterms:modified>
  <dc:language>en-US</dc:language>
</cp:coreProperties>
</file>